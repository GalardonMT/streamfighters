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rono ejemplo" sheetId="1" r:id="rId5"/>
    <sheet state="visible" name="Hitos" sheetId="2" r:id="rId6"/>
    <sheet state="visible" name="PL Cronograma General" sheetId="3" r:id="rId7"/>
    <sheet state="visible" name="PL Cronograma detallado" sheetId="4" r:id="rId8"/>
    <sheet state="visible" name="R Cronograma detallado" sheetId="5" r:id="rId9"/>
    <sheet state="visible" name="BORRADOR 1" sheetId="6" r:id="rId10"/>
    <sheet state="visible" name="BORRADOR 2" sheetId="7" r:id="rId11"/>
    <sheet state="visible" name="CD R Documentación" sheetId="8" r:id="rId12"/>
    <sheet state="visible" name="CD R Investigación" sheetId="9" r:id="rId13"/>
    <sheet state="visible" name="CD R Desarrollo" sheetId="10" r:id="rId14"/>
    <sheet state="visible" name="Indicadores EVM" sheetId="11" r:id="rId15"/>
    <sheet state="visible" name="EVM" sheetId="12" r:id="rId16"/>
    <sheet state="visible" name="Curva S" sheetId="13" r:id="rId17"/>
    <sheet state="visible" name="Roles" sheetId="14" r:id="rId18"/>
    <sheet state="visible" name="Cuadro Desempeño" sheetId="15" r:id="rId19"/>
    <sheet state="visible" name="Minutas" sheetId="16" r:id="rId20"/>
    <sheet state="hidden" name="Evaluacion de compromisos" sheetId="17" r:id="rId21"/>
    <sheet state="hidden" name="Estado de avance" sheetId="18" r:id="rId22"/>
    <sheet state="hidden" name="Proximos pasos" sheetId="19" r:id="rId23"/>
  </sheets>
  <definedNames/>
  <calcPr fullCalcOnLoad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HH = Cuantas horas de entre esos dias dedicare a la tarea
==&gt; HH = dias * horas trabajo (suelo poner 2 3 o 4 )
Esfuerzo total pl = HH * N° trabajadores
======</t>
      </text>
    </commen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HH = Cuantas horas de entre esos dias dedicare a la tarea
==&gt; HH = dias * horas trabajo (suelo poner 2 3 o 4 )
Esfuerzo total pl = HH * N° trabajadores
======</t>
      </text>
    </commen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valor porcentual de cada tarea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sharedStrings.xml><?xml version="1.0" encoding="utf-8"?>
<sst xmlns="http://schemas.openxmlformats.org/spreadsheetml/2006/main" count="3765" uniqueCount="855">
  <si>
    <t>N°</t>
  </si>
  <si>
    <t>Hito</t>
  </si>
  <si>
    <t>Actividad</t>
  </si>
  <si>
    <t>S</t>
  </si>
  <si>
    <t>Inicio</t>
  </si>
  <si>
    <t>Término</t>
  </si>
  <si>
    <t>Días</t>
  </si>
  <si>
    <t>HH</t>
  </si>
  <si>
    <t>Esfuerzo(HH) unit.</t>
  </si>
  <si>
    <t>Fecha</t>
  </si>
  <si>
    <t>Esfuerzo (HH) acum.</t>
  </si>
  <si>
    <t>Avance 
Planificado</t>
  </si>
  <si>
    <t>Área</t>
  </si>
  <si>
    <t>Costo (UF) unit.</t>
  </si>
  <si>
    <t>Costo (UF) acum.</t>
  </si>
  <si>
    <t>% Avance Planificado</t>
  </si>
  <si>
    <t>% Avance Real</t>
  </si>
  <si>
    <t>Avance 
Real</t>
  </si>
  <si>
    <t>Aspectos generales de planificación</t>
  </si>
  <si>
    <t>Desviación</t>
  </si>
  <si>
    <t>Impacto Real 
(%)</t>
  </si>
  <si>
    <t>Descripción</t>
  </si>
  <si>
    <t>Avance Real
 (%)</t>
  </si>
  <si>
    <t>Entrega Informe Propuesta inicial</t>
  </si>
  <si>
    <t>Dias</t>
  </si>
  <si>
    <t>% 
Completado 
Tarea</t>
  </si>
  <si>
    <t>% Impacto</t>
  </si>
  <si>
    <t>Valor 
Ganado</t>
  </si>
  <si>
    <t>% Avance PL</t>
  </si>
  <si>
    <t>Valor 
Ganado 
(%)</t>
  </si>
  <si>
    <t>Valor Ganado 
Acum (%)</t>
  </si>
  <si>
    <t>Esfuerzo (HH)</t>
  </si>
  <si>
    <t>Costo (UF)</t>
  </si>
  <si>
    <t>0%</t>
  </si>
  <si>
    <t>Jefe de proyecto</t>
  </si>
  <si>
    <t>Documentación</t>
  </si>
  <si>
    <t>Investigación</t>
  </si>
  <si>
    <t>% Avance</t>
  </si>
  <si>
    <t>Entrega Informe Propuesta V1</t>
  </si>
  <si>
    <t>Desarrollo</t>
  </si>
  <si>
    <t>Jefe de Proyecto</t>
  </si>
  <si>
    <t>Termino</t>
  </si>
  <si>
    <t xml:space="preserve">Unit. </t>
  </si>
  <si>
    <t>Acum.</t>
  </si>
  <si>
    <t>% De uso</t>
  </si>
  <si>
    <t>Unit.</t>
  </si>
  <si>
    <t>% dedic</t>
  </si>
  <si>
    <t>Entrega Avance N°1 y Defensa</t>
  </si>
  <si>
    <t>HH esfuerzo</t>
  </si>
  <si>
    <t>Rol</t>
  </si>
  <si>
    <t>Valor HH (UF)</t>
  </si>
  <si>
    <t>Entrega Avance N°2 y Defensa</t>
  </si>
  <si>
    <t>Entrega Avance N°3 y Defensa</t>
  </si>
  <si>
    <t>Entrega Avance N°4 y Defensa (Hito 5)</t>
  </si>
  <si>
    <t>H0</t>
  </si>
  <si>
    <t>Entrega Informe Propuesta inicial (Hito 0)</t>
  </si>
  <si>
    <t>Entrega Informe Final (Hito 6)</t>
  </si>
  <si>
    <t>1</t>
  </si>
  <si>
    <t>Fase de Inicio</t>
  </si>
  <si>
    <t>Inicio proyecto</t>
  </si>
  <si>
    <t>1.1</t>
  </si>
  <si>
    <t>Relevamiento inicial del Proyecto</t>
  </si>
  <si>
    <t>1.1.1</t>
  </si>
  <si>
    <t>Definición de Roles</t>
  </si>
  <si>
    <t>L</t>
  </si>
  <si>
    <t>1.1.2</t>
  </si>
  <si>
    <t>Relevamiento inicial del problema y contexto One Health</t>
  </si>
  <si>
    <t>1.1.3</t>
  </si>
  <si>
    <t>Análisis de viabilidad técnica y metodológica del proyecto</t>
  </si>
  <si>
    <t>1.2</t>
  </si>
  <si>
    <t>Gestión del Alcance</t>
  </si>
  <si>
    <t>1.2.1</t>
  </si>
  <si>
    <t>Organización de grupos de Trabajo</t>
  </si>
  <si>
    <t>%Impacto real</t>
  </si>
  <si>
    <t>%Avance real</t>
  </si>
  <si>
    <t>1.2.2</t>
  </si>
  <si>
    <t>Definir Metodologias</t>
  </si>
  <si>
    <t>1.2.3</t>
  </si>
  <si>
    <t>Definir Plan de Hitos</t>
  </si>
  <si>
    <t>1.2.4</t>
  </si>
  <si>
    <t>Definir Costos</t>
  </si>
  <si>
    <t>1.2.5</t>
  </si>
  <si>
    <t>Definir Criterio de Evaluación de Integrantes</t>
  </si>
  <si>
    <t>1.2.6</t>
  </si>
  <si>
    <t>Definición de Enfoques y Justificación</t>
  </si>
  <si>
    <t>1.2.7</t>
  </si>
  <si>
    <t>Establecer Alcances y Limitaciones</t>
  </si>
  <si>
    <t>1.2.8</t>
  </si>
  <si>
    <t>Elaborar Cronograma</t>
  </si>
  <si>
    <t>1.2.9</t>
  </si>
  <si>
    <t>Elaboración presentación</t>
  </si>
  <si>
    <t>1.2.10</t>
  </si>
  <si>
    <t>Distribución del Esfuerzo</t>
  </si>
  <si>
    <t>1.2.11</t>
  </si>
  <si>
    <t>Definición de la WBS y la OBS del proyecto</t>
  </si>
  <si>
    <t>1.2.12</t>
  </si>
  <si>
    <t>Grafo PERT/CPM, camino crítico y Curva S de planificación</t>
  </si>
  <si>
    <t>1.3</t>
  </si>
  <si>
    <t>Elaboración Informe Propuesta</t>
  </si>
  <si>
    <t>1.3.1</t>
  </si>
  <si>
    <t>Elaboración informe de propuesta</t>
  </si>
  <si>
    <t>1.3.2</t>
  </si>
  <si>
    <t>Formulación preliminar del problema, pregunta y objetivos de investigación</t>
  </si>
  <si>
    <t>1.3.3</t>
  </si>
  <si>
    <t>Identificación preliminar de tecnologías de IA (LLM, RAG, multiagente)</t>
  </si>
  <si>
    <t>1.3.4</t>
  </si>
  <si>
    <t>Reunión de Líderes 1</t>
  </si>
  <si>
    <t>1.3.5</t>
  </si>
  <si>
    <t>Revisión de redacción, formato y referencias del informe de propuesta</t>
  </si>
  <si>
    <t>H1</t>
  </si>
  <si>
    <t>Entrega Informe Propuesta V1 (Hito 1)</t>
  </si>
  <si>
    <t>2</t>
  </si>
  <si>
    <t>Planificación de Alcances y Diseño de la Arquitectura</t>
  </si>
  <si>
    <t>2.1</t>
  </si>
  <si>
    <t>Etapa I: Definición del Marco de Trabajo de Investigación</t>
  </si>
  <si>
    <t>2.1.1</t>
  </si>
  <si>
    <t>Identificación y delimitación del problema de investigación</t>
  </si>
  <si>
    <t>2.1.2</t>
  </si>
  <si>
    <t>Formulación de preguntas de investigación por agente (PI1–PI7 y PB)</t>
  </si>
  <si>
    <t>2.1.3</t>
  </si>
  <si>
    <t>Definición de las 12 categorías de términos (palabras clave y descriptores)</t>
  </si>
  <si>
    <t>2.1.4</t>
  </si>
  <si>
    <t>Selección de bases de datos bibliográficas, altmétricas y herramientas de IA</t>
  </si>
  <si>
    <t>2.1.5</t>
  </si>
  <si>
    <t>Construcción de las 9 ecuaciones de búsqueda (Eb1–Eb7, Eb4b, Eb4c)</t>
  </si>
  <si>
    <t>2.1.6</t>
  </si>
  <si>
    <t>Definición de criterios de inclusión, exclusión y calidad documental</t>
  </si>
  <si>
    <t>2.1.7</t>
  </si>
  <si>
    <t>Reunión de Líderes 2</t>
  </si>
  <si>
    <t>2.2</t>
  </si>
  <si>
    <t>Estudio bibliométrico preliminar (v1): relevamiento multifuente</t>
  </si>
  <si>
    <t>2.2.1</t>
  </si>
  <si>
    <t>Búsqueda de papers One Health</t>
  </si>
  <si>
    <t>2.2.2</t>
  </si>
  <si>
    <t>Selección de fuentes clave</t>
  </si>
  <si>
    <t>2.2.3</t>
  </si>
  <si>
    <t>Resumen bibliográfico</t>
  </si>
  <si>
    <t>2.2.4</t>
  </si>
  <si>
    <t>Relevamiento preliminar en Scopus y SciELO con ecuaciones por eje temático</t>
  </si>
  <si>
    <t>2.2.5</t>
  </si>
  <si>
    <t>Relevamiento de literatura gris y normativa (SAG, MINSAL, BCN, OMSA/WOAH)</t>
  </si>
  <si>
    <t>2.2.6</t>
  </si>
  <si>
    <t>Registro del corpus preliminar en matriz común</t>
  </si>
  <si>
    <t>2.2.7</t>
  </si>
  <si>
    <t>Cribado preliminar tipo PRISMA</t>
  </si>
  <si>
    <t>2.3</t>
  </si>
  <si>
    <t>Estudio bibliométrico preliminar (v1): análisis y planteamiento</t>
  </si>
  <si>
    <t>2.3.1</t>
  </si>
  <si>
    <t>Análisis cuantitativo preliminar (tipo de fuente, eje temático, periodo)</t>
  </si>
  <si>
    <t>2.3.2</t>
  </si>
  <si>
    <t>Cobertura del corpus por enfermedad y dimensión One Health</t>
  </si>
  <si>
    <t>2.3.3</t>
  </si>
  <si>
    <t>Análisis cualitativo preliminar y hallazgos del periodo 2024–2026</t>
  </si>
  <si>
    <t>2.3.4</t>
  </si>
  <si>
    <t>Planteamiento conceptual preliminar</t>
  </si>
  <si>
    <t>2.4</t>
  </si>
  <si>
    <t>Estado del Arte y Marco Teórico preliminar (v1)</t>
  </si>
  <si>
    <t>2.4.1</t>
  </si>
  <si>
    <t>Identificación preliminar de brechas de investigación</t>
  </si>
  <si>
    <t>2.4.2</t>
  </si>
  <si>
    <t>Redacción del Estado del Arte preliminar</t>
  </si>
  <si>
    <t>2.4.3</t>
  </si>
  <si>
    <t>Redacción del Marco Teórico (conceptos clave, teorías y modelos)</t>
  </si>
  <si>
    <t>2.4.4</t>
  </si>
  <si>
    <t>Verificación de referencias en fuentes primarias y formato APA</t>
  </si>
  <si>
    <t>2.4.5</t>
  </si>
  <si>
    <t>Declaración de uso de IA generativa (herramienta, versión y propósito)</t>
  </si>
  <si>
    <t>2.5</t>
  </si>
  <si>
    <t>Escenario Base: Influenza aviar de alta patogenicidad A(H5N1)</t>
  </si>
  <si>
    <t>2.5.1</t>
  </si>
  <si>
    <t>Definición epidemiológica de la IAAP A(H5N1)</t>
  </si>
  <si>
    <t>2.5.2</t>
  </si>
  <si>
    <t>1.4</t>
  </si>
  <si>
    <t>Mapeo de actores involucrados (SAG, productores avícolas, OMSA/WOAH)</t>
  </si>
  <si>
    <t>Entrega de Informe de Propuesta v1</t>
  </si>
  <si>
    <t>2.5.3</t>
  </si>
  <si>
    <t>Acta de cambio de alcance: escenario único IAAP A(H5N1)</t>
  </si>
  <si>
    <t>Selección de modelo LLM base</t>
  </si>
  <si>
    <t>Diseño de condicionales (edges)</t>
  </si>
  <si>
    <t>Validación lógica del grafo</t>
  </si>
  <si>
    <t>2.6</t>
  </si>
  <si>
    <t>Elaboración Propuesta Técnica</t>
  </si>
  <si>
    <t>H2</t>
  </si>
  <si>
    <t>Entrega Avance N°1 y Defensa (Hito 2)</t>
  </si>
  <si>
    <t>Construcción del Conocimiento</t>
  </si>
  <si>
    <t>Recopilación corpus SAG/OMSA</t>
  </si>
  <si>
    <t>3.1.1</t>
  </si>
  <si>
    <t>Descarga normativas SAG</t>
  </si>
  <si>
    <t>3.1.2</t>
  </si>
  <si>
    <t>Descarga reportes OMSA</t>
  </si>
  <si>
    <t>Segmentación de documentos</t>
  </si>
  <si>
    <t>3.2.1</t>
  </si>
  <si>
    <t>Reunion Lideres 3</t>
  </si>
  <si>
    <t>3.2.2</t>
  </si>
  <si>
    <t>OCR y limpieza de PDF</t>
  </si>
  <si>
    <t>3.2.3</t>
  </si>
  <si>
    <t>Chunking semántico</t>
  </si>
  <si>
    <t>2.6.1</t>
  </si>
  <si>
    <t>Redacción sección de contexto</t>
  </si>
  <si>
    <t>Indexación base vectorial</t>
  </si>
  <si>
    <t>3.3.1</t>
  </si>
  <si>
    <t>Configuración de base vectorial</t>
  </si>
  <si>
    <t>3.3.2</t>
  </si>
  <si>
    <t>Reunion Lideres 4</t>
  </si>
  <si>
    <t>3.3.3</t>
  </si>
  <si>
    <t>Generación de embeddings</t>
  </si>
  <si>
    <t>Consolidación Avance 2</t>
  </si>
  <si>
    <t>3.4.1</t>
  </si>
  <si>
    <t>Pruebas de recuperación (RAG)</t>
  </si>
  <si>
    <t>3.4.2</t>
  </si>
  <si>
    <t>Documentación Avance 2</t>
  </si>
  <si>
    <t>H3</t>
  </si>
  <si>
    <t>Entrega Avance N°2 y Defensa (Hito 3)</t>
  </si>
  <si>
    <t>Fase de Investigación</t>
  </si>
  <si>
    <t>2.6.2</t>
  </si>
  <si>
    <t>Redacción sección metodológica</t>
  </si>
  <si>
    <t>2.6.3</t>
  </si>
  <si>
    <t>Revisión Líder de Proyecto</t>
  </si>
  <si>
    <t>2.7</t>
  </si>
  <si>
    <t>Especificación técnica de agentes</t>
  </si>
  <si>
    <t>2.7.1</t>
  </si>
  <si>
    <t>Definición de roles de agentes</t>
  </si>
  <si>
    <t>Relevación de Información de Proyecto GPI 2021-II</t>
  </si>
  <si>
    <t>2.7.2</t>
  </si>
  <si>
    <t>Diseño de prompts iniciales</t>
  </si>
  <si>
    <t>2.7.3</t>
  </si>
  <si>
    <t>2.8</t>
  </si>
  <si>
    <t>Diseño de flujos LangGraph</t>
  </si>
  <si>
    <t>2.8.1</t>
  </si>
  <si>
    <t>Diagramación de estados y nodos</t>
  </si>
  <si>
    <t>Recolección Documentación Proyecto GPI 2021-II</t>
  </si>
  <si>
    <t>2.8.2</t>
  </si>
  <si>
    <t>2.8.3</t>
  </si>
  <si>
    <t>2.9</t>
  </si>
  <si>
    <t>Consolidación Avance 1</t>
  </si>
  <si>
    <t>% 
Realizado</t>
  </si>
  <si>
    <t>% Impacto real</t>
  </si>
  <si>
    <t>2,2</t>
  </si>
  <si>
    <t>2.9.1</t>
  </si>
  <si>
    <t>Escenario Base (PRRS)</t>
  </si>
  <si>
    <t>Redacción del informe de Estudio Bibliométrico preliminar y Estado del Arte</t>
  </si>
  <si>
    <t>Definición epidemiológica</t>
  </si>
  <si>
    <t>Mapeo de actores involucrados</t>
  </si>
  <si>
    <t>2,3</t>
  </si>
  <si>
    <t>2.9.2</t>
  </si>
  <si>
    <t>Redacción reporte arquitectura</t>
  </si>
  <si>
    <t>2,4</t>
  </si>
  <si>
    <t>2.9.3</t>
  </si>
  <si>
    <t>Informe EVM, Curva S y cuadrante de desempeño (Avance 1)</t>
  </si>
  <si>
    <t>Obtención Repositorio Proyecto GPI 2021-II</t>
  </si>
  <si>
    <t>2.9.4</t>
  </si>
  <si>
    <t>2,5</t>
  </si>
  <si>
    <t>Preparación de presentación</t>
  </si>
  <si>
    <t>2,6</t>
  </si>
  <si>
    <t>3</t>
  </si>
  <si>
    <t>Fecha termino</t>
  </si>
  <si>
    <t>3.1</t>
  </si>
  <si>
    <t>Análisis de Documentación de Proyecto GPI 2021-II</t>
  </si>
  <si>
    <t>Preparación del Estudio Bibliométrico y Altmétrico</t>
  </si>
  <si>
    <t>Fecha Término</t>
  </si>
  <si>
    <t>Costo (UF) acum %</t>
  </si>
  <si>
    <t>Organización de los 6 equipos de búsqueda, roles y fichas de equipo</t>
  </si>
  <si>
    <t>Adaptación de las 9 ecuaciones a cada base (Scopus, WoS, PubMed, IEEE, S. Scholar)</t>
  </si>
  <si>
    <t>3.1.3</t>
  </si>
  <si>
    <t>Preparación de planilla (BÚSQUEDAS, CRIBADO, FUENTES, PRISMA), carpeta y Zotero grupal</t>
  </si>
  <si>
    <t>3.1.4</t>
  </si>
  <si>
    <t>Inducción en herramientas (Anexo A) y criterios de selección</t>
  </si>
  <si>
    <t>3.2</t>
  </si>
  <si>
    <t>Etapa II · Fase 1: Búsqueda y relevamiento (Días 1 y 2)</t>
  </si>
  <si>
    <t>Día 1 · Búsqueda en Scopus de las ecuaciones por agente (jefes de equipo)</t>
  </si>
  <si>
    <t>Investigación Bibliométrica y Altmetric</t>
  </si>
  <si>
    <t>Día 1 · Ecuaciones de contexto Eb1 y Eb4 en Scopus, WoS y PubMed (Datos)</t>
  </si>
  <si>
    <t>Día 1 · Publish or Perish, IEEE Xplore y Semantic Scholar (Buscadores 3)</t>
  </si>
  <si>
    <t>3.2.4</t>
  </si>
  <si>
    <t>Día 1 · Preguntas en Consensus y verificación de DOI (Buscadores 4)</t>
  </si>
  <si>
    <t>Integración de Datos</t>
  </si>
  <si>
    <t>H4</t>
  </si>
  <si>
    <t>Entrega Avance N°3 y Defensa (Hito 4)</t>
  </si>
  <si>
    <t>3.2.5</t>
  </si>
  <si>
    <t>Días 1–2 · Búsqueda en Web of Science / Lens y PubMed (Buscadores 2)</t>
  </si>
  <si>
    <t>Implementación Multiagente</t>
  </si>
  <si>
    <t>H5</t>
  </si>
  <si>
    <t>Generación de Informes y Validación</t>
  </si>
  <si>
    <t>H6</t>
  </si>
  <si>
    <t>3.2.6</t>
  </si>
  <si>
    <t>Días 1–2 · Tesauro y mapas de prueba en VOSviewer</t>
  </si>
  <si>
    <t>3.2.7</t>
  </si>
  <si>
    <t>Días 1–2 · Control de exportaciones con referencias citadas (Verificación y líder)</t>
  </si>
  <si>
    <t>Entrega de Informe de Propuesta vf</t>
  </si>
  <si>
    <t>3.2.8</t>
  </si>
  <si>
    <t>Día 2 · Perplexity, Connected Papers, SciELO, ProQuest y tesis (Buscadores 3)</t>
  </si>
  <si>
    <t>3.2.9</t>
  </si>
  <si>
    <t>Día 2 · Colecciones en ResearchRabbit con semillas y verificación de DOI (Buscadores 4)</t>
  </si>
  <si>
    <t>3.2.10</t>
  </si>
  <si>
    <t>Día 2 · Unificación Scopus+WoS en R, deduplicación en Zotero y carga en Rayyan</t>
  </si>
  <si>
    <t>3.3</t>
  </si>
  <si>
    <t>Etapa II · Fase 2: Cribado y selección (Día 3)</t>
  </si>
  <si>
    <t>Cribado por título y resumen en Rayyan (Incluir / Excluir / Dudoso)</t>
  </si>
  <si>
    <t>Doble revisión del 10% del cribado y ajuste de criterios</t>
  </si>
  <si>
    <t>Revisión de texto completo y calificación de calidad (SCImago / CORE)</t>
  </si>
  <si>
    <t>3.3.4</t>
  </si>
  <si>
    <t>Entrega de la lista de seleccionados con DOI a Datos</t>
  </si>
  <si>
    <t>3.4</t>
  </si>
  <si>
    <t>Etapa II · Fase 3: Análisis bibliométrico y altmétrico (Días 2 a 4)</t>
  </si>
  <si>
    <t>Definición de Instrumentos de Análisis Bibliométricos</t>
  </si>
  <si>
    <t>Análisis macro del campo en Bibliometrix (biblioshiny)</t>
  </si>
  <si>
    <t>Mapa de co-ocurrencia de palabras clave y análisis de brecha</t>
  </si>
  <si>
    <t>3.4.3</t>
  </si>
  <si>
    <t>Registro de artículos incluidos en la hoja FUENTES</t>
  </si>
  <si>
    <t>3.4.4</t>
  </si>
  <si>
    <t>Análisis micro, mapas de co-citación y acoplamiento bibliográfico</t>
  </si>
  <si>
    <t>3.4.5</t>
  </si>
  <si>
    <t>Perfil bibliométrico por agente (climático, diagnóstico, bioseguridad, moderador)</t>
  </si>
  <si>
    <t>Definción de Instrumentos de Análisis Altmetric</t>
  </si>
  <si>
    <t>3.4.6</t>
  </si>
  <si>
    <t>Altmetrics del Top 20 (Altmetric, PlumX, Dimensions, citas influyentes)</t>
  </si>
  <si>
    <t>3.4.7</t>
  </si>
  <si>
    <t>Diagrama PRISMA y consolidación de la planilla final</t>
  </si>
  <si>
    <t>Nikolás Maldonado Faúndez (Jefe/a de Documentación)</t>
  </si>
  <si>
    <t>3.5</t>
  </si>
  <si>
    <t>Redacción y cierre del Estudio Bibliométrico (Día 5)</t>
  </si>
  <si>
    <t>Amaru Aros Molina</t>
  </si>
  <si>
    <t>Juan Arrano Espinoza</t>
  </si>
  <si>
    <t>Mei-Ying Mamani León</t>
  </si>
  <si>
    <t>Alfredo Mayorga Lobos</t>
  </si>
  <si>
    <t>José Miguel Vargas Moraga</t>
  </si>
  <si>
    <t>3.5.1</t>
  </si>
  <si>
    <t>Redacción de la metodología del estudio (bases, criterios, PRISMA)</t>
  </si>
  <si>
    <t>Analizar Estado del Arte de la Fase Anterior del Proyecto (Parte 1)</t>
  </si>
  <si>
    <t>3.5.2</t>
  </si>
  <si>
    <t>Interpretación del perfil de cada agente (1–2 páginas por equipo)</t>
  </si>
  <si>
    <t>3.5.3</t>
  </si>
  <si>
    <t>Tablas y gráficos bibliométricos con su interpretación</t>
  </si>
  <si>
    <t>3.5.4</t>
  </si>
  <si>
    <t>Integración del informe del Estudio Bibliométrico</t>
  </si>
  <si>
    <t>Reunión de Líderes 3</t>
  </si>
  <si>
    <t>3.5.5</t>
  </si>
  <si>
    <t>Verificación final de DOI y revisión del informe completo</t>
  </si>
  <si>
    <t>3.5.6</t>
  </si>
  <si>
    <t>Día de respaldo para tareas atrasadas (Día 6)</t>
  </si>
  <si>
    <t>3.6</t>
  </si>
  <si>
    <t>Estado del Arte detallado (actualizado con el estudio)</t>
  </si>
  <si>
    <t>Definir Estrategias de Búsqueda</t>
  </si>
  <si>
    <t>3.6.1</t>
  </si>
  <si>
    <t>Análisis comparativo de enfoques y soluciones existentes por agente</t>
  </si>
  <si>
    <t>3.6.2</t>
  </si>
  <si>
    <t>Identificación de brechas de investigación y aporte del proyecto</t>
  </si>
  <si>
    <t>Realizar análisis bibliométrico en Springer Link y Virtual Pro</t>
  </si>
  <si>
    <t>3.6.3</t>
  </si>
  <si>
    <t>Redacción del Estado del Arte detallado</t>
  </si>
  <si>
    <t>3.6.4</t>
  </si>
  <si>
    <t>Actualización del Marco Teórico con el corpus final</t>
  </si>
  <si>
    <t>3.7</t>
  </si>
  <si>
    <t>Ingeniería de Requerimientos y Plan de Calidad (SQA)</t>
  </si>
  <si>
    <t>Realizar análisis bibliométrico en Proquest Engineering, Proquest D&amp;T y Science Direct</t>
  </si>
  <si>
    <t>3.7.1</t>
  </si>
  <si>
    <t>Catálogo de requerimientos funcionales y no funcionales</t>
  </si>
  <si>
    <t>3.7.2</t>
  </si>
  <si>
    <t>Casos de uso y criterios de aceptación</t>
  </si>
  <si>
    <t>2.2.8</t>
  </si>
  <si>
    <t>Realizar análisis bibliométrico en Oxford Journals, IOP Science, WoL</t>
  </si>
  <si>
    <t>3.7.3</t>
  </si>
  <si>
    <t>Plan de pruebas SQA (unitarias, integración y sistema)</t>
  </si>
  <si>
    <t>3.7.4</t>
  </si>
  <si>
    <t>Product Backlog y configuración del tablero ScrumBan</t>
  </si>
  <si>
    <t>3.8</t>
  </si>
  <si>
    <t>Recopilación corpus SAG/OMSA de influenza aviar</t>
  </si>
  <si>
    <t>2.2.9</t>
  </si>
  <si>
    <t>Realizar análisis bibliométrico en Scopus, WoL e IEEE Xplore</t>
  </si>
  <si>
    <t>3.8.1</t>
  </si>
  <si>
    <t>Descarga de normativas SAG sobre influenza aviar</t>
  </si>
  <si>
    <t>3.8.2</t>
  </si>
  <si>
    <t>Investigación de Lenguas</t>
  </si>
  <si>
    <t>Descarga de reportes OMSA/WAHIS sobre H5N1</t>
  </si>
  <si>
    <t>3.8.3</t>
  </si>
  <si>
    <t>Curaduría del corpus RAG y esquema de metadatos (institución, fecha, especie, jurisdicción)</t>
  </si>
  <si>
    <t>3.9</t>
  </si>
  <si>
    <t>Investigar Lengua Mapudungun</t>
  </si>
  <si>
    <t>3.9.1</t>
  </si>
  <si>
    <t>3.9.2</t>
  </si>
  <si>
    <t>3.9.3</t>
  </si>
  <si>
    <t>3.10</t>
  </si>
  <si>
    <t>3.10.1</t>
  </si>
  <si>
    <t>3.10.2</t>
  </si>
  <si>
    <t>Reunión de Líderes 4</t>
  </si>
  <si>
    <t>Investigación de herramientas de traducción de inglés a español</t>
  </si>
  <si>
    <t>3.10.3</t>
  </si>
  <si>
    <t>3.11</t>
  </si>
  <si>
    <t>3.11.1</t>
  </si>
  <si>
    <t>Investigación sobre Inteligencia artificial</t>
  </si>
  <si>
    <t>3.11.2</t>
  </si>
  <si>
    <t>Redacción del informe de Etapa II (Estudio Bibliométrico y Altmétrico)</t>
  </si>
  <si>
    <t>3.11.3</t>
  </si>
  <si>
    <t>Informe EVM, Curva S y cuadrante de desempeño (Avance 2)</t>
  </si>
  <si>
    <t>3.11.4</t>
  </si>
  <si>
    <t>3.11.5</t>
  </si>
  <si>
    <t>Preparación de presentación y defensa Avance 2</t>
  </si>
  <si>
    <t>4</t>
  </si>
  <si>
    <t>Preparación Avance N°1</t>
  </si>
  <si>
    <t>4.1</t>
  </si>
  <si>
    <t>Etapa III: Diseño Metodológico</t>
  </si>
  <si>
    <t>4.1.1</t>
  </si>
  <si>
    <t>Definición del modelo metodológico (Design Science Research + MIIDAPI-IA)</t>
  </si>
  <si>
    <t>4.1.2</t>
  </si>
  <si>
    <t>Definición de la metodología de solución y sus fases de construcción</t>
  </si>
  <si>
    <t>4.1.3</t>
  </si>
  <si>
    <t>Definición de variables y métricas (fundamentación, fidelidad de citas, alucinaciones)</t>
  </si>
  <si>
    <t>4.1.4</t>
  </si>
  <si>
    <t>Diseño experimental: baselines LLM sin RAG, monoagente con RAG y multiagente</t>
  </si>
  <si>
    <t>4.1.5</t>
  </si>
  <si>
    <t>Formulación de hipótesis y criterios de contrastación</t>
  </si>
  <si>
    <t>4.1.6</t>
  </si>
  <si>
    <t>Diseño de la rúbrica experta de evaluación de informes</t>
  </si>
  <si>
    <t>4.2</t>
  </si>
  <si>
    <t>Analizar Estado del Arte de la Fase Anterior del Proyecto (Parte 2)</t>
  </si>
  <si>
    <t>Etapa III: Marco Conceptual de Desarrollo</t>
  </si>
  <si>
    <t>4.2.1</t>
  </si>
  <si>
    <t>Modelo conceptual · ¿Qué hacer? Problema y alcance de la solución</t>
  </si>
  <si>
    <t>4.2.2</t>
  </si>
  <si>
    <t>Modelo conceptual · ¿Cómo hacerlo? Arquitectura tecnológica y metodológica</t>
  </si>
  <si>
    <t>4.2.3</t>
  </si>
  <si>
    <t>Modelo conceptual · ¿Con qué hacerlo? Tecnologías, herramientas y recursos</t>
  </si>
  <si>
    <t>4.2.4</t>
  </si>
  <si>
    <t>Operacionalización de conceptos y modelo de estado compartido</t>
  </si>
  <si>
    <t>2.3.5</t>
  </si>
  <si>
    <t>Documentar palabras mapuches y su traducción al español</t>
  </si>
  <si>
    <t>4.2.5</t>
  </si>
  <si>
    <t>Integración del marco teórico con las fases del proyecto (matriz de trazabilidad)</t>
  </si>
  <si>
    <t>4.3</t>
  </si>
  <si>
    <t>Investigación de fuentes de datos y diseño de escenarios H5N1</t>
  </si>
  <si>
    <t>4.3.1</t>
  </si>
  <si>
    <t>Relevamiento de fuentes de datos climáticos abiertos (DMC, Open-Meteo, NASA POWER)</t>
  </si>
  <si>
    <t>2.3.6</t>
  </si>
  <si>
    <t>Definición de conjunto de Expresiones</t>
  </si>
  <si>
    <t>4.3.2</t>
  </si>
  <si>
    <t>Relevamiento de datos sanitarios históricos de IAAP (SAG, WAHIS-OMSA)</t>
  </si>
  <si>
    <t>4.3.3</t>
  </si>
  <si>
    <t>Diccionario de datos y reglas de normalización</t>
  </si>
  <si>
    <t>4.3.4</t>
  </si>
  <si>
    <t>Diseño de escenarios epidemiológicos simulados de H5N1 (casos de prueba)</t>
  </si>
  <si>
    <t>4.3.5</t>
  </si>
  <si>
    <t>Validación de escenarios con literatura y protocolos del SAG</t>
  </si>
  <si>
    <t>4.4</t>
  </si>
  <si>
    <t>Desarrollo APIs climáticos</t>
  </si>
  <si>
    <t>2.3.7</t>
  </si>
  <si>
    <t>4.4.1</t>
  </si>
  <si>
    <t>Conexión API meteorológica</t>
  </si>
  <si>
    <t>4.4.2</t>
  </si>
  <si>
    <t>Reunión de Líderes 5</t>
  </si>
  <si>
    <t>4.4.3</t>
  </si>
  <si>
    <t>Transformación de datos</t>
  </si>
  <si>
    <t>2.3.8</t>
  </si>
  <si>
    <t>Realizar análisis Altmetric en Google Scholar</t>
  </si>
  <si>
    <t>4.5</t>
  </si>
  <si>
    <t>Conectores productivos</t>
  </si>
  <si>
    <t>4.5.1</t>
  </si>
  <si>
    <t>Reunión de Líderes 6</t>
  </si>
  <si>
    <t>2.3.9</t>
  </si>
  <si>
    <t>Elaborar Documentación Relacionada al Levantamiento de Información</t>
  </si>
  <si>
    <t>4.5.2</t>
  </si>
  <si>
    <t>Mockup base de datos de planteles avícolas</t>
  </si>
  <si>
    <t>4.5.3</t>
  </si>
  <si>
    <t>Endpoints de consulta</t>
  </si>
  <si>
    <t>4.6</t>
  </si>
  <si>
    <t>Pruebas de ingesta</t>
  </si>
  <si>
    <t>4.6.1</t>
  </si>
  <si>
    <t>Reunión de Líderes 7</t>
  </si>
  <si>
    <t>2.3.10</t>
  </si>
  <si>
    <t>4.6.2</t>
  </si>
  <si>
    <t>Test de latencia y volumen</t>
  </si>
  <si>
    <t>4.6.3</t>
  </si>
  <si>
    <t>Reporte de pruebas SQA del sprint de integración de datos</t>
  </si>
  <si>
    <t>4.6.4</t>
  </si>
  <si>
    <t>Corrección de errores</t>
  </si>
  <si>
    <t>4.7</t>
  </si>
  <si>
    <t>Consolidación Avance 3</t>
  </si>
  <si>
    <t>Fase de Desarrollo</t>
  </si>
  <si>
    <t>4.7.1</t>
  </si>
  <si>
    <t>Redacción del informe de Etapa III (diseño metodológico y marco conceptual)</t>
  </si>
  <si>
    <t>4.7.2</t>
  </si>
  <si>
    <t>Redacción de avance datos</t>
  </si>
  <si>
    <t>4.7.3</t>
  </si>
  <si>
    <t>Actas de sprint (inicio y cierre) y documentación técnica de conectores</t>
  </si>
  <si>
    <t>Etapa II · Fase 1: Búsqueda y relevamiento</t>
  </si>
  <si>
    <t>Formulacion de Diseños</t>
  </si>
  <si>
    <t>4.7.4</t>
  </si>
  <si>
    <t>Informe EVM, Curva S y cuadrante de desempeño (Avance 3)</t>
  </si>
  <si>
    <t>Búsqueda en Scopus de las ecuaciones por agente (jefes de equipo)</t>
  </si>
  <si>
    <t>4.7.5</t>
  </si>
  <si>
    <t>Empaquetado de demostración</t>
  </si>
  <si>
    <t>5</t>
  </si>
  <si>
    <t>Ecuaciones de contexto Eb1 y Eb4 en Scopus, WoS y PubMed (Datos)</t>
  </si>
  <si>
    <t>MockUp del Prototipo</t>
  </si>
  <si>
    <t>5.1</t>
  </si>
  <si>
    <t>Investigación para el diseño de agentes y protocolo de consenso</t>
  </si>
  <si>
    <t>Publish or Perish, IEEE Xplore y Semantic Scholar (Buscadores 3)</t>
  </si>
  <si>
    <t>5.1.1</t>
  </si>
  <si>
    <t>Revisión de patrones de orquestación multiagente (debate, votación, verificador)</t>
  </si>
  <si>
    <t>Preguntas en Consensus y verificación de DOI (Buscadores 4)</t>
  </si>
  <si>
    <t>5.1.2</t>
  </si>
  <si>
    <t>Ingeniería de prompts por agente basada en evidencia (salidas estructuradas)</t>
  </si>
  <si>
    <t>Búsqueda en Web of Science / Lens y PubMed (Buscadores 2)</t>
  </si>
  <si>
    <t>5.1.3</t>
  </si>
  <si>
    <t>Definición del protocolo de consenso y reglas de escalamiento human-in-the-loop</t>
  </si>
  <si>
    <t>Tesauro y mapas de prueba en VOSviewer</t>
  </si>
  <si>
    <t>5.1.4</t>
  </si>
  <si>
    <t>Investigación de técnicas de control de alucinaciones y verificación de citas</t>
  </si>
  <si>
    <t>5.1.5</t>
  </si>
  <si>
    <t>Definición de niveles de riesgo e incertidumbre del informe</t>
  </si>
  <si>
    <t>Control de exportaciones con referencias citadas (Verificación y líder)</t>
  </si>
  <si>
    <t>5.1.6</t>
  </si>
  <si>
    <t>Diseño de la plantilla estandarizada del informe epidemiológico</t>
  </si>
  <si>
    <t>Obtención de Datos para el Prototipo</t>
  </si>
  <si>
    <t>5.2</t>
  </si>
  <si>
    <t>Perplexity, Connected Papers, SciELO, ProQuest y tesis (Buscadores 3)</t>
  </si>
  <si>
    <t>Programación Agentes (Clima/Diag)</t>
  </si>
  <si>
    <t>Colecciones en ResearchRabbit con semillas y verificación de DOI (Buscadores 4)</t>
  </si>
  <si>
    <t>5.2.1</t>
  </si>
  <si>
    <t>Implementación Agente Clima</t>
  </si>
  <si>
    <t>Unificación Scopus+WoS en R, deduplicación en Zotero y carga en Rayyan</t>
  </si>
  <si>
    <t xml:space="preserve">Grabación de Dataset </t>
  </si>
  <si>
    <t>5.2.2</t>
  </si>
  <si>
    <t>Reunión de Líderes 8</t>
  </si>
  <si>
    <t>5.2.3</t>
  </si>
  <si>
    <t>Implementación Agente Diag</t>
  </si>
  <si>
    <t>Etapa II · Fase 2: Cribado y selección</t>
  </si>
  <si>
    <t>5.3</t>
  </si>
  <si>
    <t>Programación Agentes (Bioseg/Merc)</t>
  </si>
  <si>
    <t>5.3.1</t>
  </si>
  <si>
    <t>Reunión de Líderes 9</t>
  </si>
  <si>
    <t>Adecuación del Dataset para el uso en Desarrollo (Parte 1)</t>
  </si>
  <si>
    <t>5.3.2</t>
  </si>
  <si>
    <t>Implementación Agente Bioseg</t>
  </si>
  <si>
    <t>5.3.3</t>
  </si>
  <si>
    <t>Implementación Agente Mercado</t>
  </si>
  <si>
    <t>5.4</t>
  </si>
  <si>
    <t>Implementación Agente Moderador</t>
  </si>
  <si>
    <t>5.4.1</t>
  </si>
  <si>
    <t>Reunión de Líderes 10</t>
  </si>
  <si>
    <t>Creación y Entrenamiento de Red Neuronal</t>
  </si>
  <si>
    <t>5.4.2</t>
  </si>
  <si>
    <t>Lógica de ruteo del moderador</t>
  </si>
  <si>
    <t>5.4.3</t>
  </si>
  <si>
    <t>Sistema de memoria compartida</t>
  </si>
  <si>
    <t>5.5</t>
  </si>
  <si>
    <t>Consolidación Avance 4</t>
  </si>
  <si>
    <t>Etapa II · Fase 3: Análisis bibliométrico y altmétrico</t>
  </si>
  <si>
    <t>5.5.1</t>
  </si>
  <si>
    <t>Ejecución de caso de prueba</t>
  </si>
  <si>
    <t>Creación de Red Neuronal</t>
  </si>
  <si>
    <t>5.5.2</t>
  </si>
  <si>
    <t>Pruebas unitarias y de integración de agentes (SQA)</t>
  </si>
  <si>
    <t>5.5.3</t>
  </si>
  <si>
    <t>Informe EVM, Curva S y cuadrante de desempeño (Avance 4)</t>
  </si>
  <si>
    <t>5.5.4</t>
  </si>
  <si>
    <t>Documentación Avance 4</t>
  </si>
  <si>
    <t>5.5.5</t>
  </si>
  <si>
    <t>Preparación de presentación y defensa Avance 4</t>
  </si>
  <si>
    <t>6</t>
  </si>
  <si>
    <t>Reunion de Lideres 7</t>
  </si>
  <si>
    <t>6.1</t>
  </si>
  <si>
    <t>Desarrollo módulo prescriptivo</t>
  </si>
  <si>
    <t>6.1.1</t>
  </si>
  <si>
    <t>Generación de recomendaciones</t>
  </si>
  <si>
    <t>6.1.2</t>
  </si>
  <si>
    <t>Reunión de Líderes 11</t>
  </si>
  <si>
    <t>Entrenamiento de Red Neuronal (Parte 1)</t>
  </si>
  <si>
    <t>6.1.3</t>
  </si>
  <si>
    <t>Formateo de salidas e UI</t>
  </si>
  <si>
    <t>6.2</t>
  </si>
  <si>
    <t>Ejecución escenarios simulados</t>
  </si>
  <si>
    <t>6.2.1</t>
  </si>
  <si>
    <t>Simulación escenario H5N1 pesimista</t>
  </si>
  <si>
    <t>Redacción y cierre del Estudio Bibliométrico</t>
  </si>
  <si>
    <t>6.2.2</t>
  </si>
  <si>
    <t>Ejecución comparativa de baselines (LLM sin RAG, monoagente RAG, multiagente)</t>
  </si>
  <si>
    <t>6.2.3</t>
  </si>
  <si>
    <t>Reunión de Líderes 12</t>
  </si>
  <si>
    <t>6.2.4</t>
  </si>
  <si>
    <t>Simulación escenario H5N1 optimista</t>
  </si>
  <si>
    <t>6.3</t>
  </si>
  <si>
    <t>Análisis de resultados de la investigación</t>
  </si>
  <si>
    <t>Elaboración Informe de Avance N°2</t>
  </si>
  <si>
    <t>6.3.1</t>
  </si>
  <si>
    <t>Cálculo de métricas (fundamentación, fidelidad de citas, alucinación, consistencia)</t>
  </si>
  <si>
    <t>6.3.2</t>
  </si>
  <si>
    <t>Aplicación de la rúbrica experta y análisis de concordancia</t>
  </si>
  <si>
    <t>6.3.3</t>
  </si>
  <si>
    <t>Contrastación de hipótesis y análisis estadístico de resultados</t>
  </si>
  <si>
    <t>6.3.4</t>
  </si>
  <si>
    <t>Análisis de errores, limitaciones y amenazas a la validez</t>
  </si>
  <si>
    <t>6.3.5</t>
  </si>
  <si>
    <t>Conclusiones, recomendaciones y trabajo futuro</t>
  </si>
  <si>
    <t>Entrega de Avance N°2 y Defensa</t>
  </si>
  <si>
    <t>6.4</t>
  </si>
  <si>
    <t>Evaluación métricas y Rúbrica</t>
  </si>
  <si>
    <t>6.4.1</t>
  </si>
  <si>
    <t>Contraste con rúbrica técnica</t>
  </si>
  <si>
    <t>Construcción de Prototipo</t>
  </si>
  <si>
    <t>6.4.2</t>
  </si>
  <si>
    <t>Ajuste final de desempeño</t>
  </si>
  <si>
    <t>Día de respaldo para tareas atrasadas</t>
  </si>
  <si>
    <t>6.5</t>
  </si>
  <si>
    <t>Redacción final y empaquetado</t>
  </si>
  <si>
    <t>6.5.1</t>
  </si>
  <si>
    <t>Documentación técnica, manual de usuario y repositorio reproducible</t>
  </si>
  <si>
    <t>6.5.2</t>
  </si>
  <si>
    <t>Armado de documento maestro</t>
  </si>
  <si>
    <t>6.5.3</t>
  </si>
  <si>
    <t>Preparación de entorno de Desarrollo</t>
  </si>
  <si>
    <t>Análisis EVM final (desempeño real vs planificado)</t>
  </si>
  <si>
    <t>6.5.4</t>
  </si>
  <si>
    <t>Preparación de presentación y defensa final</t>
  </si>
  <si>
    <t>6.5.5</t>
  </si>
  <si>
    <t>Revisión y cierre</t>
  </si>
  <si>
    <t>TOTALES</t>
  </si>
  <si>
    <t>Adecuación del Dataset para el uso en Desarrollo (parte 2)</t>
  </si>
  <si>
    <t>Entrenamiento de Red Neuronal (Parte 2)</t>
  </si>
  <si>
    <t>Desarrollo del Prototipo (parte 1)</t>
  </si>
  <si>
    <t>Pruebas de Uso Básico</t>
  </si>
  <si>
    <t>3.5.7</t>
  </si>
  <si>
    <t>Elaboración Informe de Avance N°3</t>
  </si>
  <si>
    <t>Entrega de Avance N°3 y Defensa</t>
  </si>
  <si>
    <t>Construcción de Prototipo (Parte 2)</t>
  </si>
  <si>
    <t>Desarrollo del Prototipo (parte 2)</t>
  </si>
  <si>
    <t>Ingresar Red Neuronal a una Maquina Virtual</t>
  </si>
  <si>
    <t>Conexion Front y Backend</t>
  </si>
  <si>
    <t>3.7.5</t>
  </si>
  <si>
    <t>3.7.6</t>
  </si>
  <si>
    <t>Documentación del Desarrollo</t>
  </si>
  <si>
    <t>3.7.7</t>
  </si>
  <si>
    <t>Pruebas de experiencia de usuario</t>
  </si>
  <si>
    <t>Cristóbal Huentecura Muñoz (Jefe/a de Investigación)</t>
  </si>
  <si>
    <t>Ignacio Ahumada Poque</t>
  </si>
  <si>
    <t>Ismael Allendes Caro</t>
  </si>
  <si>
    <t>Catalina Beas Perez</t>
  </si>
  <si>
    <t>Ignacio Casas Díaz</t>
  </si>
  <si>
    <t>Yorkshua Cerda Villalón</t>
  </si>
  <si>
    <t>Ignacio Hernández Silva</t>
  </si>
  <si>
    <t>Andrés Lugo Briceño</t>
  </si>
  <si>
    <t>Víctor Morales Cavieres</t>
  </si>
  <si>
    <t>Elias Necul Briones</t>
  </si>
  <si>
    <t>Elaboración Informe de Avance N°4</t>
  </si>
  <si>
    <t>Walter Olarte Ramirez</t>
  </si>
  <si>
    <t>Bastián Ortiz Pizarro</t>
  </si>
  <si>
    <t>Benjamín Quilodrán Arteaga</t>
  </si>
  <si>
    <t>Cristopher Retamales Pedreros</t>
  </si>
  <si>
    <t>Alexander Riveros Avila</t>
  </si>
  <si>
    <t>Gaspar Varas</t>
  </si>
  <si>
    <t>Julián Vidal Jorquera</t>
  </si>
  <si>
    <t>Cristobal Vivar Ruiz</t>
  </si>
  <si>
    <t>Matías Ziade Parada</t>
  </si>
  <si>
    <t>Entrega de Avance N°4 y Defensa</t>
  </si>
  <si>
    <t>Fase de Estudio de Resultados</t>
  </si>
  <si>
    <t>Analisis de Resultados</t>
  </si>
  <si>
    <t>Realizar Pruebas al Prototipo Funcional</t>
  </si>
  <si>
    <t>Reunión de Líderes 13</t>
  </si>
  <si>
    <t>Analizar y Evaluar Resultados</t>
  </si>
  <si>
    <t>Documentar Pruebas de Software</t>
  </si>
  <si>
    <t>Realizar conclusiones y recomendaciones</t>
  </si>
  <si>
    <t>Reunión de Líderes 14</t>
  </si>
  <si>
    <t>Fase de Cierre del Proyecto</t>
  </si>
  <si>
    <t>Elaboración Documentación Final</t>
  </si>
  <si>
    <t>Recopilación de Información del Proyecto</t>
  </si>
  <si>
    <t>Elaboración Informe Final (Parte 1)</t>
  </si>
  <si>
    <t>Elaboración Paper (Parte 1)</t>
  </si>
  <si>
    <t>Elaboración Informe de Avance N°5</t>
  </si>
  <si>
    <t>Entrega de Avance N°5 y Defensa</t>
  </si>
  <si>
    <t>Elaboración Informe Final (parte 2)</t>
  </si>
  <si>
    <t>Elaboración Paper (parte 2)</t>
  </si>
  <si>
    <t>Reunión de Líderes 15</t>
  </si>
  <si>
    <t>Entrega de Prototipo Funcional</t>
  </si>
  <si>
    <t>5.1.7</t>
  </si>
  <si>
    <t>Reunión de Líderes 16</t>
  </si>
  <si>
    <t>H7</t>
  </si>
  <si>
    <t>Defensa ante Comisión (Fin de Proyecto)</t>
  </si>
  <si>
    <t>Paz Pérez Avaria (Jefe/a de Desarrollo)</t>
  </si>
  <si>
    <t>Renato Álvarez Ramos</t>
  </si>
  <si>
    <t>Bryan Avila Gatica</t>
  </si>
  <si>
    <t>Camilo Barra Saavedra</t>
  </si>
  <si>
    <t>Alejandro Donoso González</t>
  </si>
  <si>
    <t>Rodrigo Ureta Veloso</t>
  </si>
  <si>
    <t>Indicadores Gestión de Valor Ganado</t>
  </si>
  <si>
    <t>Fórmulas</t>
  </si>
  <si>
    <t>Resultados</t>
  </si>
  <si>
    <t>Variación del cronograma</t>
  </si>
  <si>
    <t>SV = EV - PV</t>
  </si>
  <si>
    <t>Variación del costo</t>
  </si>
  <si>
    <t>CV = EV - AC</t>
  </si>
  <si>
    <t>Porcentaje variación del cronograma</t>
  </si>
  <si>
    <t>%SV = SV / PV</t>
  </si>
  <si>
    <t>Porcentaje variación del costo</t>
  </si>
  <si>
    <t>%CV = CV/EV</t>
  </si>
  <si>
    <t>Índice de desempeño del cronograma</t>
  </si>
  <si>
    <t>SPI = EV/PV</t>
  </si>
  <si>
    <t>Índice de desempeño del costo</t>
  </si>
  <si>
    <t>CPI = EV/AC</t>
  </si>
  <si>
    <t>Presupuesto hasta la conclusión</t>
  </si>
  <si>
    <t>BAC</t>
  </si>
  <si>
    <t>Estimación a la conclusión</t>
  </si>
  <si>
    <t>EAC = BAC/CPI</t>
  </si>
  <si>
    <t>Variación a la conclusión</t>
  </si>
  <si>
    <t>VAC = BAC - EAC</t>
  </si>
  <si>
    <t>Estimación hasta la conclusión</t>
  </si>
  <si>
    <t>ETC = EAC - AC</t>
  </si>
  <si>
    <t>Índice de desempeño del trabajo por completar</t>
  </si>
  <si>
    <t>TCPI = (BAC - EV) / (BAC - AC)</t>
  </si>
  <si>
    <t>PV</t>
  </si>
  <si>
    <t>AC</t>
  </si>
  <si>
    <t>EV</t>
  </si>
  <si>
    <t>Esto hasta el hito1</t>
  </si>
  <si>
    <t>% Avance acum PL</t>
  </si>
  <si>
    <t>Valor Planeado</t>
  </si>
  <si>
    <t>Valor Ganado</t>
  </si>
  <si>
    <t>Costo Real</t>
  </si>
  <si>
    <t>Varianza del Costo</t>
  </si>
  <si>
    <t>Varianza del Cronograma</t>
  </si>
  <si>
    <t>SPI</t>
  </si>
  <si>
    <t>CPI</t>
  </si>
  <si>
    <t>TCPI</t>
  </si>
  <si>
    <t>PV acum</t>
  </si>
  <si>
    <t>%</t>
  </si>
  <si>
    <t>% acum</t>
  </si>
  <si>
    <t>EV acum</t>
  </si>
  <si>
    <t xml:space="preserve">AC acum </t>
  </si>
  <si>
    <t>CV</t>
  </si>
  <si>
    <t>CV acum</t>
  </si>
  <si>
    <t>SV</t>
  </si>
  <si>
    <t>SV acum</t>
  </si>
  <si>
    <t>1,2,10</t>
  </si>
  <si>
    <t xml:space="preserve">Elaboracion presentacion </t>
  </si>
  <si>
    <t>1,3,2</t>
  </si>
  <si>
    <t>Elaboracion informe</t>
  </si>
  <si>
    <t>Reunion Lideres 2</t>
  </si>
  <si>
    <t>Reunion Lideres 5</t>
  </si>
  <si>
    <t>Reunion Lideres 6</t>
  </si>
  <si>
    <t>Mockup base de datos granjas</t>
  </si>
  <si>
    <t>Reunion Lideres 7</t>
  </si>
  <si>
    <t>Reunion Lideres 8</t>
  </si>
  <si>
    <t>Reunion Lideres 9</t>
  </si>
  <si>
    <t>Reunion Lideres 10</t>
  </si>
  <si>
    <t>Reunion Lideres 11</t>
  </si>
  <si>
    <t>Simulación Escenario Pesimista</t>
  </si>
  <si>
    <t>Reunion Lideres 12</t>
  </si>
  <si>
    <t>Simulación Escenario Optimista</t>
  </si>
  <si>
    <t>Avance PL (%)</t>
  </si>
  <si>
    <t>Valor Planeado 
(PV)</t>
  </si>
  <si>
    <t>Costo Real 
(AC)</t>
  </si>
  <si>
    <t>Valor Ganado
(EV)</t>
  </si>
  <si>
    <t>Valor ganado 
acum</t>
  </si>
  <si>
    <t>ID</t>
  </si>
  <si>
    <t>Entrega Informe de propuesta inicial</t>
  </si>
  <si>
    <t>Informe Propuesta Versión 1</t>
  </si>
  <si>
    <t>Entrega Informe Avance 1</t>
  </si>
  <si>
    <t>Entrega Informe Avance 2</t>
  </si>
  <si>
    <t>Entrega Informe Avance 3</t>
  </si>
  <si>
    <t>Entrega Informe Avance 4</t>
  </si>
  <si>
    <t>Entrega Informe Final</t>
  </si>
  <si>
    <t>Avance 1</t>
  </si>
  <si>
    <t>Abreviación</t>
  </si>
  <si>
    <t>Valor HH (CLP)</t>
  </si>
  <si>
    <t>Valor UF</t>
  </si>
  <si>
    <t>**al 9 de septiembre 2026</t>
  </si>
  <si>
    <r>
      <rPr>
        <color rgb="FF1155CC"/>
        <u/>
      </rPr>
      <t>https://www.sii.cl/valores_y_fechas/uf/uf2026.htm</t>
    </r>
    <r>
      <rPr/>
      <t xml:space="preserve"> </t>
    </r>
  </si>
  <si>
    <t>https://cl.indeed.com/career/l%C3%ADder-de-proyectos/salaries?salaryType=HOURLY</t>
  </si>
  <si>
    <t>Jefe de Desarrollo</t>
  </si>
  <si>
    <t>JP</t>
  </si>
  <si>
    <t>https://cl.indeed.com/career/jefe-de-proyecto/salaries?salaryType=HOURLY</t>
  </si>
  <si>
    <t>Horas totales</t>
  </si>
  <si>
    <t>Costo total UF</t>
  </si>
  <si>
    <t>Costo en CLP</t>
  </si>
  <si>
    <t>Jefe de Investigación</t>
  </si>
  <si>
    <t>JI</t>
  </si>
  <si>
    <t>Jefe de Documentación</t>
  </si>
  <si>
    <t>JD</t>
  </si>
  <si>
    <t>Desarrollador</t>
  </si>
  <si>
    <t>P</t>
  </si>
  <si>
    <t>https://cl.talent.com/salary?job=Desarrollador</t>
  </si>
  <si>
    <t>Investigador</t>
  </si>
  <si>
    <t>I</t>
  </si>
  <si>
    <t>https://cl.talent.com/salary?job=Investigador+Jornada</t>
  </si>
  <si>
    <t>Documentador</t>
  </si>
  <si>
    <t>D</t>
  </si>
  <si>
    <t>https://cl.talent.com/salary?job=Documentador+Tcnico</t>
  </si>
  <si>
    <t>Cuadrante de Desempeño</t>
  </si>
  <si>
    <t>Cuadrante II</t>
  </si>
  <si>
    <t>Cuadrante I</t>
  </si>
  <si>
    <t>Hito 1:</t>
  </si>
  <si>
    <t>SPI: 1 | CPI: 1</t>
  </si>
  <si>
    <t>hito 0</t>
  </si>
  <si>
    <t>1 a 1</t>
  </si>
  <si>
    <t>hito 1</t>
  </si>
  <si>
    <t>0,97 a 0,97</t>
  </si>
  <si>
    <t>Cuadrante III</t>
  </si>
  <si>
    <t>Cuadrante IV</t>
  </si>
  <si>
    <t>Valores Indices</t>
  </si>
  <si>
    <t>Estado del proyecto</t>
  </si>
  <si>
    <t>Hito 0</t>
  </si>
  <si>
    <t>Hito 1</t>
  </si>
  <si>
    <t>Hito 2</t>
  </si>
  <si>
    <t>Hito 3</t>
  </si>
  <si>
    <t>Hito 4</t>
  </si>
  <si>
    <t>Hito 5</t>
  </si>
  <si>
    <t>Hito 6</t>
  </si>
  <si>
    <t>CPI y SPI &gt;= 1,15</t>
  </si>
  <si>
    <t>Excepcional</t>
  </si>
  <si>
    <t>CPI y SPI &gt;= 1,10</t>
  </si>
  <si>
    <t>Muy Bueno</t>
  </si>
  <si>
    <t>CPI y SPI &gt;= 1,00</t>
  </si>
  <si>
    <t>Satisfactorio</t>
  </si>
  <si>
    <t>CPI y SPI &gt;= 0,90</t>
  </si>
  <si>
    <t>Marginal</t>
  </si>
  <si>
    <t>CPI y SPI &lt; 0,90</t>
  </si>
  <si>
    <t>No Satisfactorio</t>
  </si>
  <si>
    <t>Información General</t>
  </si>
  <si>
    <t>Participantes</t>
  </si>
  <si>
    <t>Fecha: 25/08/2026</t>
  </si>
  <si>
    <t>Hora: 11:00 - 11:30</t>
  </si>
  <si>
    <t>Nombre y Apellidos</t>
  </si>
  <si>
    <t>Cargo</t>
  </si>
  <si>
    <t>Referencia</t>
  </si>
  <si>
    <t>Lugar: Discord</t>
  </si>
  <si>
    <t xml:space="preserve">Moderador: </t>
  </si>
  <si>
    <t>Matias Pulgar</t>
  </si>
  <si>
    <t>Co-Lider</t>
  </si>
  <si>
    <t>MP</t>
  </si>
  <si>
    <t>Título: Presentación inicial del proyecto VoxReady</t>
  </si>
  <si>
    <t xml:space="preserve">Objetivo: </t>
  </si>
  <si>
    <t>Ignacio Maldonado</t>
  </si>
  <si>
    <t>Lider de equipo</t>
  </si>
  <si>
    <t>IM</t>
  </si>
  <si>
    <t>Nikolas Maldonado</t>
  </si>
  <si>
    <t>NM</t>
  </si>
  <si>
    <t>Cristobal Huentecura</t>
  </si>
  <si>
    <t>CH</t>
  </si>
  <si>
    <t>Paz Perez</t>
  </si>
  <si>
    <t>PP</t>
  </si>
  <si>
    <t>Sintesis de temas Tratados</t>
  </si>
  <si>
    <t>Tema</t>
  </si>
  <si>
    <t>Situacion / Pasos a seguir</t>
  </si>
  <si>
    <t>Responsable</t>
  </si>
  <si>
    <t>Presentacion del grupo</t>
  </si>
  <si>
    <t>Presentación formal de cada integrante del equipo de desarrollo y de los socios. Se acordaron los canales oficiales de comunicación para futuras reuniones.</t>
  </si>
  <si>
    <t>Presentacion del proyecto</t>
  </si>
  <si>
    <t>Los socios expusieron la visión general, objetivos y alcance de la solución "VoxReady". Como paso a seguir, el equipo revisará los requerimientos levantados para comenzar con la etapa de investigación y planificación técnica.</t>
  </si>
  <si>
    <t>Avance 
Esperado (%)</t>
  </si>
  <si>
    <t>Avance 
Real (%)</t>
  </si>
  <si>
    <t>Estado</t>
  </si>
  <si>
    <t>Desviación 
(%)</t>
  </si>
  <si>
    <t>Completado</t>
  </si>
  <si>
    <t>Pendiente</t>
  </si>
  <si>
    <t>Conexión Front y Backend</t>
  </si>
  <si>
    <t>Conectar Dataset con el Prototipo</t>
  </si>
  <si>
    <t>% 
Por Realizar</t>
  </si>
  <si>
    <t>% 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</si>
</sst>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/m/yyyy"/>
    <numFmt numFmtId="166" formatCode="d\.m"/>
    <numFmt numFmtId="167" formatCode="dd\-mm\-yyyy"/>
    <numFmt numFmtId="168" formatCode="d/mm/yyyy"/>
    <numFmt numFmtId="169" formatCode="#,##0.0"/>
    <numFmt numFmtId="170" formatCode="0.0%"/>
    <numFmt numFmtId="171" formatCode="0.000"/>
  </numFmts>
  <fonts count="38">
    <font>
      <sz val="11.0"/>
      <color theme="1"/>
      <name val="Calibri"/>
      <scheme val="minor"/>
    </font>
    <font>
      <b/>
      <color theme="1"/>
      <name val="Calibri"/>
    </font>
    <font>
      <sz val="9.0"/>
      <color theme="0"/>
      <name val="Calibri"/>
    </font>
    <font>
      <sz val="8.0"/>
      <color rgb="FFFFFFFF"/>
      <name val="Calibri"/>
    </font>
    <font>
      <sz val="8.0"/>
      <color theme="0"/>
      <name val="Calibri"/>
    </font>
    <font/>
    <font>
      <sz val="11.0"/>
      <color theme="1"/>
      <name val="Calibri"/>
    </font>
    <font>
      <sz val="8.0"/>
      <color rgb="FF000000"/>
      <name val="Calibri"/>
    </font>
    <font>
      <sz val="9.0"/>
      <color rgb="FFFFFFFF"/>
      <name val="Calibri"/>
    </font>
    <font>
      <b/>
      <sz val="8.0"/>
      <color theme="1"/>
      <name val="Calibri"/>
    </font>
    <font>
      <sz val="8.0"/>
      <color theme="1"/>
      <name val="Calibri"/>
    </font>
    <font>
      <sz val="11.0"/>
      <color theme="1"/>
      <name val="Arial"/>
    </font>
    <font>
      <sz val="8.0"/>
      <color theme="1"/>
      <name val="Roboto"/>
    </font>
    <font>
      <b/>
      <sz val="8.0"/>
      <color rgb="FF000000"/>
      <name val="Calibri"/>
    </font>
    <font>
      <sz val="9.0"/>
      <color theme="1"/>
      <name val="Calibri"/>
    </font>
    <font>
      <color theme="1"/>
      <name val="Calibri"/>
    </font>
    <font>
      <sz val="11.0"/>
      <color rgb="FF000000"/>
      <name val="Arial"/>
    </font>
    <font>
      <b/>
      <sz val="11.0"/>
      <color theme="1"/>
      <name val="Calibri"/>
    </font>
    <font>
      <sz val="11.0"/>
      <color rgb="FF000000"/>
      <name val="Calibri"/>
    </font>
    <font>
      <b/>
      <sz val="14.0"/>
      <color theme="1"/>
      <name val="Calibri"/>
    </font>
    <font>
      <u/>
      <color rgb="FF0000FF"/>
    </font>
    <font>
      <u/>
      <sz val="11.0"/>
      <color rgb="FF0000FF"/>
      <name val="Calibri"/>
    </font>
    <font>
      <u/>
      <sz val="11.0"/>
      <color theme="1"/>
      <name val="Calibri"/>
    </font>
    <font>
      <color theme="1"/>
      <name val="Arial"/>
    </font>
    <font>
      <sz val="18.0"/>
      <color theme="1"/>
      <name val="Roboto"/>
    </font>
    <font>
      <u/>
      <sz val="11.0"/>
      <color rgb="FF000000"/>
      <name val="Calibri"/>
    </font>
    <font>
      <sz val="11.0"/>
      <color rgb="FF1F1F1F"/>
      <name val="Calibri"/>
    </font>
    <font>
      <b/>
      <sz val="18.0"/>
      <color theme="1"/>
      <name val="Roboto"/>
    </font>
    <font>
      <sz val="11.0"/>
      <color theme="1"/>
      <name val="Roboto"/>
    </font>
    <font>
      <b/>
      <sz val="15.0"/>
      <color rgb="FFFFFFFF"/>
      <name val="Roboto"/>
    </font>
    <font>
      <b/>
      <sz val="13.0"/>
      <color rgb="FFFFFFFF"/>
      <name val="Roboto"/>
    </font>
    <font>
      <b/>
      <sz val="20.0"/>
      <color theme="1"/>
      <name val="Arial"/>
    </font>
    <font>
      <sz val="18.0"/>
      <color theme="1"/>
      <name val="Arial"/>
    </font>
    <font>
      <b/>
      <sz val="22.0"/>
      <color theme="1"/>
      <name val="Arial"/>
    </font>
    <font>
      <b/>
      <sz val="19.0"/>
      <color theme="1"/>
      <name val="Arial"/>
    </font>
    <font>
      <sz val="19.0"/>
      <color theme="1"/>
      <name val="Arial"/>
    </font>
    <font>
      <sz val="10.0"/>
      <color theme="0"/>
      <name val="Calibri"/>
    </font>
    <font>
      <sz val="10.0"/>
      <color rgb="FFFFFFFF"/>
      <name val="Calibri"/>
    </font>
  </fonts>
  <fills count="3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76A5AF"/>
        <bgColor rgb="FF76A5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E69138"/>
        <bgColor rgb="FFE69138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8EA9DB"/>
        <bgColor rgb="FF8EA9DB"/>
      </patternFill>
    </fill>
    <fill>
      <patternFill patternType="solid">
        <fgColor rgb="FFDDEBF7"/>
        <bgColor rgb="FFDDEBF7"/>
      </patternFill>
    </fill>
    <fill>
      <patternFill patternType="solid">
        <fgColor rgb="FFD9E1F2"/>
        <bgColor rgb="FFD9E1F2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E3D8D4"/>
        <bgColor rgb="FFE3D8D4"/>
      </patternFill>
    </fill>
    <fill>
      <patternFill patternType="solid">
        <fgColor rgb="FFA9D08E"/>
        <bgColor rgb="FFA9D08E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bottom style="thin">
        <color rgb="FF000000"/>
      </bottom>
    </border>
    <border>
      <left/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</border>
    <border>
      <left/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dotted">
        <color rgb="FF434343"/>
      </right>
      <top style="dotted">
        <color rgb="FF434343"/>
      </top>
      <bottom style="dotted">
        <color rgb="FF434343"/>
      </bottom>
    </border>
    <border>
      <left style="dotted">
        <color rgb="FF434343"/>
      </left>
      <right style="dotted">
        <color rgb="FF434343"/>
      </right>
      <top style="dotted">
        <color rgb="FF434343"/>
      </top>
      <bottom style="dotted">
        <color rgb="FF434343"/>
      </bottom>
    </border>
    <border>
      <left style="dotted">
        <color rgb="FF434343"/>
      </left>
      <right style="dotted">
        <color rgb="FF434343"/>
      </right>
      <bottom style="dotted">
        <color rgb="FF434343"/>
      </bottom>
    </border>
    <border>
      <left style="dotted">
        <color rgb="FF434343"/>
      </left>
      <top style="dotted">
        <color rgb="FF434343"/>
      </top>
      <bottom style="dotted">
        <color rgb="FF434343"/>
      </bottom>
    </border>
    <border>
      <left style="thick">
        <color rgb="FF000000"/>
      </left>
      <right style="dotted">
        <color rgb="FF434343"/>
      </right>
      <top style="dotted">
        <color rgb="FF434343"/>
      </top>
      <bottom style="dotted">
        <color rgb="FF434343"/>
      </bottom>
    </border>
    <border>
      <right style="dotted">
        <color rgb="FF434343"/>
      </right>
      <top style="dotted">
        <color rgb="FF434343"/>
      </top>
      <bottom style="thick">
        <color rgb="FF000000"/>
      </bottom>
    </border>
    <border>
      <left style="dotted">
        <color rgb="FF434343"/>
      </left>
      <right style="dotted">
        <color rgb="FF434343"/>
      </right>
      <top style="dotted">
        <color rgb="FF434343"/>
      </top>
      <bottom style="thick">
        <color rgb="FF000000"/>
      </bottom>
    </border>
    <border>
      <left style="dotted">
        <color rgb="FF434343"/>
      </left>
      <top style="dotted">
        <color rgb="FF434343"/>
      </top>
      <bottom style="thick">
        <color rgb="FF000000"/>
      </bottom>
    </border>
    <border>
      <left style="thick">
        <color rgb="FF000000"/>
      </left>
      <right style="dotted">
        <color rgb="FF434343"/>
      </right>
      <top style="dotted">
        <color rgb="FF434343"/>
      </top>
      <bottom style="thick">
        <color rgb="FF000000"/>
      </bottom>
    </border>
    <border>
      <right style="dotted">
        <color rgb="FF434343"/>
      </right>
      <bottom style="dotted">
        <color rgb="FF434343"/>
      </bottom>
    </border>
    <border>
      <left style="dotted">
        <color rgb="FF434343"/>
      </left>
      <bottom style="dotted">
        <color rgb="FF434343"/>
      </bottom>
    </border>
    <border>
      <left style="thick">
        <color rgb="FF000000"/>
      </left>
      <right style="dotted">
        <color rgb="FF434343"/>
      </right>
      <bottom style="dotted">
        <color rgb="FF434343"/>
      </bottom>
    </border>
    <border>
      <right style="dotted">
        <color rgb="FF434343"/>
      </right>
      <top style="dotted">
        <color rgb="FF434343"/>
      </top>
    </border>
    <border>
      <left style="dotted">
        <color rgb="FF434343"/>
      </left>
      <right style="dotted">
        <color rgb="FF434343"/>
      </right>
      <top style="dotted">
        <color rgb="FF434343"/>
      </top>
    </border>
    <border>
      <left style="dotted">
        <color rgb="FF434343"/>
      </left>
      <top style="dotted">
        <color rgb="FF434343"/>
      </top>
    </border>
    <border>
      <left style="thick">
        <color rgb="FF000000"/>
      </left>
      <right style="dotted">
        <color rgb="FF434343"/>
      </right>
      <top style="dotted">
        <color rgb="FF434343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2" fontId="1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4" fillId="0" fontId="5" numFmtId="0" xfId="0" applyBorder="1" applyFont="1"/>
    <xf borderId="0" fillId="0" fontId="6" numFmtId="0" xfId="0" applyFont="1"/>
    <xf borderId="5" fillId="2" fontId="1" numFmtId="0" xfId="0" applyAlignment="1" applyBorder="1" applyFill="1" applyFont="1">
      <alignment horizontal="center" shrinkToFit="0" vertical="center" wrapText="1"/>
    </xf>
    <xf borderId="6" fillId="3" fontId="2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horizontal="center" shrinkToFit="0" vertical="center" wrapText="1"/>
    </xf>
    <xf borderId="0" fillId="2" fontId="3" numFmtId="0" xfId="0" applyAlignment="1" applyFill="1" applyFont="1">
      <alignment horizontal="center"/>
    </xf>
    <xf borderId="6" fillId="4" fontId="7" numFmtId="0" xfId="0" applyAlignment="1" applyBorder="1" applyFill="1" applyFont="1">
      <alignment horizontal="center" vertical="center"/>
    </xf>
    <xf borderId="8" fillId="0" fontId="5" numFmtId="0" xfId="0" applyBorder="1" applyFont="1"/>
    <xf borderId="9" fillId="4" fontId="7" numFmtId="0" xfId="0" applyAlignment="1" applyBorder="1" applyFill="1" applyFont="1">
      <alignment horizontal="center" vertical="center"/>
    </xf>
    <xf borderId="6" fillId="3" fontId="8" numFmtId="0" xfId="0" applyAlignment="1" applyBorder="1" applyFill="1" applyFont="1">
      <alignment horizontal="center" vertical="center"/>
    </xf>
    <xf borderId="10" fillId="0" fontId="5" numFmtId="0" xfId="0" applyBorder="1" applyFont="1"/>
    <xf borderId="11" fillId="2" fontId="3" numFmtId="0" xfId="0" applyAlignment="1" applyBorder="1" applyFill="1" applyFont="1">
      <alignment horizontal="center" vertical="center"/>
    </xf>
    <xf borderId="2" fillId="4" fontId="7" numFmtId="0" xfId="0" applyAlignment="1" applyBorder="1" applyFill="1" applyFont="1">
      <alignment horizontal="center" vertical="center"/>
    </xf>
    <xf borderId="11" fillId="2" fontId="4" numFmtId="0" xfId="0" applyAlignment="1" applyBorder="1" applyFill="1" applyFont="1">
      <alignment horizontal="center" vertical="center"/>
    </xf>
    <xf borderId="12" fillId="0" fontId="5" numFmtId="0" xfId="0" applyBorder="1" applyFont="1"/>
    <xf borderId="13" fillId="5" fontId="9" numFmtId="49" xfId="0" applyAlignment="1" applyBorder="1" applyFill="1" applyFont="1" applyNumberFormat="1">
      <alignment horizontal="center"/>
    </xf>
    <xf borderId="14" fillId="2" fontId="4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6" fillId="6" fontId="7" numFmtId="0" xfId="0" applyAlignment="1" applyBorder="1" applyFill="1" applyFont="1">
      <alignment horizontal="center" vertical="center"/>
    </xf>
    <xf borderId="13" fillId="0" fontId="5" numFmtId="0" xfId="0" applyBorder="1" applyFont="1"/>
    <xf borderId="13" fillId="5" fontId="9" numFmtId="0" xfId="0" applyAlignment="1" applyBorder="1" applyFill="1" applyFont="1">
      <alignment horizontal="left"/>
    </xf>
    <xf borderId="15" fillId="6" fontId="7" numFmtId="0" xfId="0" applyAlignment="1" applyBorder="1" applyFill="1" applyFont="1">
      <alignment horizontal="center" vertical="center"/>
    </xf>
    <xf borderId="3" fillId="7" fontId="10" numFmtId="0" xfId="0" applyAlignment="1" applyBorder="1" applyFill="1" applyFont="1">
      <alignment horizontal="center" vertical="center"/>
    </xf>
    <xf borderId="7" fillId="2" fontId="3" numFmtId="0" xfId="0" applyAlignment="1" applyBorder="1" applyFill="1" applyFont="1">
      <alignment horizontal="center" vertical="center"/>
    </xf>
    <xf borderId="13" fillId="0" fontId="9" numFmtId="0" xfId="0" applyBorder="1" applyFont="1"/>
    <xf borderId="16" fillId="0" fontId="5" numFmtId="0" xfId="0" applyBorder="1" applyFont="1"/>
    <xf borderId="2" fillId="5" fontId="10" numFmtId="0" xfId="0" applyAlignment="1" applyBorder="1" applyFill="1" applyFont="1">
      <alignment horizontal="center" vertical="center"/>
    </xf>
    <xf borderId="3" fillId="0" fontId="9" numFmtId="164" xfId="0" applyAlignment="1" applyBorder="1" applyFont="1" applyNumberFormat="1">
      <alignment horizontal="center" vertical="bottom"/>
    </xf>
    <xf borderId="13" fillId="5" fontId="9" numFmtId="164" xfId="0" applyAlignment="1" applyBorder="1" applyFill="1" applyFont="1" applyNumberFormat="1">
      <alignment horizontal="center"/>
    </xf>
    <xf borderId="17" fillId="8" fontId="10" numFmtId="0" xfId="0" applyAlignment="1" applyBorder="1" applyFill="1" applyFont="1">
      <alignment horizontal="center" vertical="center"/>
    </xf>
    <xf borderId="11" fillId="2" fontId="3" numFmtId="0" xfId="0" applyAlignment="1" applyBorder="1" applyFill="1" applyFont="1">
      <alignment horizontal="center" shrinkToFit="0" vertical="center" wrapText="1"/>
    </xf>
    <xf borderId="13" fillId="5" fontId="9" numFmtId="1" xfId="0" applyAlignment="1" applyBorder="1" applyFill="1" applyFont="1" applyNumberFormat="1">
      <alignment horizontal="center"/>
    </xf>
    <xf borderId="11" fillId="0" fontId="5" numFmtId="0" xfId="0" applyBorder="1" applyFont="1"/>
    <xf borderId="3" fillId="7" fontId="10" numFmtId="10" xfId="0" applyAlignment="1" applyBorder="1" applyFill="1" applyFont="1" applyNumberFormat="1">
      <alignment horizontal="center" vertical="center"/>
    </xf>
    <xf borderId="14" fillId="0" fontId="5" numFmtId="0" xfId="0" applyBorder="1" applyFont="1"/>
    <xf borderId="13" fillId="5" fontId="9" numFmtId="0" xfId="0" applyAlignment="1" applyBorder="1" applyFill="1" applyFont="1">
      <alignment horizontal="center"/>
    </xf>
    <xf borderId="13" fillId="5" fontId="9" numFmtId="4" xfId="0" applyAlignment="1" applyBorder="1" applyFill="1" applyFont="1" applyNumberFormat="1">
      <alignment horizontal="center"/>
    </xf>
    <xf borderId="18" fillId="8" fontId="7" numFmtId="0" xfId="0" applyAlignment="1" applyBorder="1" applyFill="1" applyFont="1">
      <alignment horizontal="center"/>
    </xf>
    <xf borderId="3" fillId="5" fontId="9" numFmtId="4" xfId="0" applyAlignment="1" applyBorder="1" applyFill="1" applyFont="1" applyNumberFormat="1">
      <alignment horizontal="center"/>
    </xf>
    <xf borderId="18" fillId="0" fontId="5" numFmtId="0" xfId="0" applyBorder="1" applyFont="1"/>
    <xf borderId="2" fillId="5" fontId="9" numFmtId="10" xfId="0" applyAlignment="1" applyBorder="1" applyFill="1" applyFont="1" applyNumberFormat="1">
      <alignment horizontal="center"/>
    </xf>
    <xf borderId="3" fillId="0" fontId="10" numFmtId="10" xfId="0" applyAlignment="1" applyBorder="1" applyFont="1" applyNumberFormat="1">
      <alignment horizontal="center" vertical="center"/>
    </xf>
    <xf borderId="0" fillId="0" fontId="9" numFmtId="4" xfId="0" applyAlignment="1" applyFont="1" applyNumberFormat="1">
      <alignment horizontal="center"/>
    </xf>
    <xf borderId="2" fillId="9" fontId="7" numFmtId="0" xfId="0" applyAlignment="1" applyBorder="1" applyFill="1" applyFont="1">
      <alignment horizontal="center" vertical="center"/>
    </xf>
    <xf borderId="6" fillId="4" fontId="7" numFmtId="0" xfId="0" applyAlignment="1" applyBorder="1" applyFill="1" applyFont="1">
      <alignment horizontal="center" shrinkToFit="0" vertical="center" wrapText="1"/>
    </xf>
    <xf borderId="0" fillId="0" fontId="11" numFmtId="165" xfId="0" applyAlignment="1" applyFont="1" applyNumberFormat="1">
      <alignment horizontal="right"/>
    </xf>
    <xf borderId="2" fillId="10" fontId="7" numFmtId="0" xfId="0" applyAlignment="1" applyBorder="1" applyFill="1" applyFont="1">
      <alignment horizontal="center" vertical="center"/>
    </xf>
    <xf borderId="13" fillId="0" fontId="7" numFmtId="49" xfId="0" applyAlignment="1" applyBorder="1" applyFont="1" applyNumberFormat="1">
      <alignment horizontal="center" vertical="center"/>
    </xf>
    <xf borderId="3" fillId="0" fontId="9" numFmtId="0" xfId="0" applyBorder="1" applyFont="1"/>
    <xf borderId="2" fillId="11" fontId="7" numFmtId="0" xfId="0" applyAlignment="1" applyBorder="1" applyFill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9" fillId="0" fontId="5" numFmtId="0" xfId="0" applyBorder="1" applyFont="1"/>
    <xf borderId="7" fillId="2" fontId="4" numFmtId="0" xfId="0" applyAlignment="1" applyBorder="1" applyFill="1" applyFont="1">
      <alignment horizontal="center" vertical="center"/>
    </xf>
    <xf borderId="3" fillId="2" fontId="4" numFmtId="0" xfId="0" applyAlignment="1" applyBorder="1" applyFill="1" applyFont="1">
      <alignment horizontal="center" vertical="center"/>
    </xf>
    <xf borderId="13" fillId="0" fontId="7" numFmtId="164" xfId="0" applyAlignment="1" applyBorder="1" applyFont="1" applyNumberFormat="1">
      <alignment horizontal="center" vertical="center"/>
    </xf>
    <xf borderId="2" fillId="8" fontId="10" numFmtId="0" xfId="0" applyAlignment="1" applyBorder="1" applyFill="1" applyFont="1">
      <alignment horizontal="center" vertical="center"/>
    </xf>
    <xf borderId="3" fillId="2" fontId="3" numFmtId="0" xfId="0" applyAlignment="1" applyBorder="1" applyFill="1" applyFont="1">
      <alignment horizontal="center" vertical="center"/>
    </xf>
    <xf borderId="20" fillId="7" fontId="9" numFmtId="0" xfId="0" applyAlignment="1" applyBorder="1" applyFill="1" applyFont="1">
      <alignment horizontal="center"/>
    </xf>
    <xf borderId="2" fillId="9" fontId="10" numFmtId="0" xfId="0" applyAlignment="1" applyBorder="1" applyFill="1" applyFont="1">
      <alignment horizontal="center" vertical="center"/>
    </xf>
    <xf borderId="21" fillId="2" fontId="3" numFmtId="0" xfId="0" applyAlignment="1" applyBorder="1" applyFill="1" applyFont="1">
      <alignment horizontal="center" vertical="center"/>
    </xf>
    <xf borderId="0" fillId="0" fontId="6" numFmtId="166" xfId="0" applyFont="1" applyNumberFormat="1"/>
    <xf borderId="13" fillId="0" fontId="7" numFmtId="1" xfId="0" applyAlignment="1" applyBorder="1" applyFont="1" applyNumberFormat="1">
      <alignment horizontal="center" vertical="center"/>
    </xf>
    <xf borderId="3" fillId="8" fontId="7" numFmtId="0" xfId="0" applyAlignment="1" applyBorder="1" applyFill="1" applyFont="1">
      <alignment horizontal="center"/>
    </xf>
    <xf borderId="2" fillId="10" fontId="10" numFmtId="0" xfId="0" applyAlignment="1" applyBorder="1" applyFill="1" applyFont="1">
      <alignment horizontal="center" vertical="center"/>
    </xf>
    <xf borderId="3" fillId="8" fontId="7" numFmtId="3" xfId="0" applyAlignment="1" applyBorder="1" applyFill="1" applyFont="1" applyNumberFormat="1">
      <alignment horizontal="center"/>
    </xf>
    <xf borderId="2" fillId="11" fontId="10" numFmtId="0" xfId="0" applyAlignment="1" applyBorder="1" applyFill="1" applyFont="1">
      <alignment horizontal="center" vertical="center"/>
    </xf>
    <xf borderId="22" fillId="0" fontId="5" numFmtId="0" xfId="0" applyBorder="1" applyFont="1"/>
    <xf borderId="3" fillId="9" fontId="7" numFmtId="0" xfId="0" applyAlignment="1" applyBorder="1" applyFill="1" applyFont="1">
      <alignment horizontal="center"/>
    </xf>
    <xf borderId="3" fillId="0" fontId="7" numFmtId="4" xfId="0" applyAlignment="1" applyBorder="1" applyFont="1" applyNumberFormat="1">
      <alignment horizontal="center" vertical="center"/>
    </xf>
    <xf borderId="0" fillId="0" fontId="11" numFmtId="167" xfId="0" applyAlignment="1" applyFont="1" applyNumberFormat="1">
      <alignment horizontal="right"/>
    </xf>
    <xf borderId="3" fillId="4" fontId="7" numFmtId="0" xfId="0" applyAlignment="1" applyBorder="1" applyFill="1" applyFont="1">
      <alignment horizontal="center" vertical="center"/>
    </xf>
    <xf borderId="3" fillId="10" fontId="7" numFmtId="0" xfId="0" applyAlignment="1" applyBorder="1" applyFill="1" applyFont="1">
      <alignment horizontal="center"/>
    </xf>
    <xf borderId="3" fillId="10" fontId="7" numFmtId="0" xfId="0" applyAlignment="1" applyBorder="1" applyFill="1" applyFont="1">
      <alignment horizontal="center" vertical="center"/>
    </xf>
    <xf borderId="3" fillId="11" fontId="7" numFmtId="0" xfId="0" applyAlignment="1" applyBorder="1" applyFill="1" applyFont="1">
      <alignment horizontal="center"/>
    </xf>
    <xf borderId="3" fillId="0" fontId="10" numFmtId="0" xfId="0" applyAlignment="1" applyBorder="1" applyFont="1">
      <alignment horizontal="center" vertical="center"/>
    </xf>
    <xf borderId="23" fillId="0" fontId="5" numFmtId="0" xfId="0" applyBorder="1" applyFont="1"/>
    <xf borderId="3" fillId="11" fontId="7" numFmtId="3" xfId="0" applyAlignment="1" applyBorder="1" applyFill="1" applyFont="1" applyNumberFormat="1">
      <alignment horizontal="center"/>
    </xf>
    <xf borderId="3" fillId="8" fontId="10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/>
    </xf>
    <xf borderId="3" fillId="9" fontId="10" numFmtId="0" xfId="0" applyAlignment="1" applyBorder="1" applyFill="1" applyFont="1">
      <alignment horizontal="center" vertical="center"/>
    </xf>
    <xf borderId="13" fillId="12" fontId="9" numFmtId="49" xfId="0" applyAlignment="1" applyBorder="1" applyFill="1" applyFont="1" applyNumberFormat="1">
      <alignment horizontal="center" vertical="center"/>
    </xf>
    <xf borderId="3" fillId="10" fontId="10" numFmtId="0" xfId="0" applyAlignment="1" applyBorder="1" applyFill="1" applyFont="1">
      <alignment horizontal="center" vertical="center"/>
    </xf>
    <xf borderId="13" fillId="12" fontId="9" numFmtId="0" xfId="0" applyAlignment="1" applyBorder="1" applyFill="1" applyFont="1">
      <alignment vertical="center"/>
    </xf>
    <xf borderId="3" fillId="11" fontId="10" numFmtId="0" xfId="0" applyAlignment="1" applyBorder="1" applyFill="1" applyFont="1">
      <alignment horizontal="center" vertical="center"/>
    </xf>
    <xf borderId="0" fillId="0" fontId="12" numFmtId="165" xfId="0" applyAlignment="1" applyFont="1" applyNumberFormat="1">
      <alignment horizontal="right"/>
    </xf>
    <xf borderId="3" fillId="12" fontId="13" numFmtId="164" xfId="0" applyAlignment="1" applyBorder="1" applyFill="1" applyFont="1" applyNumberFormat="1">
      <alignment horizontal="center" shrinkToFit="0" wrapText="0"/>
    </xf>
    <xf borderId="13" fillId="0" fontId="7" numFmtId="10" xfId="0" applyAlignment="1" applyBorder="1" applyFont="1" applyNumberFormat="1">
      <alignment horizontal="center" vertical="center"/>
    </xf>
    <xf borderId="3" fillId="13" fontId="9" numFmtId="49" xfId="0" applyAlignment="1" applyBorder="1" applyFill="1" applyFont="1" applyNumberFormat="1">
      <alignment horizontal="center" vertical="center"/>
    </xf>
    <xf borderId="3" fillId="13" fontId="9" numFmtId="0" xfId="0" applyAlignment="1" applyBorder="1" applyFill="1" applyFont="1">
      <alignment vertical="center"/>
    </xf>
    <xf borderId="3" fillId="13" fontId="9" numFmtId="168" xfId="0" applyAlignment="1" applyBorder="1" applyFill="1" applyFont="1" applyNumberFormat="1">
      <alignment horizontal="center" vertical="center"/>
    </xf>
    <xf borderId="0" fillId="0" fontId="14" numFmtId="0" xfId="0" applyFont="1"/>
    <xf borderId="13" fillId="12" fontId="9" numFmtId="1" xfId="0" applyAlignment="1" applyBorder="1" applyFill="1" applyFont="1" applyNumberFormat="1">
      <alignment horizontal="center" vertical="center"/>
    </xf>
    <xf borderId="3" fillId="5" fontId="9" numFmtId="166" xfId="0" applyAlignment="1" applyBorder="1" applyFill="1" applyFont="1" applyNumberFormat="1">
      <alignment horizontal="center" vertical="center"/>
    </xf>
    <xf borderId="0" fillId="0" fontId="14" numFmtId="4" xfId="0" applyFont="1" applyNumberFormat="1"/>
    <xf borderId="13" fillId="12" fontId="9" numFmtId="0" xfId="0" applyAlignment="1" applyBorder="1" applyFill="1" applyFont="1">
      <alignment horizontal="center" vertical="center"/>
    </xf>
    <xf borderId="0" fillId="0" fontId="14" numFmtId="165" xfId="0" applyAlignment="1" applyFont="1" applyNumberFormat="1">
      <alignment horizontal="center"/>
    </xf>
    <xf borderId="0" fillId="0" fontId="14" numFmtId="10" xfId="0" applyAlignment="1" applyFont="1" applyNumberFormat="1">
      <alignment horizontal="center"/>
    </xf>
    <xf borderId="3" fillId="5" fontId="9" numFmtId="0" xfId="0" applyAlignment="1" applyBorder="1" applyFill="1" applyFont="1">
      <alignment horizontal="left" vertical="center"/>
    </xf>
    <xf borderId="0" fillId="0" fontId="14" numFmtId="167" xfId="0" applyAlignment="1" applyFont="1" applyNumberFormat="1">
      <alignment horizontal="center"/>
    </xf>
    <xf borderId="13" fillId="12" fontId="9" numFmtId="10" xfId="0" applyAlignment="1" applyBorder="1" applyFill="1" applyFont="1" applyNumberFormat="1">
      <alignment horizontal="center" vertical="center"/>
    </xf>
    <xf borderId="3" fillId="13" fontId="9" numFmtId="1" xfId="0" applyAlignment="1" applyBorder="1" applyFill="1" applyFont="1" applyNumberFormat="1">
      <alignment horizontal="center" vertical="center"/>
    </xf>
    <xf borderId="3" fillId="5" fontId="9" numFmtId="164" xfId="0" applyAlignment="1" applyBorder="1" applyFill="1" applyFont="1" applyNumberFormat="1">
      <alignment horizontal="center" vertical="center"/>
    </xf>
    <xf borderId="3" fillId="13" fontId="9" numFmtId="0" xfId="0" applyAlignment="1" applyBorder="1" applyFill="1" applyFont="1">
      <alignment horizontal="center" vertical="center"/>
    </xf>
    <xf borderId="3" fillId="5" fontId="9" numFmtId="1" xfId="0" applyAlignment="1" applyBorder="1" applyFill="1" applyFont="1" applyNumberFormat="1">
      <alignment horizontal="center" vertical="center"/>
    </xf>
    <xf borderId="3" fillId="12" fontId="9" numFmtId="4" xfId="0" applyAlignment="1" applyBorder="1" applyFill="1" applyFont="1" applyNumberFormat="1">
      <alignment horizontal="center" vertical="center"/>
    </xf>
    <xf borderId="3" fillId="13" fontId="9" numFmtId="10" xfId="0" applyAlignment="1" applyBorder="1" applyFill="1" applyFont="1" applyNumberFormat="1">
      <alignment horizontal="center" vertical="center"/>
    </xf>
    <xf borderId="3" fillId="5" fontId="9" numFmtId="0" xfId="0" applyAlignment="1" applyBorder="1" applyFill="1" applyFont="1">
      <alignment horizontal="center" vertical="center"/>
    </xf>
    <xf borderId="3" fillId="5" fontId="9" numFmtId="4" xfId="0" applyAlignment="1" applyBorder="1" applyFill="1" applyFont="1" applyNumberFormat="1">
      <alignment horizontal="center" vertical="center"/>
    </xf>
    <xf borderId="3" fillId="13" fontId="9" numFmtId="169" xfId="0" applyAlignment="1" applyBorder="1" applyFill="1" applyFont="1" applyNumberFormat="1">
      <alignment horizontal="center" vertical="center"/>
    </xf>
    <xf borderId="3" fillId="12" fontId="9" numFmtId="10" xfId="0" applyAlignment="1" applyBorder="1" applyFill="1" applyFont="1" applyNumberFormat="1">
      <alignment horizontal="center" vertical="center"/>
    </xf>
    <xf borderId="3" fillId="12" fontId="6" numFmtId="170" xfId="0" applyBorder="1" applyFill="1" applyFont="1" applyNumberFormat="1"/>
    <xf borderId="3" fillId="13" fontId="9" numFmtId="2" xfId="0" applyAlignment="1" applyBorder="1" applyFill="1" applyFont="1" applyNumberFormat="1">
      <alignment horizontal="center" vertical="center"/>
    </xf>
    <xf borderId="3" fillId="12" fontId="6" numFmtId="3" xfId="0" applyAlignment="1" applyBorder="1" applyFill="1" applyFont="1" applyNumberFormat="1">
      <alignment vertical="bottom"/>
    </xf>
    <xf borderId="3" fillId="12" fontId="6" numFmtId="0" xfId="0" applyAlignment="1" applyBorder="1" applyFill="1" applyFont="1">
      <alignment vertical="bottom"/>
    </xf>
    <xf borderId="3" fillId="5" fontId="9" numFmtId="10" xfId="0" applyAlignment="1" applyBorder="1" applyFill="1" applyFont="1" applyNumberFormat="1">
      <alignment horizontal="center" vertical="center"/>
    </xf>
    <xf borderId="13" fillId="14" fontId="9" numFmtId="49" xfId="0" applyAlignment="1" applyBorder="1" applyFill="1" applyFont="1" applyNumberFormat="1">
      <alignment horizontal="center"/>
    </xf>
    <xf borderId="13" fillId="14" fontId="9" numFmtId="0" xfId="0" applyBorder="1" applyFill="1" applyFont="1"/>
    <xf borderId="3" fillId="14" fontId="13" numFmtId="164" xfId="0" applyAlignment="1" applyBorder="1" applyFill="1" applyFont="1" applyNumberFormat="1">
      <alignment horizontal="center" shrinkToFit="0" wrapText="0"/>
    </xf>
    <xf borderId="3" fillId="5" fontId="10" numFmtId="10" xfId="0" applyAlignment="1" applyBorder="1" applyFill="1" applyFont="1" applyNumberFormat="1">
      <alignment horizontal="center" vertical="center"/>
    </xf>
    <xf borderId="3" fillId="14" fontId="9" numFmtId="1" xfId="0" applyAlignment="1" applyBorder="1" applyFill="1" applyFont="1" applyNumberFormat="1">
      <alignment horizontal="center" vertical="center"/>
    </xf>
    <xf borderId="3" fillId="13" fontId="9" numFmtId="4" xfId="0" applyAlignment="1" applyBorder="1" applyFill="1" applyFont="1" applyNumberFormat="1">
      <alignment horizontal="center"/>
    </xf>
    <xf borderId="3" fillId="13" fontId="9" numFmtId="0" xfId="0" applyAlignment="1" applyBorder="1" applyFill="1" applyFont="1">
      <alignment horizontal="center"/>
    </xf>
    <xf borderId="20" fillId="13" fontId="9" numFmtId="0" xfId="0" applyAlignment="1" applyBorder="1" applyFill="1" applyFont="1">
      <alignment horizontal="center"/>
    </xf>
    <xf borderId="13" fillId="0" fontId="7" numFmtId="0" xfId="0" applyAlignment="1" applyBorder="1" applyFont="1">
      <alignment horizontal="left" vertical="center"/>
    </xf>
    <xf borderId="3" fillId="12" fontId="9" numFmtId="49" xfId="0" applyAlignment="1" applyBorder="1" applyFill="1" applyFont="1" applyNumberFormat="1">
      <alignment horizontal="center" vertical="center"/>
    </xf>
    <xf borderId="13" fillId="14" fontId="9" numFmtId="0" xfId="0" applyAlignment="1" applyBorder="1" applyFill="1" applyFont="1">
      <alignment horizontal="center"/>
    </xf>
    <xf borderId="3" fillId="12" fontId="9" numFmtId="0" xfId="0" applyAlignment="1" applyBorder="1" applyFill="1" applyFont="1">
      <alignment vertical="center"/>
    </xf>
    <xf borderId="3" fillId="12" fontId="9" numFmtId="168" xfId="0" applyAlignment="1" applyBorder="1" applyFill="1" applyFont="1" applyNumberFormat="1">
      <alignment horizontal="center" vertical="center"/>
    </xf>
    <xf borderId="3" fillId="12" fontId="9" numFmtId="1" xfId="0" applyAlignment="1" applyBorder="1" applyFill="1" applyFont="1" applyNumberFormat="1">
      <alignment horizontal="center" vertical="center"/>
    </xf>
    <xf borderId="13" fillId="14" fontId="9" numFmtId="10" xfId="0" applyAlignment="1" applyBorder="1" applyFill="1" applyFont="1" applyNumberFormat="1">
      <alignment horizontal="center"/>
    </xf>
    <xf borderId="3" fillId="12" fontId="9" numFmtId="0" xfId="0" applyAlignment="1" applyBorder="1" applyFill="1" applyFont="1">
      <alignment horizontal="center" vertical="center"/>
    </xf>
    <xf borderId="3" fillId="14" fontId="9" numFmtId="4" xfId="0" applyAlignment="1" applyBorder="1" applyFill="1" applyFont="1" applyNumberFormat="1">
      <alignment horizontal="center"/>
    </xf>
    <xf borderId="3" fillId="14" fontId="9" numFmtId="10" xfId="0" applyAlignment="1" applyBorder="1" applyFill="1" applyFont="1" applyNumberFormat="1">
      <alignment horizontal="center" vertical="center"/>
    </xf>
    <xf borderId="3" fillId="12" fontId="9" numFmtId="169" xfId="0" applyAlignment="1" applyBorder="1" applyFill="1" applyFont="1" applyNumberFormat="1">
      <alignment horizontal="center" vertical="center"/>
    </xf>
    <xf borderId="13" fillId="14" fontId="6" numFmtId="4" xfId="0" applyBorder="1" applyFill="1" applyFont="1" applyNumberFormat="1"/>
    <xf borderId="3" fillId="5" fontId="9" numFmtId="49" xfId="0" applyAlignment="1" applyBorder="1" applyFill="1" applyFont="1" applyNumberFormat="1">
      <alignment horizontal="center" vertical="center"/>
    </xf>
    <xf borderId="3" fillId="14" fontId="6" numFmtId="170" xfId="0" applyBorder="1" applyFill="1" applyFont="1" applyNumberFormat="1"/>
    <xf borderId="3" fillId="12" fontId="9" numFmtId="2" xfId="0" applyAlignment="1" applyBorder="1" applyFill="1" applyFont="1" applyNumberFormat="1">
      <alignment horizontal="center" vertical="center"/>
    </xf>
    <xf borderId="3" fillId="14" fontId="6" numFmtId="3" xfId="0" applyAlignment="1" applyBorder="1" applyFill="1" applyFont="1" applyNumberFormat="1">
      <alignment vertical="bottom"/>
    </xf>
    <xf borderId="3" fillId="14" fontId="6" numFmtId="4" xfId="0" applyAlignment="1" applyBorder="1" applyFill="1" applyFont="1" applyNumberFormat="1">
      <alignment vertical="bottom"/>
    </xf>
    <xf borderId="3" fillId="14" fontId="6" numFmtId="170" xfId="0" applyAlignment="1" applyBorder="1" applyFill="1" applyFont="1" applyNumberFormat="1">
      <alignment vertical="bottom"/>
    </xf>
    <xf borderId="3" fillId="14" fontId="6" numFmtId="169" xfId="0" applyAlignment="1" applyBorder="1" applyFill="1" applyFont="1" applyNumberFormat="1">
      <alignment vertical="bottom"/>
    </xf>
    <xf borderId="3" fillId="12" fontId="9" numFmtId="170" xfId="0" applyAlignment="1" applyBorder="1" applyFill="1" applyFont="1" applyNumberFormat="1">
      <alignment horizontal="center" vertical="center"/>
    </xf>
    <xf borderId="3" fillId="14" fontId="6" numFmtId="0" xfId="0" applyAlignment="1" applyBorder="1" applyFill="1" applyFont="1">
      <alignment vertical="bottom"/>
    </xf>
    <xf borderId="3" fillId="14" fontId="6" numFmtId="0" xfId="0" applyBorder="1" applyFill="1" applyFont="1"/>
    <xf borderId="3" fillId="12" fontId="9" numFmtId="4" xfId="0" applyAlignment="1" applyBorder="1" applyFill="1" applyFont="1" applyNumberFormat="1">
      <alignment horizontal="center"/>
    </xf>
    <xf borderId="3" fillId="6" fontId="9" numFmtId="49" xfId="0" applyAlignment="1" applyBorder="1" applyFill="1" applyFont="1" applyNumberFormat="1">
      <alignment horizontal="center"/>
    </xf>
    <xf borderId="3" fillId="12" fontId="9" numFmtId="170" xfId="0" applyAlignment="1" applyBorder="1" applyFill="1" applyFont="1" applyNumberFormat="1">
      <alignment horizontal="center"/>
    </xf>
    <xf borderId="3" fillId="6" fontId="9" numFmtId="0" xfId="0" applyBorder="1" applyFill="1" applyFont="1"/>
    <xf borderId="20" fillId="12" fontId="9" numFmtId="4" xfId="0" applyAlignment="1" applyBorder="1" applyFill="1" applyFont="1" applyNumberFormat="1">
      <alignment horizontal="center"/>
    </xf>
    <xf borderId="3" fillId="6" fontId="13" numFmtId="168" xfId="0" applyAlignment="1" applyBorder="1" applyFill="1" applyFont="1" applyNumberFormat="1">
      <alignment horizontal="center" shrinkToFit="0" vertical="bottom" wrapText="0"/>
    </xf>
    <xf borderId="3" fillId="0" fontId="10" numFmtId="49" xfId="0" applyAlignment="1" applyBorder="1" applyFont="1" applyNumberFormat="1">
      <alignment horizontal="center" vertical="center"/>
    </xf>
    <xf borderId="3" fillId="6" fontId="9" numFmtId="1" xfId="0" applyAlignment="1" applyBorder="1" applyFill="1" applyFont="1" applyNumberFormat="1">
      <alignment horizontal="center" vertical="center"/>
    </xf>
    <xf borderId="3" fillId="0" fontId="10" numFmtId="0" xfId="0" applyAlignment="1" applyBorder="1" applyFont="1">
      <alignment vertical="center"/>
    </xf>
    <xf borderId="3" fillId="0" fontId="10" numFmtId="168" xfId="0" applyAlignment="1" applyBorder="1" applyFont="1" applyNumberFormat="1">
      <alignment horizontal="center" vertical="center"/>
    </xf>
    <xf borderId="3" fillId="6" fontId="9" numFmtId="0" xfId="0" applyAlignment="1" applyBorder="1" applyFill="1" applyFont="1">
      <alignment horizontal="center"/>
    </xf>
    <xf borderId="3" fillId="7" fontId="10" numFmtId="1" xfId="0" applyAlignment="1" applyBorder="1" applyFill="1" applyFont="1" applyNumberFormat="1">
      <alignment horizontal="center" vertical="center"/>
    </xf>
    <xf borderId="3" fillId="6" fontId="9" numFmtId="10" xfId="0" applyAlignment="1" applyBorder="1" applyFill="1" applyFont="1" applyNumberFormat="1">
      <alignment horizontal="center"/>
    </xf>
    <xf borderId="3" fillId="0" fontId="10" numFmtId="0" xfId="0" applyAlignment="1" applyBorder="1" applyFont="1">
      <alignment horizontal="left" vertical="center"/>
    </xf>
    <xf borderId="3" fillId="6" fontId="9" numFmtId="4" xfId="0" applyAlignment="1" applyBorder="1" applyFill="1" applyFont="1" applyNumberFormat="1">
      <alignment horizontal="center"/>
    </xf>
    <xf borderId="3" fillId="0" fontId="10" numFmtId="164" xfId="0" applyAlignment="1" applyBorder="1" applyFont="1" applyNumberFormat="1">
      <alignment horizontal="center" vertical="center"/>
    </xf>
    <xf borderId="3" fillId="6" fontId="9" numFmtId="10" xfId="0" applyAlignment="1" applyBorder="1" applyFill="1" applyFont="1" applyNumberFormat="1">
      <alignment horizontal="center" vertical="center"/>
    </xf>
    <xf borderId="3" fillId="0" fontId="10" numFmtId="1" xfId="0" applyAlignment="1" applyBorder="1" applyFont="1" applyNumberFormat="1">
      <alignment horizontal="center" vertical="center"/>
    </xf>
    <xf borderId="3" fillId="7" fontId="10" numFmtId="169" xfId="0" applyAlignment="1" applyBorder="1" applyFill="1" applyFont="1" applyNumberFormat="1">
      <alignment horizontal="center" vertical="center"/>
    </xf>
    <xf borderId="3" fillId="6" fontId="6" numFmtId="4" xfId="0" applyBorder="1" applyFill="1" applyFont="1" applyNumberFormat="1"/>
    <xf borderId="3" fillId="0" fontId="10" numFmtId="169" xfId="0" applyAlignment="1" applyBorder="1" applyFont="1" applyNumberFormat="1">
      <alignment horizontal="center" vertical="center"/>
    </xf>
    <xf borderId="3" fillId="0" fontId="10" numFmtId="4" xfId="0" applyAlignment="1" applyBorder="1" applyFont="1" applyNumberFormat="1">
      <alignment horizontal="center" vertical="center"/>
    </xf>
    <xf borderId="3" fillId="6" fontId="6" numFmtId="170" xfId="0" applyBorder="1" applyFill="1" applyFont="1" applyNumberFormat="1"/>
    <xf borderId="3" fillId="6" fontId="6" numFmtId="3" xfId="0" applyAlignment="1" applyBorder="1" applyFill="1" applyFont="1" applyNumberFormat="1">
      <alignment vertical="bottom"/>
    </xf>
    <xf borderId="3" fillId="6" fontId="6" numFmtId="4" xfId="0" applyAlignment="1" applyBorder="1" applyFill="1" applyFont="1" applyNumberFormat="1">
      <alignment vertical="bottom"/>
    </xf>
    <xf borderId="3" fillId="6" fontId="6" numFmtId="170" xfId="0" applyAlignment="1" applyBorder="1" applyFill="1" applyFont="1" applyNumberFormat="1">
      <alignment vertical="bottom"/>
    </xf>
    <xf borderId="3" fillId="6" fontId="6" numFmtId="169" xfId="0" applyAlignment="1" applyBorder="1" applyFill="1" applyFont="1" applyNumberFormat="1">
      <alignment vertical="bottom"/>
    </xf>
    <xf borderId="3" fillId="6" fontId="6" numFmtId="0" xfId="0" applyAlignment="1" applyBorder="1" applyFill="1" applyFont="1">
      <alignment vertical="bottom"/>
    </xf>
    <xf borderId="3" fillId="0" fontId="10" numFmtId="2" xfId="0" applyAlignment="1" applyBorder="1" applyFont="1" applyNumberFormat="1">
      <alignment horizontal="center" vertical="center"/>
    </xf>
    <xf borderId="3" fillId="6" fontId="6" numFmtId="0" xfId="0" applyBorder="1" applyFill="1" applyFont="1"/>
    <xf borderId="3" fillId="0" fontId="10" numFmtId="49" xfId="0" applyAlignment="1" applyBorder="1" applyFont="1" applyNumberFormat="1">
      <alignment horizontal="center"/>
    </xf>
    <xf borderId="3" fillId="0" fontId="10" numFmtId="0" xfId="0" applyBorder="1" applyFont="1"/>
    <xf borderId="3" fillId="0" fontId="7" numFmtId="168" xfId="0" applyAlignment="1" applyBorder="1" applyFont="1" applyNumberFormat="1">
      <alignment horizontal="center" shrinkToFit="0" vertical="bottom" wrapText="0"/>
    </xf>
    <xf borderId="3" fillId="0" fontId="9" numFmtId="1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center"/>
    </xf>
    <xf borderId="3" fillId="0" fontId="10" numFmtId="10" xfId="0" applyAlignment="1" applyBorder="1" applyFont="1" applyNumberFormat="1">
      <alignment horizontal="center"/>
    </xf>
    <xf borderId="3" fillId="0" fontId="10" numFmtId="169" xfId="0" applyAlignment="1" applyBorder="1" applyFont="1" applyNumberFormat="1">
      <alignment horizontal="center"/>
    </xf>
    <xf borderId="3" fillId="15" fontId="10" numFmtId="170" xfId="0" applyAlignment="1" applyBorder="1" applyFill="1" applyFont="1" applyNumberFormat="1">
      <alignment horizontal="center" vertical="center"/>
    </xf>
    <xf borderId="3" fillId="15" fontId="10" numFmtId="4" xfId="0" applyAlignment="1" applyBorder="1" applyFill="1" applyFont="1" applyNumberFormat="1">
      <alignment horizontal="center" vertical="center"/>
    </xf>
    <xf borderId="3" fillId="15" fontId="10" numFmtId="0" xfId="0" applyAlignment="1" applyBorder="1" applyFill="1" applyFont="1">
      <alignment horizontal="center" vertical="center"/>
    </xf>
    <xf borderId="3" fillId="0" fontId="10" numFmtId="2" xfId="0" applyAlignment="1" applyBorder="1" applyFont="1" applyNumberFormat="1">
      <alignment horizontal="center"/>
    </xf>
    <xf borderId="13" fillId="0" fontId="9" numFmtId="10" xfId="0" applyAlignment="1" applyBorder="1" applyFont="1" applyNumberFormat="1">
      <alignment horizontal="center" vertical="center"/>
    </xf>
    <xf borderId="3" fillId="0" fontId="10" numFmtId="170" xfId="0" applyAlignment="1" applyBorder="1" applyFont="1" applyNumberFormat="1">
      <alignment horizontal="center" readingOrder="0"/>
    </xf>
    <xf borderId="3" fillId="0" fontId="10" numFmtId="3" xfId="0" applyAlignment="1" applyBorder="1" applyFont="1" applyNumberFormat="1">
      <alignment horizontal="center" readingOrder="0" vertical="bottom"/>
    </xf>
    <xf borderId="3" fillId="0" fontId="6" numFmtId="0" xfId="0" applyAlignment="1" applyBorder="1" applyFont="1">
      <alignment vertical="bottom"/>
    </xf>
    <xf borderId="3" fillId="0" fontId="10" numFmtId="0" xfId="0" applyAlignment="1" applyBorder="1" applyFont="1">
      <alignment horizontal="center" readingOrder="0" vertical="bottom"/>
    </xf>
    <xf borderId="3" fillId="0" fontId="10" numFmtId="169" xfId="0" applyAlignment="1" applyBorder="1" applyFont="1" applyNumberFormat="1">
      <alignment horizontal="center" readingOrder="0" vertical="bottom"/>
    </xf>
    <xf borderId="3" fillId="9" fontId="10" numFmtId="170" xfId="0" applyAlignment="1" applyBorder="1" applyFill="1" applyFont="1" applyNumberFormat="1">
      <alignment horizontal="center" vertical="center"/>
    </xf>
    <xf borderId="3" fillId="0" fontId="10" numFmtId="2" xfId="0" applyAlignment="1" applyBorder="1" applyFont="1" applyNumberFormat="1">
      <alignment horizontal="center" readingOrder="0" vertical="bottom"/>
    </xf>
    <xf borderId="3" fillId="0" fontId="6" numFmtId="0" xfId="0" applyBorder="1" applyFont="1"/>
    <xf borderId="3" fillId="0" fontId="7" numFmtId="164" xfId="0" applyAlignment="1" applyBorder="1" applyFont="1" applyNumberFormat="1">
      <alignment horizontal="center" shrinkToFit="0" wrapText="0"/>
    </xf>
    <xf borderId="3" fillId="9" fontId="10" numFmtId="169" xfId="0" applyAlignment="1" applyBorder="1" applyFill="1" applyFont="1" applyNumberFormat="1">
      <alignment horizontal="center" vertical="center"/>
    </xf>
    <xf borderId="3" fillId="10" fontId="10" numFmtId="170" xfId="0" applyAlignment="1" applyBorder="1" applyFill="1" applyFont="1" applyNumberFormat="1">
      <alignment horizontal="center" vertical="center"/>
    </xf>
    <xf borderId="3" fillId="10" fontId="10" numFmtId="4" xfId="0" applyAlignment="1" applyBorder="1" applyFill="1" applyFont="1" applyNumberFormat="1">
      <alignment horizontal="center" vertical="center"/>
    </xf>
    <xf borderId="3" fillId="11" fontId="10" numFmtId="170" xfId="0" applyAlignment="1" applyBorder="1" applyFill="1" applyFont="1" applyNumberFormat="1">
      <alignment horizontal="center" vertical="center"/>
    </xf>
    <xf borderId="3" fillId="0" fontId="6" numFmtId="3" xfId="0" applyAlignment="1" applyBorder="1" applyFont="1" applyNumberFormat="1">
      <alignment vertical="bottom"/>
    </xf>
    <xf borderId="3" fillId="11" fontId="10" numFmtId="4" xfId="0" applyAlignment="1" applyBorder="1" applyFill="1" applyFont="1" applyNumberFormat="1">
      <alignment horizontal="center" vertical="center"/>
    </xf>
    <xf borderId="3" fillId="0" fontId="10" numFmtId="0" xfId="0" applyAlignment="1" applyBorder="1" applyFont="1">
      <alignment horizontal="center" readingOrder="0"/>
    </xf>
    <xf borderId="20" fillId="11" fontId="10" numFmtId="9" xfId="0" applyAlignment="1" applyBorder="1" applyFill="1" applyFont="1" applyNumberFormat="1">
      <alignment horizontal="center" vertical="center"/>
    </xf>
    <xf borderId="20" fillId="11" fontId="10" numFmtId="4" xfId="0" applyAlignment="1" applyBorder="1" applyFill="1" applyFont="1" applyNumberFormat="1">
      <alignment horizontal="center" vertical="center"/>
    </xf>
    <xf borderId="20" fillId="11" fontId="10" numFmtId="10" xfId="0" applyAlignment="1" applyBorder="1" applyFill="1" applyFont="1" applyNumberFormat="1">
      <alignment horizontal="center" vertical="center"/>
    </xf>
    <xf borderId="20" fillId="12" fontId="9" numFmtId="4" xfId="0" applyAlignment="1" applyBorder="1" applyFill="1" applyFont="1" applyNumberFormat="1">
      <alignment horizontal="center" vertical="center"/>
    </xf>
    <xf borderId="3" fillId="6" fontId="9" numFmtId="169" xfId="0" applyAlignment="1" applyBorder="1" applyFill="1" applyFont="1" applyNumberFormat="1">
      <alignment horizontal="center"/>
    </xf>
    <xf borderId="3" fillId="16" fontId="7" numFmtId="10" xfId="0" applyAlignment="1" applyBorder="1" applyFill="1" applyFont="1" applyNumberFormat="1">
      <alignment horizontal="center" vertical="center"/>
    </xf>
    <xf borderId="3" fillId="6" fontId="9" numFmtId="2" xfId="0" applyAlignment="1" applyBorder="1" applyFill="1" applyFont="1" applyNumberFormat="1">
      <alignment horizontal="center"/>
    </xf>
    <xf borderId="0" fillId="0" fontId="6" numFmtId="10" xfId="0" applyFont="1" applyNumberFormat="1"/>
    <xf borderId="13" fillId="6" fontId="9" numFmtId="10" xfId="0" applyAlignment="1" applyBorder="1" applyFill="1" applyFont="1" applyNumberFormat="1">
      <alignment horizontal="center" vertical="center"/>
    </xf>
    <xf borderId="17" fillId="8" fontId="10" numFmtId="10" xfId="0" applyAlignment="1" applyBorder="1" applyFill="1" applyFont="1" applyNumberFormat="1">
      <alignment horizontal="center"/>
    </xf>
    <xf borderId="17" fillId="8" fontId="10" numFmtId="0" xfId="0" applyAlignment="1" applyBorder="1" applyFill="1" applyFont="1">
      <alignment horizontal="center"/>
    </xf>
    <xf borderId="0" fillId="2" fontId="3" numFmtId="10" xfId="0" applyAlignment="1" applyFill="1" applyFont="1" applyNumberFormat="1">
      <alignment horizontal="center" vertical="center"/>
    </xf>
    <xf borderId="13" fillId="2" fontId="4" numFmtId="10" xfId="0" applyAlignment="1" applyBorder="1" applyFill="1" applyFont="1" applyNumberFormat="1">
      <alignment horizontal="center" vertical="center"/>
    </xf>
    <xf borderId="13" fillId="2" fontId="3" numFmtId="0" xfId="0" applyAlignment="1" applyBorder="1" applyFill="1" applyFont="1">
      <alignment horizontal="center" vertical="center"/>
    </xf>
    <xf borderId="0" fillId="12" fontId="15" numFmtId="0" xfId="0" applyFill="1" applyFont="1"/>
    <xf borderId="3" fillId="14" fontId="10" numFmtId="10" xfId="0" applyAlignment="1" applyBorder="1" applyFill="1" applyFont="1" applyNumberFormat="1">
      <alignment horizontal="center" vertical="center"/>
    </xf>
    <xf borderId="0" fillId="14" fontId="15" numFmtId="0" xfId="0" applyFill="1" applyFont="1"/>
    <xf borderId="3" fillId="6" fontId="10" numFmtId="10" xfId="0" applyAlignment="1" applyBorder="1" applyFill="1" applyFont="1" applyNumberFormat="1">
      <alignment horizontal="center" vertical="center"/>
    </xf>
    <xf borderId="0" fillId="6" fontId="15" numFmtId="0" xfId="0" applyFill="1" applyFont="1"/>
    <xf borderId="3" fillId="6" fontId="9" numFmtId="4" xfId="0" applyAlignment="1" applyBorder="1" applyFill="1" applyFont="1" applyNumberFormat="1">
      <alignment horizontal="center" vertical="center"/>
    </xf>
    <xf borderId="3" fillId="0" fontId="10" numFmtId="170" xfId="0" applyAlignment="1" applyBorder="1" applyFont="1" applyNumberFormat="1">
      <alignment horizontal="center"/>
    </xf>
    <xf borderId="3" fillId="0" fontId="10" numFmtId="0" xfId="0" applyAlignment="1" applyBorder="1" applyFont="1">
      <alignment horizontal="center" vertical="bottom"/>
    </xf>
    <xf borderId="3" fillId="0" fontId="10" numFmtId="169" xfId="0" applyAlignment="1" applyBorder="1" applyFont="1" applyNumberFormat="1">
      <alignment horizontal="center" vertical="bottom"/>
    </xf>
    <xf borderId="3" fillId="0" fontId="10" numFmtId="2" xfId="0" applyAlignment="1" applyBorder="1" applyFont="1" applyNumberFormat="1">
      <alignment horizontal="center" vertical="bottom"/>
    </xf>
    <xf borderId="3" fillId="0" fontId="10" numFmtId="4" xfId="0" applyAlignment="1" applyBorder="1" applyFont="1" applyNumberFormat="1">
      <alignment horizontal="center"/>
    </xf>
    <xf borderId="0" fillId="0" fontId="10" numFmtId="10" xfId="0" applyAlignment="1" applyFont="1" applyNumberFormat="1">
      <alignment horizontal="center"/>
    </xf>
    <xf borderId="3" fillId="12" fontId="6" numFmtId="0" xfId="0" applyBorder="1" applyFill="1" applyFont="1"/>
    <xf borderId="3" fillId="14" fontId="10" numFmtId="49" xfId="0" applyAlignment="1" applyBorder="1" applyFill="1" applyFont="1" applyNumberFormat="1">
      <alignment horizontal="center" vertical="center"/>
    </xf>
    <xf borderId="3" fillId="14" fontId="10" numFmtId="0" xfId="0" applyAlignment="1" applyBorder="1" applyFill="1" applyFont="1">
      <alignment vertical="center"/>
    </xf>
    <xf borderId="3" fillId="14" fontId="7" numFmtId="164" xfId="0" applyAlignment="1" applyBorder="1" applyFill="1" applyFont="1" applyNumberFormat="1">
      <alignment horizontal="center" shrinkToFit="0" wrapText="0"/>
    </xf>
    <xf borderId="3" fillId="14" fontId="10" numFmtId="1" xfId="0" applyAlignment="1" applyBorder="1" applyFill="1" applyFont="1" applyNumberFormat="1">
      <alignment horizontal="center" vertical="center"/>
    </xf>
    <xf borderId="3" fillId="14" fontId="10" numFmtId="0" xfId="0" applyAlignment="1" applyBorder="1" applyFill="1" applyFont="1">
      <alignment horizontal="center" vertical="center"/>
    </xf>
    <xf borderId="3" fillId="14" fontId="10" numFmtId="4" xfId="0" applyAlignment="1" applyBorder="1" applyFill="1" applyFont="1" applyNumberFormat="1">
      <alignment horizontal="center" vertical="center"/>
    </xf>
    <xf borderId="3" fillId="6" fontId="10" numFmtId="49" xfId="0" applyAlignment="1" applyBorder="1" applyFill="1" applyFont="1" applyNumberFormat="1">
      <alignment horizontal="center" vertical="center"/>
    </xf>
    <xf borderId="3" fillId="6" fontId="10" numFmtId="0" xfId="0" applyAlignment="1" applyBorder="1" applyFill="1" applyFont="1">
      <alignment vertical="center"/>
    </xf>
    <xf borderId="3" fillId="6" fontId="7" numFmtId="164" xfId="0" applyAlignment="1" applyBorder="1" applyFill="1" applyFont="1" applyNumberFormat="1">
      <alignment horizontal="center" shrinkToFit="0" wrapText="0"/>
    </xf>
    <xf borderId="3" fillId="6" fontId="10" numFmtId="1" xfId="0" applyAlignment="1" applyBorder="1" applyFill="1" applyFont="1" applyNumberFormat="1">
      <alignment horizontal="center" vertical="center"/>
    </xf>
    <xf borderId="3" fillId="6" fontId="10" numFmtId="0" xfId="0" applyAlignment="1" applyBorder="1" applyFill="1" applyFont="1">
      <alignment horizontal="center" vertical="center"/>
    </xf>
    <xf borderId="3" fillId="6" fontId="10" numFmtId="4" xfId="0" applyAlignment="1" applyBorder="1" applyFill="1" applyFont="1" applyNumberFormat="1">
      <alignment horizontal="center" vertical="center"/>
    </xf>
    <xf borderId="3" fillId="0" fontId="9" numFmtId="10" xfId="0" applyAlignment="1" applyBorder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3" fillId="14" fontId="9" numFmtId="49" xfId="0" applyAlignment="1" applyBorder="1" applyFill="1" applyFont="1" applyNumberFormat="1">
      <alignment horizontal="center" vertical="center"/>
    </xf>
    <xf borderId="3" fillId="14" fontId="9" numFmtId="0" xfId="0" applyAlignment="1" applyBorder="1" applyFill="1" applyFont="1">
      <alignment vertical="center"/>
    </xf>
    <xf borderId="3" fillId="14" fontId="9" numFmtId="168" xfId="0" applyAlignment="1" applyBorder="1" applyFill="1" applyFont="1" applyNumberFormat="1">
      <alignment horizontal="center" vertical="center"/>
    </xf>
    <xf borderId="3" fillId="14" fontId="9" numFmtId="0" xfId="0" applyAlignment="1" applyBorder="1" applyFill="1" applyFont="1">
      <alignment horizontal="center" vertical="center"/>
    </xf>
    <xf borderId="3" fillId="14" fontId="13" numFmtId="10" xfId="0" applyAlignment="1" applyBorder="1" applyFill="1" applyFont="1" applyNumberFormat="1">
      <alignment horizontal="center" vertical="center"/>
    </xf>
    <xf borderId="3" fillId="14" fontId="9" numFmtId="169" xfId="0" applyAlignment="1" applyBorder="1" applyFill="1" applyFont="1" applyNumberFormat="1">
      <alignment horizontal="center" vertical="center"/>
    </xf>
    <xf borderId="3" fillId="14" fontId="9" numFmtId="4" xfId="0" applyAlignment="1" applyBorder="1" applyFill="1" applyFont="1" applyNumberFormat="1">
      <alignment horizontal="center" vertical="center"/>
    </xf>
    <xf borderId="3" fillId="14" fontId="9" numFmtId="2" xfId="0" applyAlignment="1" applyBorder="1" applyFill="1" applyFont="1" applyNumberFormat="1">
      <alignment horizontal="center" vertical="center"/>
    </xf>
    <xf borderId="3" fillId="14" fontId="9" numFmtId="170" xfId="0" applyAlignment="1" applyBorder="1" applyFill="1" applyFont="1" applyNumberFormat="1">
      <alignment horizontal="center" vertical="center"/>
    </xf>
    <xf borderId="20" fillId="14" fontId="9" numFmtId="10" xfId="0" applyAlignment="1" applyBorder="1" applyFill="1" applyFont="1" applyNumberFormat="1">
      <alignment horizontal="center" vertical="center"/>
    </xf>
    <xf borderId="20" fillId="14" fontId="9" numFmtId="4" xfId="0" applyAlignment="1" applyBorder="1" applyFill="1" applyFont="1" applyNumberFormat="1">
      <alignment horizontal="center" vertical="center"/>
    </xf>
    <xf borderId="3" fillId="7" fontId="10" numFmtId="4" xfId="0" applyAlignment="1" applyBorder="1" applyFill="1" applyFont="1" applyNumberFormat="1">
      <alignment horizontal="center" vertical="center"/>
    </xf>
    <xf borderId="3" fillId="7" fontId="9" numFmtId="10" xfId="0" applyAlignment="1" applyBorder="1" applyFill="1" applyFont="1" applyNumberFormat="1">
      <alignment horizontal="center" vertical="center"/>
    </xf>
    <xf borderId="3" fillId="7" fontId="10" numFmtId="2" xfId="0" applyAlignment="1" applyBorder="1" applyFill="1" applyFont="1" applyNumberFormat="1">
      <alignment horizontal="center" vertical="center"/>
    </xf>
    <xf borderId="3" fillId="6" fontId="6" numFmtId="10" xfId="0" applyAlignment="1" applyBorder="1" applyFill="1" applyFont="1" applyNumberFormat="1">
      <alignment vertical="bottom"/>
    </xf>
    <xf borderId="3" fillId="14" fontId="9" numFmtId="0" xfId="0" applyAlignment="1" applyBorder="1" applyFill="1" applyFont="1">
      <alignment horizontal="left" vertical="center"/>
    </xf>
    <xf borderId="3" fillId="0" fontId="10" numFmtId="0" xfId="0" applyAlignment="1" applyBorder="1" applyFont="1">
      <alignment shrinkToFit="0" vertical="center" wrapText="1"/>
    </xf>
    <xf borderId="3" fillId="6" fontId="10" numFmtId="0" xfId="0" applyAlignment="1" applyBorder="1" applyFill="1" applyFont="1">
      <alignment shrinkToFit="0" vertical="center" wrapText="1"/>
    </xf>
    <xf borderId="3" fillId="0" fontId="7" numFmtId="0" xfId="0" applyAlignment="1" applyBorder="1" applyFont="1">
      <alignment horizontal="left" vertical="center"/>
    </xf>
    <xf borderId="3" fillId="13" fontId="9" numFmtId="170" xfId="0" applyAlignment="1" applyBorder="1" applyFill="1" applyFont="1" applyNumberFormat="1">
      <alignment horizontal="center" vertical="center"/>
    </xf>
    <xf borderId="3" fillId="13" fontId="9" numFmtId="4" xfId="0" applyAlignment="1" applyBorder="1" applyFill="1" applyFont="1" applyNumberFormat="1">
      <alignment horizontal="center" vertical="center"/>
    </xf>
    <xf borderId="20" fillId="13" fontId="9" numFmtId="4" xfId="0" applyAlignment="1" applyBorder="1" applyFill="1" applyFont="1" applyNumberFormat="1">
      <alignment horizontal="center" vertical="center"/>
    </xf>
    <xf borderId="3" fillId="0" fontId="6" numFmtId="4" xfId="0" applyAlignment="1" applyBorder="1" applyFont="1" applyNumberFormat="1">
      <alignment vertical="bottom"/>
    </xf>
    <xf borderId="6" fillId="2" fontId="3" numFmtId="0" xfId="0" applyAlignment="1" applyBorder="1" applyFill="1" applyFont="1">
      <alignment horizontal="center" vertical="center"/>
    </xf>
    <xf borderId="2" fillId="2" fontId="4" numFmtId="0" xfId="0" applyAlignment="1" applyBorder="1" applyFill="1" applyFont="1">
      <alignment horizontal="center" vertical="center"/>
    </xf>
    <xf borderId="6" fillId="8" fontId="10" numFmtId="0" xfId="0" applyAlignment="1" applyBorder="1" applyFill="1" applyFont="1">
      <alignment horizontal="center"/>
    </xf>
    <xf borderId="6" fillId="8" fontId="10" numFmtId="0" xfId="0" applyAlignment="1" applyBorder="1" applyFill="1" applyFont="1">
      <alignment horizontal="center" vertical="center"/>
    </xf>
    <xf borderId="0" fillId="8" fontId="10" numFmtId="0" xfId="0" applyAlignment="1" applyFill="1" applyFont="1">
      <alignment horizontal="center" vertical="center"/>
    </xf>
    <xf borderId="0" fillId="8" fontId="10" numFmtId="10" xfId="0" applyAlignment="1" applyFill="1" applyFont="1" applyNumberFormat="1">
      <alignment horizontal="center"/>
    </xf>
    <xf borderId="3" fillId="6" fontId="10" numFmtId="10" xfId="0" applyAlignment="1" applyBorder="1" applyFill="1" applyFont="1" applyNumberFormat="1">
      <alignment horizontal="center"/>
    </xf>
    <xf borderId="0" fillId="6" fontId="10" numFmtId="10" xfId="0" applyAlignment="1" applyFill="1" applyFont="1" applyNumberFormat="1">
      <alignment horizontal="center"/>
    </xf>
    <xf borderId="0" fillId="0" fontId="10" numFmtId="10" xfId="0" applyAlignment="1" applyFont="1" applyNumberFormat="1">
      <alignment horizontal="center" vertical="center"/>
    </xf>
    <xf borderId="3" fillId="17" fontId="9" numFmtId="10" xfId="0" applyAlignment="1" applyBorder="1" applyFill="1" applyFont="1" applyNumberFormat="1">
      <alignment horizontal="center" vertical="center"/>
    </xf>
    <xf borderId="3" fillId="18" fontId="10" numFmtId="49" xfId="0" applyAlignment="1" applyBorder="1" applyFill="1" applyFont="1" applyNumberFormat="1">
      <alignment horizontal="center" vertical="center"/>
    </xf>
    <xf borderId="3" fillId="18" fontId="10" numFmtId="0" xfId="0" applyAlignment="1" applyBorder="1" applyFill="1" applyFont="1">
      <alignment vertical="center"/>
    </xf>
    <xf borderId="3" fillId="18" fontId="7" numFmtId="164" xfId="0" applyAlignment="1" applyBorder="1" applyFill="1" applyFont="1" applyNumberFormat="1">
      <alignment horizontal="center" shrinkToFit="0" wrapText="0"/>
    </xf>
    <xf borderId="3" fillId="18" fontId="10" numFmtId="10" xfId="0" applyAlignment="1" applyBorder="1" applyFill="1" applyFont="1" applyNumberFormat="1">
      <alignment horizontal="center"/>
    </xf>
    <xf borderId="3" fillId="0" fontId="10" numFmtId="49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3" fillId="12" fontId="6" numFmtId="10" xfId="0" applyAlignment="1" applyBorder="1" applyFill="1" applyFont="1" applyNumberFormat="1">
      <alignment vertical="bottom"/>
    </xf>
    <xf borderId="0" fillId="0" fontId="16" numFmtId="0" xfId="0" applyFont="1"/>
    <xf borderId="0" fillId="3" fontId="8" numFmtId="0" xfId="0" applyAlignment="1" applyFill="1" applyFont="1">
      <alignment horizontal="center" vertical="center"/>
    </xf>
    <xf borderId="3" fillId="7" fontId="10" numFmtId="49" xfId="0" applyAlignment="1" applyBorder="1" applyFill="1" applyFont="1" applyNumberFormat="1">
      <alignment horizontal="center" vertical="center"/>
    </xf>
    <xf borderId="3" fillId="0" fontId="10" numFmtId="164" xfId="0" applyAlignment="1" applyBorder="1" applyFont="1" applyNumberFormat="1">
      <alignment horizontal="center" vertical="bottom"/>
    </xf>
    <xf borderId="3" fillId="14" fontId="6" numFmtId="10" xfId="0" applyAlignment="1" applyBorder="1" applyFill="1" applyFont="1" applyNumberFormat="1">
      <alignment vertical="bottom"/>
    </xf>
    <xf borderId="0" fillId="7" fontId="10" numFmtId="10" xfId="0" applyAlignment="1" applyFill="1" applyFont="1" applyNumberFormat="1">
      <alignment horizontal="center" vertical="center"/>
    </xf>
    <xf borderId="13" fillId="0" fontId="9" numFmtId="49" xfId="0" applyAlignment="1" applyBorder="1" applyFont="1" applyNumberFormat="1">
      <alignment horizontal="center"/>
    </xf>
    <xf borderId="13" fillId="0" fontId="9" numFmtId="0" xfId="0" applyAlignment="1" applyBorder="1" applyFont="1">
      <alignment horizontal="left" shrinkToFit="0" wrapText="1"/>
    </xf>
    <xf borderId="13" fillId="0" fontId="9" numFmtId="164" xfId="0" applyAlignment="1" applyBorder="1" applyFont="1" applyNumberFormat="1">
      <alignment horizontal="center"/>
    </xf>
    <xf borderId="13" fillId="0" fontId="9" numFmtId="4" xfId="0" applyAlignment="1" applyBorder="1" applyFont="1" applyNumberFormat="1">
      <alignment horizontal="center"/>
    </xf>
    <xf borderId="3" fillId="0" fontId="9" numFmtId="4" xfId="0" applyAlignment="1" applyBorder="1" applyFont="1" applyNumberFormat="1">
      <alignment horizontal="center"/>
    </xf>
    <xf borderId="2" fillId="0" fontId="9" numFmtId="10" xfId="0" applyAlignment="1" applyBorder="1" applyFont="1" applyNumberFormat="1">
      <alignment horizontal="center"/>
    </xf>
    <xf borderId="13" fillId="0" fontId="7" numFmtId="0" xfId="0" applyAlignment="1" applyBorder="1" applyFont="1">
      <alignment horizontal="left" shrinkToFit="0" vertical="center" wrapText="1"/>
    </xf>
    <xf borderId="3" fillId="0" fontId="9" numFmtId="166" xfId="0" applyAlignment="1" applyBorder="1" applyFont="1" applyNumberFormat="1">
      <alignment horizontal="center" vertical="center"/>
    </xf>
    <xf borderId="3" fillId="0" fontId="9" numFmtId="0" xfId="0" applyAlignment="1" applyBorder="1" applyFont="1">
      <alignment horizontal="left" shrinkToFit="0" vertical="center" wrapText="1"/>
    </xf>
    <xf borderId="3" fillId="0" fontId="9" numFmtId="164" xfId="0" applyAlignment="1" applyBorder="1" applyFont="1" applyNumberFormat="1">
      <alignment horizontal="center" vertical="center"/>
    </xf>
    <xf borderId="3" fillId="0" fontId="9" numFmtId="4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left" shrinkToFit="0" wrapText="1"/>
    </xf>
    <xf borderId="3" fillId="0" fontId="9" numFmtId="49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left" shrinkToFit="0" vertical="center" wrapText="1"/>
    </xf>
    <xf borderId="3" fillId="17" fontId="9" numFmtId="49" xfId="0" applyAlignment="1" applyBorder="1" applyFill="1" applyFont="1" applyNumberFormat="1">
      <alignment horizontal="center" vertical="center"/>
    </xf>
    <xf borderId="3" fillId="17" fontId="9" numFmtId="0" xfId="0" applyAlignment="1" applyBorder="1" applyFill="1" applyFont="1">
      <alignment vertical="center"/>
    </xf>
    <xf borderId="3" fillId="17" fontId="9" numFmtId="168" xfId="0" applyAlignment="1" applyBorder="1" applyFill="1" applyFont="1" applyNumberFormat="1">
      <alignment horizontal="center" vertical="center"/>
    </xf>
    <xf borderId="3" fillId="17" fontId="9" numFmtId="1" xfId="0" applyAlignment="1" applyBorder="1" applyFill="1" applyFont="1" applyNumberFormat="1">
      <alignment horizontal="center" vertical="center"/>
    </xf>
    <xf borderId="3" fillId="17" fontId="9" numFmtId="0" xfId="0" applyAlignment="1" applyBorder="1" applyFill="1" applyFont="1">
      <alignment horizontal="center" vertical="center"/>
    </xf>
    <xf borderId="3" fillId="17" fontId="9" numFmtId="169" xfId="0" applyAlignment="1" applyBorder="1" applyFill="1" applyFont="1" applyNumberFormat="1">
      <alignment horizontal="center" vertical="center"/>
    </xf>
    <xf borderId="3" fillId="17" fontId="9" numFmtId="4" xfId="0" applyAlignment="1" applyBorder="1" applyFill="1" applyFont="1" applyNumberFormat="1">
      <alignment horizontal="center" vertical="center"/>
    </xf>
    <xf borderId="3" fillId="17" fontId="9" numFmtId="2" xfId="0" applyAlignment="1" applyBorder="1" applyFill="1" applyFont="1" applyNumberFormat="1">
      <alignment horizontal="center" vertical="center"/>
    </xf>
    <xf borderId="3" fillId="17" fontId="9" numFmtId="170" xfId="0" applyAlignment="1" applyBorder="1" applyFill="1" applyFont="1" applyNumberFormat="1">
      <alignment horizontal="center" vertical="center"/>
    </xf>
    <xf borderId="20" fillId="17" fontId="9" numFmtId="10" xfId="0" applyAlignment="1" applyBorder="1" applyFill="1" applyFont="1" applyNumberFormat="1">
      <alignment horizontal="center" vertical="center"/>
    </xf>
    <xf borderId="20" fillId="17" fontId="9" numFmtId="4" xfId="0" applyAlignment="1" applyBorder="1" applyFill="1" applyFont="1" applyNumberFormat="1">
      <alignment horizontal="center" vertical="center"/>
    </xf>
    <xf borderId="3" fillId="16" fontId="10" numFmtId="169" xfId="0" applyAlignment="1" applyBorder="1" applyFill="1" applyFont="1" applyNumberFormat="1">
      <alignment horizontal="center" vertical="center"/>
    </xf>
    <xf borderId="3" fillId="16" fontId="9" numFmtId="10" xfId="0" applyAlignment="1" applyBorder="1" applyFill="1" applyFont="1" applyNumberFormat="1">
      <alignment horizontal="center" vertical="center"/>
    </xf>
    <xf borderId="3" fillId="12" fontId="10" numFmtId="10" xfId="0" applyAlignment="1" applyBorder="1" applyFill="1" applyFont="1" applyNumberFormat="1">
      <alignment horizontal="center" vertical="center"/>
    </xf>
    <xf borderId="9" fillId="19" fontId="10" numFmtId="0" xfId="0" applyAlignment="1" applyBorder="1" applyFill="1" applyFont="1">
      <alignment horizontal="center"/>
    </xf>
    <xf borderId="24" fillId="0" fontId="5" numFmtId="0" xfId="0" applyBorder="1" applyFont="1"/>
    <xf borderId="3" fillId="19" fontId="10" numFmtId="0" xfId="0" applyAlignment="1" applyBorder="1" applyFill="1" applyFont="1">
      <alignment horizontal="center" vertical="center"/>
    </xf>
    <xf borderId="3" fillId="9" fontId="10" numFmtId="3" xfId="0" applyAlignment="1" applyBorder="1" applyFill="1" applyFont="1" applyNumberFormat="1">
      <alignment horizontal="center"/>
    </xf>
    <xf borderId="3" fillId="9" fontId="10" numFmtId="0" xfId="0" applyAlignment="1" applyBorder="1" applyFill="1" applyFont="1">
      <alignment horizontal="center"/>
    </xf>
    <xf borderId="3" fillId="16" fontId="10" numFmtId="4" xfId="0" applyAlignment="1" applyBorder="1" applyFill="1" applyFont="1" applyNumberFormat="1">
      <alignment horizontal="center" vertical="center"/>
    </xf>
    <xf borderId="3" fillId="9" fontId="6" numFmtId="3" xfId="0" applyAlignment="1" applyBorder="1" applyFill="1" applyFont="1" applyNumberFormat="1">
      <alignment horizontal="center"/>
    </xf>
    <xf borderId="3" fillId="9" fontId="6" numFmtId="4" xfId="0" applyAlignment="1" applyBorder="1" applyFill="1" applyFont="1" applyNumberFormat="1">
      <alignment horizontal="center"/>
    </xf>
    <xf borderId="3" fillId="9" fontId="6" numFmtId="170" xfId="0" applyAlignment="1" applyBorder="1" applyFill="1" applyFont="1" applyNumberFormat="1">
      <alignment horizontal="center"/>
    </xf>
    <xf borderId="3" fillId="9" fontId="6" numFmtId="169" xfId="0" applyAlignment="1" applyBorder="1" applyFill="1" applyFont="1" applyNumberFormat="1">
      <alignment horizontal="center"/>
    </xf>
    <xf borderId="3" fillId="9" fontId="6" numFmtId="0" xfId="0" applyAlignment="1" applyBorder="1" applyFill="1" applyFont="1">
      <alignment horizontal="center"/>
    </xf>
    <xf borderId="3" fillId="9" fontId="7" numFmtId="0" xfId="0" applyAlignment="1" applyBorder="1" applyFill="1" applyFont="1">
      <alignment horizontal="center" vertical="center"/>
    </xf>
    <xf borderId="3" fillId="0" fontId="10" numFmtId="2" xfId="0" applyAlignment="1" applyBorder="1" applyFont="1" applyNumberFormat="1">
      <alignment horizontal="center" readingOrder="0"/>
    </xf>
    <xf borderId="3" fillId="9" fontId="10" numFmtId="169" xfId="0" applyAlignment="1" applyBorder="1" applyFill="1" applyFont="1" applyNumberFormat="1">
      <alignment horizontal="center" readingOrder="0"/>
    </xf>
    <xf borderId="3" fillId="16" fontId="10" numFmtId="0" xfId="0" applyAlignment="1" applyBorder="1" applyFill="1" applyFont="1">
      <alignment shrinkToFit="0" vertical="center" wrapText="1"/>
    </xf>
    <xf borderId="20" fillId="12" fontId="9" numFmtId="10" xfId="0" applyAlignment="1" applyBorder="1" applyFill="1" applyFont="1" applyNumberFormat="1">
      <alignment horizontal="center" vertical="center"/>
    </xf>
    <xf borderId="3" fillId="12" fontId="9" numFmtId="10" xfId="0" applyAlignment="1" applyBorder="1" applyFill="1" applyFont="1" applyNumberFormat="1">
      <alignment horizontal="center"/>
    </xf>
    <xf borderId="20" fillId="11" fontId="10" numFmtId="10" xfId="0" applyAlignment="1" applyBorder="1" applyFill="1" applyFont="1" applyNumberFormat="1">
      <alignment horizontal="center"/>
    </xf>
    <xf borderId="3" fillId="13" fontId="10" numFmtId="10" xfId="0" applyAlignment="1" applyBorder="1" applyFill="1" applyFont="1" applyNumberFormat="1">
      <alignment horizontal="center" vertical="center"/>
    </xf>
    <xf borderId="3" fillId="6" fontId="10" numFmtId="0" xfId="0" applyAlignment="1" applyBorder="1" applyFill="1" applyFont="1">
      <alignment readingOrder="0" vertical="center"/>
    </xf>
    <xf borderId="20" fillId="13" fontId="9" numFmtId="4" xfId="0" applyAlignment="1" applyBorder="1" applyFill="1" applyFont="1" applyNumberFormat="1">
      <alignment horizontal="center"/>
    </xf>
    <xf borderId="20" fillId="13" fontId="9" numFmtId="10" xfId="0" applyAlignment="1" applyBorder="1" applyFill="1" applyFont="1" applyNumberFormat="1">
      <alignment horizontal="center" vertical="center"/>
    </xf>
    <xf borderId="3" fillId="0" fontId="10" numFmtId="0" xfId="0" applyAlignment="1" applyBorder="1" applyFont="1">
      <alignment readingOrder="0" vertical="center"/>
    </xf>
    <xf borderId="0" fillId="0" fontId="6" numFmtId="0" xfId="0" applyAlignment="1" applyFont="1">
      <alignment vertical="bottom"/>
    </xf>
    <xf borderId="0" fillId="12" fontId="6" numFmtId="0" xfId="0" applyFill="1" applyFont="1"/>
    <xf borderId="0" fillId="14" fontId="6" numFmtId="0" xfId="0" applyFill="1" applyFont="1"/>
    <xf borderId="0" fillId="6" fontId="6" numFmtId="0" xfId="0" applyFill="1" applyFont="1"/>
    <xf borderId="3" fillId="0" fontId="10" numFmtId="4" xfId="0" applyAlignment="1" applyBorder="1" applyFont="1" applyNumberFormat="1">
      <alignment horizontal="center" vertical="bottom"/>
    </xf>
    <xf borderId="3" fillId="12" fontId="9" numFmtId="10" xfId="0" applyAlignment="1" applyBorder="1" applyFill="1" applyFont="1" applyNumberFormat="1">
      <alignment horizontal="center" vertical="bottom"/>
    </xf>
    <xf borderId="3" fillId="0" fontId="10" numFmtId="10" xfId="0" applyAlignment="1" applyBorder="1" applyFont="1" applyNumberFormat="1">
      <alignment horizontal="center" vertical="bottom"/>
    </xf>
    <xf borderId="3" fillId="17" fontId="10" numFmtId="10" xfId="0" applyAlignment="1" applyBorder="1" applyFill="1" applyFont="1" applyNumberFormat="1">
      <alignment horizontal="center" vertical="center"/>
    </xf>
    <xf borderId="3" fillId="9" fontId="10" numFmtId="4" xfId="0" applyAlignment="1" applyBorder="1" applyFill="1" applyFont="1" applyNumberFormat="1">
      <alignment horizontal="center"/>
    </xf>
    <xf borderId="3" fillId="7" fontId="10" numFmtId="0" xfId="0" applyAlignment="1" applyBorder="1" applyFill="1" applyFont="1">
      <alignment vertical="center"/>
    </xf>
    <xf borderId="3" fillId="7" fontId="10" numFmtId="168" xfId="0" applyAlignment="1" applyBorder="1" applyFill="1" applyFont="1" applyNumberFormat="1">
      <alignment horizontal="center" vertical="center"/>
    </xf>
    <xf borderId="3" fillId="0" fontId="15" numFmtId="0" xfId="0" applyAlignment="1" applyBorder="1" applyFont="1">
      <alignment horizontal="center" vertical="center"/>
    </xf>
    <xf borderId="0" fillId="0" fontId="6" numFmtId="3" xfId="0" applyFont="1" applyNumberFormat="1"/>
    <xf borderId="0" fillId="0" fontId="10" numFmtId="170" xfId="0" applyAlignment="1" applyFont="1" applyNumberFormat="1">
      <alignment horizontal="center" vertical="center"/>
    </xf>
    <xf borderId="0" fillId="0" fontId="10" numFmtId="3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4" xfId="0" applyAlignment="1" applyFont="1" applyNumberFormat="1">
      <alignment horizontal="center" vertical="center"/>
    </xf>
    <xf borderId="0" fillId="0" fontId="9" numFmtId="170" xfId="0" applyAlignment="1" applyFont="1" applyNumberFormat="1">
      <alignment horizontal="center" vertical="center"/>
    </xf>
    <xf borderId="0" fillId="0" fontId="9" numFmtId="3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4" xfId="0" applyAlignment="1" applyFont="1" applyNumberFormat="1">
      <alignment horizontal="center" vertical="center"/>
    </xf>
    <xf borderId="3" fillId="0" fontId="10" numFmtId="165" xfId="0" applyAlignment="1" applyBorder="1" applyFont="1" applyNumberFormat="1">
      <alignment horizontal="center" vertical="center"/>
    </xf>
    <xf borderId="9" fillId="18" fontId="10" numFmtId="0" xfId="0" applyAlignment="1" applyBorder="1" applyFill="1" applyFont="1">
      <alignment horizontal="center"/>
    </xf>
    <xf borderId="3" fillId="18" fontId="10" numFmtId="0" xfId="0" applyAlignment="1" applyBorder="1" applyFill="1" applyFont="1">
      <alignment horizontal="center" vertical="center"/>
    </xf>
    <xf borderId="3" fillId="10" fontId="10" numFmtId="3" xfId="0" applyAlignment="1" applyBorder="1" applyFill="1" applyFont="1" applyNumberFormat="1">
      <alignment horizontal="center"/>
    </xf>
    <xf borderId="3" fillId="10" fontId="10" numFmtId="0" xfId="0" applyAlignment="1" applyBorder="1" applyFill="1" applyFont="1">
      <alignment horizontal="center"/>
    </xf>
    <xf borderId="3" fillId="10" fontId="6" numFmtId="3" xfId="0" applyAlignment="1" applyBorder="1" applyFill="1" applyFont="1" applyNumberFormat="1">
      <alignment horizontal="center"/>
    </xf>
    <xf borderId="3" fillId="10" fontId="6" numFmtId="4" xfId="0" applyAlignment="1" applyBorder="1" applyFill="1" applyFont="1" applyNumberFormat="1">
      <alignment horizontal="center"/>
    </xf>
    <xf borderId="3" fillId="10" fontId="6" numFmtId="170" xfId="0" applyAlignment="1" applyBorder="1" applyFill="1" applyFont="1" applyNumberFormat="1">
      <alignment horizontal="center"/>
    </xf>
    <xf borderId="3" fillId="10" fontId="6" numFmtId="169" xfId="0" applyAlignment="1" applyBorder="1" applyFill="1" applyFont="1" applyNumberFormat="1">
      <alignment horizontal="center"/>
    </xf>
    <xf borderId="3" fillId="10" fontId="6" numFmtId="0" xfId="0" applyAlignment="1" applyBorder="1" applyFill="1" applyFont="1">
      <alignment horizontal="center"/>
    </xf>
    <xf borderId="3" fillId="10" fontId="10" numFmtId="169" xfId="0" applyAlignment="1" applyBorder="1" applyFill="1" applyFont="1" applyNumberFormat="1">
      <alignment horizontal="center" readingOrder="0"/>
    </xf>
    <xf borderId="3" fillId="0" fontId="9" numFmtId="0" xfId="0" applyAlignment="1" applyBorder="1" applyFont="1">
      <alignment horizontal="center" vertical="center"/>
    </xf>
    <xf borderId="0" fillId="0" fontId="6" numFmtId="1" xfId="0" applyFont="1" applyNumberFormat="1"/>
    <xf borderId="0" fillId="0" fontId="6" numFmtId="4" xfId="0" applyFont="1" applyNumberFormat="1"/>
    <xf borderId="9" fillId="20" fontId="10" numFmtId="0" xfId="0" applyAlignment="1" applyBorder="1" applyFill="1" applyFont="1">
      <alignment horizontal="center"/>
    </xf>
    <xf borderId="3" fillId="20" fontId="10" numFmtId="0" xfId="0" applyAlignment="1" applyBorder="1" applyFill="1" applyFont="1">
      <alignment horizontal="center" vertical="center"/>
    </xf>
    <xf borderId="3" fillId="11" fontId="10" numFmtId="3" xfId="0" applyAlignment="1" applyBorder="1" applyFill="1" applyFont="1" applyNumberFormat="1">
      <alignment horizontal="center"/>
    </xf>
    <xf borderId="3" fillId="11" fontId="10" numFmtId="0" xfId="0" applyAlignment="1" applyBorder="1" applyFill="1" applyFont="1">
      <alignment horizontal="center"/>
    </xf>
    <xf borderId="3" fillId="11" fontId="6" numFmtId="3" xfId="0" applyAlignment="1" applyBorder="1" applyFill="1" applyFont="1" applyNumberFormat="1">
      <alignment horizontal="center"/>
    </xf>
    <xf borderId="3" fillId="11" fontId="6" numFmtId="4" xfId="0" applyAlignment="1" applyBorder="1" applyFill="1" applyFont="1" applyNumberFormat="1">
      <alignment horizontal="center"/>
    </xf>
    <xf borderId="3" fillId="11" fontId="6" numFmtId="170" xfId="0" applyAlignment="1" applyBorder="1" applyFill="1" applyFont="1" applyNumberFormat="1">
      <alignment horizontal="center"/>
    </xf>
    <xf borderId="3" fillId="11" fontId="6" numFmtId="169" xfId="0" applyAlignment="1" applyBorder="1" applyFill="1" applyFont="1" applyNumberFormat="1">
      <alignment horizontal="center"/>
    </xf>
    <xf borderId="3" fillId="11" fontId="6" numFmtId="0" xfId="0" applyAlignment="1" applyBorder="1" applyFill="1" applyFont="1">
      <alignment horizontal="center"/>
    </xf>
    <xf borderId="3" fillId="11" fontId="10" numFmtId="169" xfId="0" applyAlignment="1" applyBorder="1" applyFill="1" applyFont="1" applyNumberFormat="1">
      <alignment horizontal="center" readingOrder="0" vertical="center"/>
    </xf>
    <xf borderId="3" fillId="11" fontId="10" numFmtId="3" xfId="0" applyAlignment="1" applyBorder="1" applyFill="1" applyFont="1" applyNumberFormat="1">
      <alignment horizontal="center" vertical="center"/>
    </xf>
    <xf borderId="0" fillId="0" fontId="6" numFmtId="3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10" xfId="0" applyAlignment="1" applyFont="1" applyNumberFormat="1">
      <alignment horizontal="center"/>
    </xf>
    <xf borderId="3" fillId="19" fontId="10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3" fillId="0" fontId="10" numFmtId="4" xfId="0" applyAlignment="1" applyBorder="1" applyFont="1" applyNumberFormat="1">
      <alignment horizontal="center" shrinkToFit="0" vertical="center" wrapText="1"/>
    </xf>
    <xf borderId="3" fillId="0" fontId="10" numFmtId="10" xfId="0" applyAlignment="1" applyBorder="1" applyFont="1" applyNumberFormat="1">
      <alignment horizontal="center" shrinkToFit="0" vertical="center" wrapText="1"/>
    </xf>
    <xf borderId="3" fillId="14" fontId="10" numFmtId="2" xfId="0" applyAlignment="1" applyBorder="1" applyFill="1" applyFont="1" applyNumberFormat="1">
      <alignment horizontal="center" shrinkToFit="0" vertical="center" wrapText="1"/>
    </xf>
    <xf borderId="3" fillId="0" fontId="10" numFmtId="2" xfId="0" applyAlignment="1" applyBorder="1" applyFont="1" applyNumberFormat="1">
      <alignment horizontal="center" shrinkToFit="0" vertical="center" wrapText="1"/>
    </xf>
    <xf borderId="3" fillId="9" fontId="10" numFmtId="0" xfId="0" applyAlignment="1" applyBorder="1" applyFill="1" applyFont="1">
      <alignment horizontal="center" shrinkToFit="0" vertical="center" wrapText="1"/>
    </xf>
    <xf borderId="0" fillId="0" fontId="6" numFmtId="2" xfId="0" applyFont="1" applyNumberFormat="1"/>
    <xf borderId="6" fillId="21" fontId="10" numFmtId="0" xfId="0" applyAlignment="1" applyBorder="1" applyFill="1" applyFont="1">
      <alignment horizontal="center" vertical="center"/>
    </xf>
    <xf borderId="2" fillId="22" fontId="10" numFmtId="0" xfId="0" applyAlignment="1" applyBorder="1" applyFill="1" applyFont="1">
      <alignment horizontal="center" vertical="center"/>
    </xf>
    <xf borderId="2" fillId="23" fontId="10" numFmtId="0" xfId="0" applyAlignment="1" applyBorder="1" applyFill="1" applyFont="1">
      <alignment horizontal="center" vertical="center"/>
    </xf>
    <xf borderId="2" fillId="18" fontId="10" numFmtId="0" xfId="0" applyAlignment="1" applyBorder="1" applyFill="1" applyFont="1">
      <alignment horizontal="center" vertical="center"/>
    </xf>
    <xf borderId="2" fillId="19" fontId="10" numFmtId="0" xfId="0" applyAlignment="1" applyBorder="1" applyFill="1" applyFont="1">
      <alignment horizontal="center" vertical="center"/>
    </xf>
    <xf borderId="6" fillId="24" fontId="10" numFmtId="0" xfId="0" applyAlignment="1" applyBorder="1" applyFill="1" applyFont="1">
      <alignment horizontal="center" vertical="center"/>
    </xf>
    <xf borderId="0" fillId="0" fontId="6" numFmtId="0" xfId="0" applyAlignment="1" applyFont="1">
      <alignment vertical="center"/>
    </xf>
    <xf borderId="3" fillId="22" fontId="10" numFmtId="0" xfId="0" applyAlignment="1" applyBorder="1" applyFill="1" applyFont="1">
      <alignment horizontal="center" vertical="center"/>
    </xf>
    <xf borderId="3" fillId="23" fontId="10" numFmtId="0" xfId="0" applyAlignment="1" applyBorder="1" applyFill="1" applyFont="1">
      <alignment horizontal="center" vertical="center"/>
    </xf>
    <xf borderId="3" fillId="19" fontId="7" numFmtId="0" xfId="0" applyAlignment="1" applyBorder="1" applyFill="1" applyFont="1">
      <alignment horizontal="center" vertical="center"/>
    </xf>
    <xf borderId="3" fillId="0" fontId="10" numFmtId="49" xfId="0" applyAlignment="1" applyBorder="1" applyFont="1" applyNumberFormat="1">
      <alignment horizontal="center" vertical="bottom"/>
    </xf>
    <xf borderId="3" fillId="0" fontId="10" numFmtId="0" xfId="0" applyAlignment="1" applyBorder="1" applyFont="1">
      <alignment vertical="bottom"/>
    </xf>
    <xf borderId="3" fillId="0" fontId="10" numFmtId="168" xfId="0" applyAlignment="1" applyBorder="1" applyFont="1" applyNumberFormat="1">
      <alignment horizontal="center" vertical="bottom"/>
    </xf>
    <xf borderId="3" fillId="12" fontId="10" numFmtId="2" xfId="0" applyAlignment="1" applyBorder="1" applyFill="1" applyFont="1" applyNumberFormat="1">
      <alignment horizontal="center" vertical="center"/>
    </xf>
    <xf borderId="3" fillId="6" fontId="10" numFmtId="2" xfId="0" applyAlignment="1" applyBorder="1" applyFill="1" applyFont="1" applyNumberFormat="1">
      <alignment horizontal="center" vertical="center"/>
    </xf>
    <xf borderId="3" fillId="10" fontId="10" numFmtId="2" xfId="0" applyAlignment="1" applyBorder="1" applyFill="1" applyFont="1" applyNumberFormat="1">
      <alignment horizontal="center" vertical="center"/>
    </xf>
    <xf borderId="3" fillId="10" fontId="10" numFmtId="10" xfId="0" applyAlignment="1" applyBorder="1" applyFill="1" applyFont="1" applyNumberFormat="1">
      <alignment horizontal="center" vertical="center"/>
    </xf>
    <xf borderId="3" fillId="9" fontId="10" numFmtId="2" xfId="0" applyAlignment="1" applyBorder="1" applyFill="1" applyFont="1" applyNumberFormat="1">
      <alignment horizontal="center" vertical="center"/>
    </xf>
    <xf borderId="3" fillId="9" fontId="10" numFmtId="10" xfId="0" applyAlignment="1" applyBorder="1" applyFill="1" applyFont="1" applyNumberFormat="1">
      <alignment horizontal="center" vertical="center"/>
    </xf>
    <xf borderId="3" fillId="11" fontId="10" numFmtId="2" xfId="0" applyAlignment="1" applyBorder="1" applyFill="1" applyFont="1" applyNumberFormat="1">
      <alignment horizontal="center" vertical="center"/>
    </xf>
    <xf borderId="3" fillId="11" fontId="10" numFmtId="10" xfId="0" applyAlignment="1" applyBorder="1" applyFill="1" applyFont="1" applyNumberFormat="1">
      <alignment horizontal="center" vertical="center"/>
    </xf>
    <xf borderId="3" fillId="25" fontId="10" numFmtId="2" xfId="0" applyAlignment="1" applyBorder="1" applyFill="1" applyFont="1" applyNumberFormat="1">
      <alignment horizontal="center" vertical="center"/>
    </xf>
    <xf borderId="3" fillId="25" fontId="10" numFmtId="171" xfId="0" applyAlignment="1" applyBorder="1" applyFill="1" applyFont="1" applyNumberFormat="1">
      <alignment horizontal="center" vertical="center"/>
    </xf>
    <xf borderId="20" fillId="14" fontId="17" numFmtId="0" xfId="0" applyAlignment="1" applyBorder="1" applyFill="1" applyFont="1">
      <alignment vertical="center"/>
    </xf>
    <xf borderId="20" fillId="17" fontId="17" numFmtId="0" xfId="0" applyAlignment="1" applyBorder="1" applyFill="1" applyFont="1">
      <alignment vertical="center"/>
    </xf>
    <xf borderId="3" fillId="12" fontId="9" numFmtId="49" xfId="0" applyAlignment="1" applyBorder="1" applyFill="1" applyFont="1" applyNumberFormat="1">
      <alignment horizontal="center" vertical="bottom"/>
    </xf>
    <xf borderId="3" fillId="12" fontId="9" numFmtId="0" xfId="0" applyAlignment="1" applyBorder="1" applyFill="1" applyFont="1">
      <alignment vertical="bottom"/>
    </xf>
    <xf borderId="3" fillId="12" fontId="9" numFmtId="164" xfId="0" applyAlignment="1" applyBorder="1" applyFill="1" applyFont="1" applyNumberFormat="1">
      <alignment horizontal="center" vertical="bottom"/>
    </xf>
    <xf borderId="20" fillId="7" fontId="6" numFmtId="0" xfId="0" applyAlignment="1" applyBorder="1" applyFill="1" applyFont="1">
      <alignment vertical="center"/>
    </xf>
    <xf borderId="0" fillId="0" fontId="17" numFmtId="0" xfId="0" applyAlignment="1" applyFont="1">
      <alignment vertical="center"/>
    </xf>
    <xf borderId="3" fillId="0" fontId="10" numFmtId="49" xfId="0" applyAlignment="1" applyBorder="1" applyFont="1" applyNumberFormat="1">
      <alignment vertical="bottom"/>
    </xf>
    <xf borderId="0" fillId="0" fontId="10" numFmtId="0" xfId="0" applyAlignment="1" applyFont="1">
      <alignment vertical="bottom"/>
    </xf>
    <xf borderId="3" fillId="0" fontId="10" numFmtId="0" xfId="0" applyAlignment="1" applyBorder="1" applyFont="1">
      <alignment shrinkToFit="0" vertical="bottom" wrapText="1"/>
    </xf>
    <xf borderId="3" fillId="8" fontId="10" numFmtId="10" xfId="0" applyAlignment="1" applyBorder="1" applyFill="1" applyFont="1" applyNumberFormat="1">
      <alignment horizontal="center" vertical="center"/>
    </xf>
    <xf borderId="20" fillId="7" fontId="10" numFmtId="0" xfId="0" applyAlignment="1" applyBorder="1" applyFill="1" applyFont="1">
      <alignment horizontal="center" vertical="center"/>
    </xf>
    <xf borderId="20" fillId="14" fontId="9" numFmtId="0" xfId="0" applyAlignment="1" applyBorder="1" applyFill="1" applyFont="1">
      <alignment horizontal="center" vertical="center"/>
    </xf>
    <xf borderId="20" fillId="17" fontId="9" numFmtId="0" xfId="0" applyAlignment="1" applyBorder="1" applyFill="1" applyFont="1">
      <alignment horizontal="center" vertical="center"/>
    </xf>
    <xf borderId="6" fillId="12" fontId="10" numFmtId="10" xfId="0" applyAlignment="1" applyBorder="1" applyFill="1" applyFont="1" applyNumberFormat="1">
      <alignment horizontal="center" vertical="center"/>
    </xf>
    <xf borderId="24" fillId="0" fontId="10" numFmtId="10" xfId="0" applyAlignment="1" applyBorder="1" applyFont="1" applyNumberFormat="1">
      <alignment horizontal="center" vertical="center"/>
    </xf>
    <xf borderId="25" fillId="7" fontId="10" numFmtId="0" xfId="0" applyAlignment="1" applyBorder="1" applyFill="1" applyFont="1">
      <alignment horizontal="center" vertical="center"/>
    </xf>
    <xf borderId="25" fillId="13" fontId="2" numFmtId="0" xfId="0" applyAlignment="1" applyBorder="1" applyFill="1" applyFont="1">
      <alignment horizontal="center" vertical="center"/>
    </xf>
    <xf borderId="26" fillId="0" fontId="5" numFmtId="0" xfId="0" applyBorder="1" applyFont="1"/>
    <xf borderId="6" fillId="13" fontId="2" numFmtId="0" xfId="0" applyAlignment="1" applyBorder="1" applyFill="1" applyFont="1">
      <alignment horizontal="center" vertical="center"/>
    </xf>
    <xf borderId="6" fillId="13" fontId="8" numFmtId="0" xfId="0" applyAlignment="1" applyBorder="1" applyFill="1" applyFont="1">
      <alignment horizontal="center" vertical="center"/>
    </xf>
    <xf borderId="3" fillId="13" fontId="2" numFmtId="0" xfId="0" applyAlignment="1" applyBorder="1" applyFill="1" applyFont="1">
      <alignment horizontal="center" vertical="center"/>
    </xf>
    <xf borderId="3" fillId="26" fontId="14" numFmtId="0" xfId="0" applyAlignment="1" applyBorder="1" applyFill="1" applyFont="1">
      <alignment horizontal="left" vertical="center"/>
    </xf>
    <xf borderId="3" fillId="26" fontId="14" numFmtId="165" xfId="0" applyAlignment="1" applyBorder="1" applyFill="1" applyFont="1" applyNumberFormat="1">
      <alignment horizontal="center"/>
    </xf>
    <xf borderId="3" fillId="26" fontId="14" numFmtId="10" xfId="0" applyAlignment="1" applyBorder="1" applyFill="1" applyFont="1" applyNumberFormat="1">
      <alignment horizontal="center" vertical="center"/>
    </xf>
    <xf borderId="3" fillId="26" fontId="14" numFmtId="0" xfId="0" applyAlignment="1" applyBorder="1" applyFill="1" applyFont="1">
      <alignment horizontal="center" vertical="center"/>
    </xf>
    <xf borderId="20" fillId="27" fontId="14" numFmtId="2" xfId="0" applyAlignment="1" applyBorder="1" applyFill="1" applyFont="1" applyNumberFormat="1">
      <alignment horizontal="center" vertical="center"/>
    </xf>
    <xf borderId="20" fillId="27" fontId="14" numFmtId="4" xfId="0" applyAlignment="1" applyBorder="1" applyFill="1" applyFont="1" applyNumberFormat="1">
      <alignment horizontal="center" vertical="center"/>
    </xf>
    <xf borderId="3" fillId="26" fontId="14" numFmtId="164" xfId="0" applyAlignment="1" applyBorder="1" applyFill="1" applyFont="1" applyNumberFormat="1">
      <alignment horizontal="center"/>
    </xf>
    <xf borderId="3" fillId="26" fontId="14" numFmtId="2" xfId="0" applyAlignment="1" applyBorder="1" applyFill="1" applyFont="1" applyNumberFormat="1">
      <alignment horizontal="center" vertical="center"/>
    </xf>
    <xf borderId="20" fillId="7" fontId="18" numFmtId="0" xfId="0" applyAlignment="1" applyBorder="1" applyFill="1" applyFont="1">
      <alignment horizontal="center"/>
    </xf>
    <xf borderId="20" fillId="7" fontId="18" numFmtId="0" xfId="0" applyBorder="1" applyFill="1" applyFont="1"/>
    <xf borderId="20" fillId="7" fontId="18" numFmtId="165" xfId="0" applyAlignment="1" applyBorder="1" applyFill="1" applyFont="1" applyNumberFormat="1">
      <alignment horizontal="center"/>
    </xf>
    <xf borderId="20" fillId="7" fontId="11" numFmtId="0" xfId="0" applyBorder="1" applyFill="1" applyFont="1"/>
    <xf borderId="1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horizontal="center" vertical="center"/>
    </xf>
    <xf borderId="0" fillId="0" fontId="19" numFmtId="0" xfId="0" applyAlignment="1" applyFont="1">
      <alignment horizontal="center"/>
    </xf>
    <xf borderId="6" fillId="6" fontId="9" numFmtId="10" xfId="0" applyAlignment="1" applyBorder="1" applyFill="1" applyFont="1" applyNumberFormat="1">
      <alignment horizontal="center" vertical="center"/>
    </xf>
    <xf borderId="3" fillId="28" fontId="17" numFmtId="0" xfId="0" applyAlignment="1" applyBorder="1" applyFill="1" applyFont="1">
      <alignment horizontal="center" vertical="center"/>
    </xf>
    <xf borderId="0" fillId="0" fontId="20" numFmtId="0" xfId="0" applyFont="1"/>
    <xf borderId="3" fillId="29" fontId="6" numFmtId="0" xfId="0" applyAlignment="1" applyBorder="1" applyFill="1" applyFont="1">
      <alignment horizontal="left" vertical="center"/>
    </xf>
    <xf borderId="3" fillId="29" fontId="6" numFmtId="0" xfId="0" applyAlignment="1" applyBorder="1" applyFill="1" applyFont="1">
      <alignment horizontal="center" vertical="center"/>
    </xf>
    <xf borderId="3" fillId="30" fontId="6" numFmtId="3" xfId="0" applyAlignment="1" applyBorder="1" applyFill="1" applyFont="1" applyNumberFormat="1">
      <alignment horizontal="center" vertical="center"/>
    </xf>
    <xf borderId="3" fillId="30" fontId="6" numFmtId="0" xfId="0" applyAlignment="1" applyBorder="1" applyFill="1" applyFont="1">
      <alignment horizontal="center" vertical="center"/>
    </xf>
    <xf borderId="3" fillId="30" fontId="6" numFmtId="4" xfId="0" applyAlignment="1" applyBorder="1" applyFill="1" applyFont="1" applyNumberFormat="1">
      <alignment horizontal="center" vertical="center"/>
    </xf>
    <xf borderId="0" fillId="0" fontId="21" numFmtId="0" xfId="0" applyFont="1"/>
    <xf borderId="0" fillId="0" fontId="22" numFmtId="0" xfId="0" applyFont="1"/>
    <xf borderId="0" fillId="0" fontId="6" numFmtId="0" xfId="0" applyAlignment="1" applyFont="1">
      <alignment horizontal="center" vertical="center"/>
    </xf>
    <xf borderId="0" fillId="31" fontId="15" numFmtId="0" xfId="0" applyFill="1" applyFont="1"/>
    <xf borderId="0" fillId="5" fontId="15" numFmtId="0" xfId="0" applyFill="1" applyFont="1"/>
    <xf borderId="0" fillId="5" fontId="15" numFmtId="4" xfId="0" applyFill="1" applyFont="1" applyNumberFormat="1"/>
    <xf borderId="0" fillId="0" fontId="23" numFmtId="0" xfId="0" applyFont="1"/>
    <xf borderId="0" fillId="0" fontId="24" numFmtId="0" xfId="0" applyFont="1"/>
    <xf borderId="0" fillId="0" fontId="6" numFmtId="3" xfId="0" applyAlignment="1" applyFont="1" applyNumberFormat="1">
      <alignment horizontal="center" vertical="center"/>
    </xf>
    <xf borderId="0" fillId="0" fontId="25" numFmtId="0" xfId="0" applyFont="1"/>
    <xf borderId="0" fillId="0" fontId="26" numFmtId="0" xfId="0" applyFont="1"/>
    <xf borderId="0" fillId="0" fontId="23" numFmtId="0" xfId="0" applyAlignment="1" applyFont="1">
      <alignment vertical="bottom"/>
    </xf>
    <xf borderId="3" fillId="0" fontId="27" numFmtId="0" xfId="0" applyAlignment="1" applyBorder="1" applyFont="1">
      <alignment horizontal="center"/>
    </xf>
    <xf borderId="27" fillId="0" fontId="28" numFmtId="0" xfId="0" applyAlignment="1" applyBorder="1" applyFont="1">
      <alignment horizontal="center"/>
    </xf>
    <xf borderId="28" fillId="0" fontId="5" numFmtId="0" xfId="0" applyBorder="1" applyFont="1"/>
    <xf borderId="29" fillId="0" fontId="5" numFmtId="0" xfId="0" applyBorder="1" applyFont="1"/>
    <xf borderId="3" fillId="0" fontId="12" numFmtId="0" xfId="0" applyAlignment="1" applyBorder="1" applyFont="1">
      <alignment horizontal="right" vertical="bottom"/>
    </xf>
    <xf borderId="30" fillId="18" fontId="23" numFmtId="0" xfId="0" applyBorder="1" applyFill="1" applyFont="1"/>
    <xf borderId="31" fillId="18" fontId="23" numFmtId="0" xfId="0" applyBorder="1" applyFill="1" applyFont="1"/>
    <xf borderId="32" fillId="18" fontId="23" numFmtId="0" xfId="0" applyBorder="1" applyFill="1" applyFont="1"/>
    <xf borderId="32" fillId="32" fontId="23" numFmtId="0" xfId="0" applyBorder="1" applyFill="1" applyFont="1"/>
    <xf borderId="31" fillId="32" fontId="23" numFmtId="0" xfId="0" applyBorder="1" applyFill="1" applyFont="1"/>
    <xf borderId="33" fillId="32" fontId="23" numFmtId="0" xfId="0" applyBorder="1" applyFill="1" applyFont="1"/>
    <xf borderId="34" fillId="4" fontId="23" numFmtId="0" xfId="0" applyBorder="1" applyFill="1" applyFont="1"/>
    <xf borderId="31" fillId="4" fontId="23" numFmtId="0" xfId="0" applyBorder="1" applyFill="1" applyFont="1"/>
    <xf borderId="31" fillId="31" fontId="23" numFmtId="0" xfId="0" applyBorder="1" applyFill="1" applyFont="1"/>
    <xf borderId="31" fillId="23" fontId="23" numFmtId="0" xfId="0" applyBorder="1" applyFill="1" applyFont="1"/>
    <xf borderId="0" fillId="0" fontId="29" numFmtId="0" xfId="0" applyAlignment="1" applyFont="1">
      <alignment horizontal="center"/>
    </xf>
    <xf borderId="0" fillId="0" fontId="29" numFmtId="164" xfId="0" applyAlignment="1" applyFont="1" applyNumberFormat="1">
      <alignment horizontal="center"/>
    </xf>
    <xf borderId="0" fillId="0" fontId="30" numFmtId="0" xfId="0" applyAlignment="1" applyFont="1">
      <alignment horizontal="center"/>
    </xf>
    <xf borderId="35" fillId="18" fontId="23" numFmtId="0" xfId="0" applyBorder="1" applyFill="1" applyFont="1"/>
    <xf borderId="36" fillId="18" fontId="23" numFmtId="0" xfId="0" applyBorder="1" applyFill="1" applyFont="1"/>
    <xf borderId="36" fillId="32" fontId="23" numFmtId="0" xfId="0" applyBorder="1" applyFill="1" applyFont="1"/>
    <xf borderId="37" fillId="32" fontId="23" numFmtId="0" xfId="0" applyBorder="1" applyFill="1" applyFont="1"/>
    <xf borderId="38" fillId="4" fontId="23" numFmtId="0" xfId="0" applyBorder="1" applyFill="1" applyFont="1"/>
    <xf borderId="36" fillId="4" fontId="23" numFmtId="0" xfId="0" applyBorder="1" applyFill="1" applyFont="1"/>
    <xf borderId="39" fillId="18" fontId="23" numFmtId="0" xfId="0" applyBorder="1" applyFill="1" applyFont="1"/>
    <xf borderId="40" fillId="32" fontId="23" numFmtId="0" xfId="0" applyBorder="1" applyFill="1" applyFont="1"/>
    <xf borderId="41" fillId="32" fontId="23" numFmtId="0" xfId="0" applyBorder="1" applyFill="1" applyFont="1"/>
    <xf borderId="34" fillId="32" fontId="23" numFmtId="0" xfId="0" applyBorder="1" applyFill="1" applyFont="1"/>
    <xf borderId="33" fillId="18" fontId="23" numFmtId="0" xfId="0" applyBorder="1" applyFill="1" applyFont="1"/>
    <xf borderId="34" fillId="18" fontId="23" numFmtId="0" xfId="0" applyBorder="1" applyFill="1" applyFont="1"/>
    <xf borderId="42" fillId="18" fontId="23" numFmtId="0" xfId="0" applyBorder="1" applyFill="1" applyFont="1"/>
    <xf borderId="43" fillId="18" fontId="23" numFmtId="0" xfId="0" applyBorder="1" applyFill="1" applyFont="1"/>
    <xf borderId="44" fillId="18" fontId="23" numFmtId="0" xfId="0" applyBorder="1" applyFill="1" applyFont="1"/>
    <xf borderId="45" fillId="18" fontId="23" numFmtId="0" xfId="0" applyBorder="1" applyFill="1" applyFont="1"/>
    <xf borderId="0" fillId="0" fontId="27" numFmtId="0" xfId="0" applyAlignment="1" applyFont="1">
      <alignment horizontal="center"/>
    </xf>
    <xf borderId="3" fillId="0" fontId="12" numFmtId="0" xfId="0" applyAlignment="1" applyBorder="1" applyFont="1">
      <alignment horizontal="left"/>
    </xf>
    <xf borderId="46" fillId="0" fontId="28" numFmtId="0" xfId="0" applyAlignment="1" applyBorder="1" applyFont="1">
      <alignment horizontal="center"/>
    </xf>
    <xf borderId="47" fillId="0" fontId="5" numFmtId="0" xfId="0" applyBorder="1" applyFont="1"/>
    <xf borderId="48" fillId="0" fontId="5" numFmtId="0" xfId="0" applyBorder="1" applyFont="1"/>
    <xf borderId="2" fillId="33" fontId="23" numFmtId="0" xfId="0" applyAlignment="1" applyBorder="1" applyFill="1" applyFont="1">
      <alignment horizontal="center" vertical="bottom"/>
    </xf>
    <xf borderId="3" fillId="34" fontId="23" numFmtId="0" xfId="0" applyAlignment="1" applyBorder="1" applyFill="1" applyFont="1">
      <alignment vertical="bottom"/>
    </xf>
    <xf borderId="2" fillId="0" fontId="23" numFmtId="0" xfId="0" applyAlignment="1" applyBorder="1" applyFont="1">
      <alignment horizontal="center" vertical="bottom"/>
    </xf>
    <xf borderId="2" fillId="6" fontId="23" numFmtId="0" xfId="0" applyAlignment="1" applyBorder="1" applyFill="1" applyFont="1">
      <alignment horizontal="center" vertical="bottom"/>
    </xf>
    <xf borderId="3" fillId="26" fontId="23" numFmtId="2" xfId="0" applyAlignment="1" applyBorder="1" applyFill="1" applyFont="1" applyNumberFormat="1">
      <alignment horizontal="right" vertical="bottom"/>
    </xf>
    <xf borderId="3" fillId="26" fontId="23" numFmtId="0" xfId="0" applyAlignment="1" applyBorder="1" applyFill="1" applyFont="1">
      <alignment vertical="bottom"/>
    </xf>
    <xf borderId="2" fillId="12" fontId="23" numFmtId="0" xfId="0" applyAlignment="1" applyBorder="1" applyFill="1" applyFont="1">
      <alignment horizontal="center" vertical="bottom"/>
    </xf>
    <xf borderId="2" fillId="8" fontId="23" numFmtId="0" xfId="0" applyAlignment="1" applyBorder="1" applyFill="1" applyFont="1">
      <alignment horizontal="center" vertical="bottom"/>
    </xf>
    <xf borderId="2" fillId="14" fontId="23" numFmtId="0" xfId="0" applyAlignment="1" applyBorder="1" applyFill="1" applyFont="1">
      <alignment horizontal="center" vertical="bottom"/>
    </xf>
    <xf borderId="2" fillId="10" fontId="23" numFmtId="0" xfId="0" applyAlignment="1" applyBorder="1" applyFill="1" applyFont="1">
      <alignment horizontal="center" vertical="bottom"/>
    </xf>
    <xf borderId="9" fillId="35" fontId="31" numFmtId="0" xfId="0" applyAlignment="1" applyBorder="1" applyFill="1" applyFont="1">
      <alignment horizontal="center" shrinkToFit="0" vertical="top" wrapText="1"/>
    </xf>
    <xf borderId="9" fillId="16" fontId="32" numFmtId="0" xfId="0" applyAlignment="1" applyBorder="1" applyFill="1" applyFont="1">
      <alignment shrinkToFit="0" vertical="top" wrapText="1"/>
    </xf>
    <xf borderId="3" fillId="35" fontId="31" numFmtId="0" xfId="0" applyAlignment="1" applyBorder="1" applyFill="1" applyFont="1">
      <alignment horizontal="center" shrinkToFit="0" vertical="top" wrapText="1"/>
    </xf>
    <xf borderId="3" fillId="16" fontId="32" numFmtId="0" xfId="0" applyAlignment="1" applyBorder="1" applyFill="1" applyFont="1">
      <alignment shrinkToFit="0" vertical="top" wrapText="1"/>
    </xf>
    <xf borderId="2" fillId="16" fontId="32" numFmtId="0" xfId="0" applyAlignment="1" applyBorder="1" applyFill="1" applyFont="1">
      <alignment shrinkToFit="0" vertical="top" wrapText="1"/>
    </xf>
    <xf borderId="49" fillId="0" fontId="5" numFmtId="0" xfId="0" applyBorder="1" applyFont="1"/>
    <xf borderId="9" fillId="35" fontId="33" numFmtId="0" xfId="0" applyAlignment="1" applyBorder="1" applyFill="1" applyFont="1">
      <alignment horizontal="center" shrinkToFit="0" vertical="top" wrapText="1"/>
    </xf>
    <xf borderId="9" fillId="35" fontId="34" numFmtId="0" xfId="0" applyAlignment="1" applyBorder="1" applyFill="1" applyFont="1">
      <alignment horizontal="center" shrinkToFit="0" vertical="top" wrapText="1"/>
    </xf>
    <xf borderId="3" fillId="35" fontId="34" numFmtId="0" xfId="0" applyAlignment="1" applyBorder="1" applyFill="1" applyFont="1">
      <alignment horizontal="center" shrinkToFit="0" vertical="top" wrapText="1"/>
    </xf>
    <xf borderId="2" fillId="16" fontId="35" numFmtId="0" xfId="0" applyAlignment="1" applyBorder="1" applyFill="1" applyFont="1">
      <alignment shrinkToFit="0" vertical="top" wrapText="1"/>
    </xf>
    <xf borderId="3" fillId="16" fontId="35" numFmtId="0" xfId="0" applyAlignment="1" applyBorder="1" applyFill="1" applyFont="1">
      <alignment shrinkToFit="0" vertical="top" wrapText="1"/>
    </xf>
    <xf borderId="3" fillId="16" fontId="35" numFmtId="165" xfId="0" applyAlignment="1" applyBorder="1" applyFill="1" applyFont="1" applyNumberFormat="1">
      <alignment horizontal="right" shrinkToFit="0" vertical="top" wrapText="1"/>
    </xf>
    <xf borderId="6" fillId="36" fontId="10" numFmtId="0" xfId="0" applyAlignment="1" applyBorder="1" applyFill="1" applyFont="1">
      <alignment horizontal="center" vertical="center"/>
    </xf>
    <xf borderId="9" fillId="24" fontId="10" numFmtId="0" xfId="0" applyAlignment="1" applyBorder="1" applyFill="1" applyFont="1">
      <alignment horizontal="center" vertical="center"/>
    </xf>
    <xf borderId="9" fillId="36" fontId="10" numFmtId="0" xfId="0" applyAlignment="1" applyBorder="1" applyFill="1" applyFont="1">
      <alignment horizontal="center" vertical="center"/>
    </xf>
    <xf borderId="6" fillId="24" fontId="10" numFmtId="0" xfId="0" applyAlignment="1" applyBorder="1" applyFill="1" applyFont="1">
      <alignment horizontal="center" shrinkToFit="0" vertical="center" wrapText="1"/>
    </xf>
    <xf borderId="6" fillId="6" fontId="10" numFmtId="0" xfId="0" applyAlignment="1" applyBorder="1" applyFill="1" applyFont="1">
      <alignment horizontal="center" shrinkToFit="0" vertical="center" wrapText="1"/>
    </xf>
    <xf borderId="6" fillId="11" fontId="10" numFmtId="0" xfId="0" applyAlignment="1" applyBorder="1" applyFill="1" applyFont="1">
      <alignment horizontal="center" shrinkToFit="0" vertical="center" wrapText="1"/>
    </xf>
    <xf borderId="3" fillId="36" fontId="10" numFmtId="0" xfId="0" applyAlignment="1" applyBorder="1" applyFill="1" applyFont="1">
      <alignment horizontal="center" vertical="center"/>
    </xf>
    <xf borderId="3" fillId="24" fontId="10" numFmtId="0" xfId="0" applyAlignment="1" applyBorder="1" applyFill="1" applyFont="1">
      <alignment horizontal="center" vertical="center"/>
    </xf>
    <xf borderId="3" fillId="36" fontId="10" numFmtId="0" xfId="0" applyAlignment="1" applyBorder="1" applyFill="1" applyFont="1">
      <alignment vertical="center"/>
    </xf>
    <xf borderId="3" fillId="17" fontId="10" numFmtId="0" xfId="0" applyAlignment="1" applyBorder="1" applyFill="1" applyFont="1">
      <alignment horizontal="center" vertical="center"/>
    </xf>
    <xf borderId="0" fillId="0" fontId="9" numFmtId="49" xfId="0" applyAlignment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0" fontId="9" numFmtId="168" xfId="0" applyAlignment="1" applyFont="1" applyNumberFormat="1">
      <alignment horizontal="center" vertical="center"/>
    </xf>
    <xf borderId="0" fillId="0" fontId="10" numFmtId="49" xfId="0" applyAlignment="1" applyFont="1" applyNumberFormat="1">
      <alignment horizontal="center" vertical="center"/>
    </xf>
    <xf borderId="0" fillId="0" fontId="10" numFmtId="168" xfId="0" applyAlignment="1" applyFont="1" applyNumberFormat="1">
      <alignment horizontal="center" vertical="center"/>
    </xf>
    <xf borderId="3" fillId="17" fontId="6" numFmtId="10" xfId="0" applyBorder="1" applyFill="1" applyFont="1" applyNumberFormat="1"/>
    <xf borderId="3" fillId="17" fontId="6" numFmtId="0" xfId="0" applyBorder="1" applyFill="1" applyFont="1"/>
    <xf borderId="20" fillId="16" fontId="10" numFmtId="49" xfId="0" applyAlignment="1" applyBorder="1" applyFill="1" applyFont="1" applyNumberFormat="1">
      <alignment horizontal="center" vertical="center"/>
    </xf>
    <xf borderId="3" fillId="16" fontId="10" numFmtId="0" xfId="0" applyAlignment="1" applyBorder="1" applyFill="1" applyFont="1">
      <alignment vertical="center"/>
    </xf>
    <xf borderId="3" fillId="16" fontId="10" numFmtId="168" xfId="0" applyAlignment="1" applyBorder="1" applyFill="1" applyFont="1" applyNumberFormat="1">
      <alignment horizontal="center" vertical="center"/>
    </xf>
    <xf borderId="3" fillId="16" fontId="10" numFmtId="49" xfId="0" applyAlignment="1" applyBorder="1" applyFill="1" applyFont="1" applyNumberFormat="1">
      <alignment horizontal="center" vertical="center"/>
    </xf>
    <xf borderId="6" fillId="3" fontId="36" numFmtId="0" xfId="0" applyAlignment="1" applyBorder="1" applyFill="1" applyFont="1">
      <alignment horizontal="center" vertical="center"/>
    </xf>
    <xf borderId="9" fillId="3" fontId="36" numFmtId="0" xfId="0" applyAlignment="1" applyBorder="1" applyFill="1" applyFont="1">
      <alignment horizontal="center" vertical="center"/>
    </xf>
    <xf borderId="6" fillId="3" fontId="37" numFmtId="0" xfId="0" applyAlignment="1" applyBorder="1" applyFill="1" applyFont="1">
      <alignment horizontal="center" shrinkToFit="0" vertical="center" wrapText="1"/>
    </xf>
    <xf borderId="3" fillId="3" fontId="36" numFmtId="0" xfId="0" applyAlignment="1" applyBorder="1" applyFill="1" applyFont="1">
      <alignment horizontal="center" vertical="center"/>
    </xf>
    <xf borderId="3" fillId="11" fontId="10" numFmtId="49" xfId="0" applyAlignment="1" applyBorder="1" applyFill="1" applyFont="1" applyNumberFormat="1">
      <alignment horizontal="center" vertical="center"/>
    </xf>
    <xf borderId="3" fillId="11" fontId="10" numFmtId="0" xfId="0" applyAlignment="1" applyBorder="1" applyFill="1" applyFont="1">
      <alignment vertical="center"/>
    </xf>
    <xf borderId="3" fillId="11" fontId="10" numFmtId="168" xfId="0" applyAlignment="1" applyBorder="1" applyFill="1" applyFont="1" applyNumberFormat="1">
      <alignment horizontal="center" vertical="center"/>
    </xf>
    <xf borderId="3" fillId="11" fontId="10" numFmtId="0" xfId="0" applyAlignment="1" applyBorder="1" applyFill="1" applyFont="1">
      <alignment shrinkToFit="0" vertical="center" wrapText="1"/>
    </xf>
    <xf borderId="20" fillId="14" fontId="9" numFmtId="49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6FA8DC"/>
              </a:solidFill>
            </a:ln>
          </c:spPr>
          <c:marker>
            <c:symbol val="circle"/>
            <c:size val="10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Lbls>
            <c:dLbl>
              <c:idx val="0"/>
              <c:numFmt formatCode="General" sourceLinked="0"/>
              <c:txPr>
                <a:bodyPr/>
                <a:lstStyle/>
                <a:p>
                  <a:pPr lvl="0">
                    <a:defRPr b="0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0"/>
              <c:txPr>
                <a:bodyPr/>
                <a:lstStyle/>
                <a:p>
                  <a:pPr lvl="0">
                    <a:defRPr b="0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0"/>
            <c:txPr>
              <a:bodyPr/>
              <a:lstStyle/>
              <a:p>
                <a:pPr lvl="0">
                  <a:defRPr b="0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S'!$E$3:$E$9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S'!$F$3:$F$9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S'!$G$3:$G$9</c:f>
              <c:numCache/>
            </c:numRef>
          </c:val>
          <c:smooth val="1"/>
        </c:ser>
        <c:axId val="1301940426"/>
        <c:axId val="1863958293"/>
      </c:lineChart>
      <c:catAx>
        <c:axId val="1301940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Hitos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63958293"/>
      </c:catAx>
      <c:valAx>
        <c:axId val="1863958293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Costo (UF)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0194042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 (Acercamiento)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6FA8DC"/>
              </a:solidFill>
            </a:ln>
          </c:spPr>
          <c:marker>
            <c:symbol val="circle"/>
            <c:size val="10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cat>
            <c:strRef>
              <c:f>'Curva S'!$C$3:$C$9</c:f>
            </c:strRef>
          </c:cat>
          <c:val>
            <c:numRef>
              <c:f>'Curva S'!$E$3:$E$8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S'!$E$3:$E$6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S'!$F$3:$F$9</c:f>
              <c:numCache/>
            </c:numRef>
          </c:val>
          <c:smooth val="1"/>
        </c:ser>
        <c:axId val="1427745252"/>
        <c:axId val="2004996967"/>
      </c:lineChart>
      <c:catAx>
        <c:axId val="1427745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Hitos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4996967"/>
      </c:catAx>
      <c:valAx>
        <c:axId val="2004996967"/>
        <c:scaling>
          <c:orientation val="minMax"/>
          <c:max val="2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Costo (UF)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27745252"/>
      </c:valAx>
    </c:plotArea>
    <c:legend>
      <c:legendPos val="r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Curva S</a:t>
            </a:r>
          </a:p>
        </c:rich>
      </c:tx>
      <c:overlay val="0"/>
    </c:title>
    <c:plotArea>
      <c:layout>
        <c:manualLayout>
          <c:xMode val="edge"/>
          <c:yMode val="edge"/>
          <c:x val="0.10508241758241758"/>
          <c:y val="0.14083626192404092"/>
          <c:w val="0.864010989010989"/>
          <c:h val="0.7024970714092924"/>
        </c:manualLayout>
      </c:layout>
      <c:lineChart>
        <c:varyColors val="0"/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S'!$C$45:$C$51</c:f>
            </c:strRef>
          </c:cat>
          <c:val>
            <c:numRef>
              <c:f>'Curva S'!$E$45:$E$51</c:f>
              <c:numCache/>
            </c:numRef>
          </c:val>
          <c:smooth val="1"/>
        </c:ser>
        <c:axId val="1312895168"/>
        <c:axId val="8164757"/>
      </c:lineChart>
      <c:catAx>
        <c:axId val="1312895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164757"/>
      </c:catAx>
      <c:valAx>
        <c:axId val="8164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12895168"/>
      </c:valAx>
    </c:plotArea>
    <c:legend>
      <c:legendPos val="r"/>
      <c:layout>
        <c:manualLayout>
          <c:xMode val="edge"/>
          <c:yMode val="edge"/>
          <c:x val="0.7216666666666668"/>
          <c:y val="0.1372416891284816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 - Avance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10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H0: 0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H1: 36,34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H2: 129,22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H3: 160,59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S'!$C$45:$C$48</c:f>
            </c:strRef>
          </c:cat>
          <c:val>
            <c:numRef>
              <c:f>'Curva S'!$E$45:$E$51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10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2"/>
            <c:marker>
              <c:symbol val="none"/>
            </c:marker>
          </c:dPt>
          <c:cat>
            <c:strRef>
              <c:f>'Curva S'!$C$45:$C$48</c:f>
            </c:strRef>
          </c:cat>
          <c:val>
            <c:numRef>
              <c:f>'Curva S'!$F$45:$F$47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10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'Curva S'!$C$45:$C$48</c:f>
            </c:strRef>
          </c:cat>
          <c:val>
            <c:numRef>
              <c:f>'Curva S'!$G$45:$G$47</c:f>
              <c:numCache/>
            </c:numRef>
          </c:val>
          <c:smooth val="1"/>
        </c:ser>
        <c:axId val="1257581289"/>
        <c:axId val="203121082"/>
      </c:lineChart>
      <c:catAx>
        <c:axId val="1257581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3121082"/>
      </c:catAx>
      <c:valAx>
        <c:axId val="203121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5758128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 - Avance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10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0"/>
            <c:marker>
              <c:symbol val="circle"/>
              <c:size val="2"/>
              <c:spPr>
                <a:solidFill>
                  <a:srgbClr val="4F81BD"/>
                </a:solidFill>
                <a:ln cmpd="sng">
                  <a:solidFill>
                    <a:srgbClr val="4F81BD"/>
                  </a:solidFill>
                </a:ln>
              </c:spPr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H0: 0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H1: 36,34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H2: 129,22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H3: 160,59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H4: 196,93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H5: 240,69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H6: 260,81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S'!$C$45:$C$51</c:f>
            </c:strRef>
          </c:cat>
          <c:val>
            <c:numRef>
              <c:f>'Curva S'!$E$45:$E$51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10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2"/>
            <c:marker>
              <c:symbol val="none"/>
            </c:marker>
          </c:dPt>
          <c:cat>
            <c:strRef>
              <c:f>'Curva S'!$C$45:$C$51</c:f>
            </c:strRef>
          </c:cat>
          <c:val>
            <c:numRef>
              <c:f>'Curva S'!$F$45:$F$47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10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'Curva S'!$C$45:$C$51</c:f>
            </c:strRef>
          </c:cat>
          <c:val>
            <c:numRef>
              <c:f>'Curva S'!$G$45:$G$47</c:f>
              <c:numCache/>
            </c:numRef>
          </c:val>
          <c:smooth val="1"/>
        </c:ser>
        <c:axId val="1151032103"/>
        <c:axId val="122932766"/>
      </c:lineChart>
      <c:catAx>
        <c:axId val="1151032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932766"/>
      </c:catAx>
      <c:valAx>
        <c:axId val="122932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5103210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11</xdr:row>
      <xdr:rowOff>19050</xdr:rowOff>
    </xdr:from>
    <xdr:ext cx="8477250" cy="5267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419100</xdr:colOff>
      <xdr:row>11</xdr:row>
      <xdr:rowOff>19050</xdr:rowOff>
    </xdr:from>
    <xdr:ext cx="8839200" cy="5267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314325</xdr:colOff>
      <xdr:row>55</xdr:row>
      <xdr:rowOff>190500</xdr:rowOff>
    </xdr:from>
    <xdr:ext cx="6934200" cy="42862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1104900</xdr:colOff>
      <xdr:row>86</xdr:row>
      <xdr:rowOff>152400</xdr:rowOff>
    </xdr:from>
    <xdr:ext cx="6934200" cy="42862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942975</xdr:colOff>
      <xdr:row>86</xdr:row>
      <xdr:rowOff>152400</xdr:rowOff>
    </xdr:from>
    <xdr:ext cx="6934200" cy="42862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523875</xdr:colOff>
      <xdr:row>9</xdr:row>
      <xdr:rowOff>390525</xdr:rowOff>
    </xdr:from>
    <xdr:ext cx="3400425" cy="1028700"/>
    <xdr:grpSp>
      <xdr:nvGrpSpPr>
        <xdr:cNvPr id="2" name="Shape 2"/>
        <xdr:cNvGrpSpPr/>
      </xdr:nvGrpSpPr>
      <xdr:grpSpPr>
        <a:xfrm>
          <a:off x="3645788" y="3265650"/>
          <a:ext cx="3400425" cy="1028700"/>
          <a:chOff x="3645788" y="3265650"/>
          <a:chExt cx="3400425" cy="1028700"/>
        </a:xfrm>
      </xdr:grpSpPr>
      <xdr:grpSp>
        <xdr:nvGrpSpPr>
          <xdr:cNvPr id="3" name="Shape 3" title="Dibujo"/>
          <xdr:cNvGrpSpPr/>
        </xdr:nvGrpSpPr>
        <xdr:grpSpPr>
          <a:xfrm>
            <a:off x="3645788" y="3265650"/>
            <a:ext cx="3400425" cy="1028700"/>
            <a:chOff x="4253600" y="3212725"/>
            <a:chExt cx="3385402" cy="1011718"/>
          </a:xfrm>
        </xdr:grpSpPr>
        <xdr:sp>
          <xdr:nvSpPr>
            <xdr:cNvPr id="4" name="Shape 4"/>
            <xdr:cNvSpPr/>
          </xdr:nvSpPr>
          <xdr:spPr>
            <a:xfrm>
              <a:off x="4253600" y="3212725"/>
              <a:ext cx="3385400" cy="1011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ibujo"/>
            <xdr:cNvGrpSpPr/>
          </xdr:nvGrpSpPr>
          <xdr:grpSpPr>
            <a:xfrm>
              <a:off x="4253600" y="3212725"/>
              <a:ext cx="3385402" cy="1011718"/>
              <a:chOff x="1295939" y="567997"/>
              <a:chExt cx="3145992" cy="981108"/>
            </a:xfrm>
          </xdr:grpSpPr>
          <xdr:sp>
            <xdr:nvSpPr>
              <xdr:cNvPr id="6" name="Shape 6"/>
              <xdr:cNvSpPr/>
            </xdr:nvSpPr>
            <xdr:spPr>
              <a:xfrm>
                <a:off x="1295939" y="800930"/>
                <a:ext cx="3145992" cy="748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" name="Shape 7"/>
              <xdr:cNvSpPr/>
            </xdr:nvSpPr>
            <xdr:spPr>
              <a:xfrm>
                <a:off x="1897867" y="1289415"/>
                <a:ext cx="146400" cy="141000"/>
              </a:xfrm>
              <a:prstGeom prst="ellipse">
                <a:avLst/>
              </a:prstGeom>
              <a:solidFill>
                <a:srgbClr val="0B5394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2886777" y="567997"/>
                <a:ext cx="1152600" cy="642900"/>
              </a:xfrm>
              <a:prstGeom prst="rect">
                <a:avLst/>
              </a:prstGeom>
              <a:solidFill>
                <a:srgbClr val="0B5394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000"/>
                  <a:buFont typeface="Roboto"/>
                  <a:buNone/>
                </a:pP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Hito 1: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10/09/2026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SPI: 1 | CPI: 1</a:t>
                </a:r>
                <a:endParaRPr b="1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  <xdr:cxnSp>
          <xdr:nvCxnSpPr>
            <xdr:cNvPr id="9" name="Shape 9"/>
            <xdr:cNvCxnSpPr>
              <a:stCxn id="8" idx="2"/>
              <a:endCxn id="7" idx="6"/>
            </xdr:cNvCxnSpPr>
          </xdr:nvCxnSpPr>
          <xdr:spPr>
            <a:xfrm flipH="1">
              <a:off x="5058957" y="3875683"/>
              <a:ext cx="1526700" cy="153600"/>
            </a:xfrm>
            <a:prstGeom prst="straightConnector1">
              <a:avLst/>
            </a:prstGeom>
            <a:noFill/>
            <a:ln cap="flat" cmpd="sng" w="28575">
              <a:solidFill>
                <a:srgbClr val="0B5394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8</xdr:col>
      <xdr:colOff>485775</xdr:colOff>
      <xdr:row>10</xdr:row>
      <xdr:rowOff>142875</xdr:rowOff>
    </xdr:from>
    <xdr:ext cx="2362200" cy="923925"/>
    <xdr:grpSp>
      <xdr:nvGrpSpPr>
        <xdr:cNvPr id="2" name="Shape 2"/>
        <xdr:cNvGrpSpPr/>
      </xdr:nvGrpSpPr>
      <xdr:grpSpPr>
        <a:xfrm>
          <a:off x="4164900" y="3318038"/>
          <a:ext cx="2362199" cy="923925"/>
          <a:chOff x="4164900" y="3318038"/>
          <a:chExt cx="2362199" cy="923925"/>
        </a:xfrm>
      </xdr:grpSpPr>
      <xdr:grpSp>
        <xdr:nvGrpSpPr>
          <xdr:cNvPr id="10" name="Shape 10" title="Dibujo"/>
          <xdr:cNvGrpSpPr/>
        </xdr:nvGrpSpPr>
        <xdr:grpSpPr>
          <a:xfrm>
            <a:off x="4164900" y="3318038"/>
            <a:ext cx="2362199" cy="923925"/>
            <a:chOff x="1908020" y="3323929"/>
            <a:chExt cx="2347902" cy="907905"/>
          </a:xfrm>
        </xdr:grpSpPr>
        <xdr:sp>
          <xdr:nvSpPr>
            <xdr:cNvPr id="4" name="Shape 4"/>
            <xdr:cNvSpPr/>
          </xdr:nvSpPr>
          <xdr:spPr>
            <a:xfrm>
              <a:off x="1908020" y="3323929"/>
              <a:ext cx="2347900" cy="907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 title="Dibujo"/>
            <xdr:cNvGrpSpPr/>
          </xdr:nvGrpSpPr>
          <xdr:grpSpPr>
            <a:xfrm>
              <a:off x="1908020" y="3323929"/>
              <a:ext cx="2347902" cy="907905"/>
              <a:chOff x="-1165161" y="695071"/>
              <a:chExt cx="3735130" cy="830350"/>
            </a:xfrm>
          </xdr:grpSpPr>
          <xdr:sp>
            <xdr:nvSpPr>
              <xdr:cNvPr id="12" name="Shape 12"/>
              <xdr:cNvSpPr/>
            </xdr:nvSpPr>
            <xdr:spPr>
              <a:xfrm>
                <a:off x="1403985" y="777246"/>
                <a:ext cx="1165984" cy="748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3" name="Shape 13"/>
              <xdr:cNvSpPr/>
            </xdr:nvSpPr>
            <xdr:spPr>
              <a:xfrm flipH="1">
                <a:off x="1317439" y="1392520"/>
                <a:ext cx="223800" cy="132900"/>
              </a:xfrm>
              <a:prstGeom prst="ellipse">
                <a:avLst/>
              </a:prstGeom>
              <a:solidFill>
                <a:srgbClr val="351C75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  <xdr:sp>
            <xdr:nvSpPr>
              <xdr:cNvPr id="14" name="Shape 14"/>
              <xdr:cNvSpPr txBox="1"/>
            </xdr:nvSpPr>
            <xdr:spPr>
              <a:xfrm>
                <a:off x="-1165161" y="695071"/>
                <a:ext cx="2306700" cy="629400"/>
              </a:xfrm>
              <a:prstGeom prst="rect">
                <a:avLst/>
              </a:prstGeom>
              <a:solidFill>
                <a:srgbClr val="351C75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000"/>
                  <a:buFont typeface="Roboto"/>
                  <a:buNone/>
                </a:pP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Hito 2:</a:t>
                </a:r>
                <a:b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24/09/2026</a:t>
                </a:r>
                <a:b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1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SPI: 0.99 | CPI: 0.99</a:t>
                </a:r>
                <a:endParaRPr b="1" sz="11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  <xdr:cxnSp>
          <xdr:nvCxnSpPr>
            <xdr:cNvPr id="15" name="Shape 15"/>
            <xdr:cNvCxnSpPr>
              <a:stCxn id="14" idx="2"/>
              <a:endCxn id="13" idx="3"/>
            </xdr:cNvCxnSpPr>
          </xdr:nvCxnSpPr>
          <xdr:spPr>
            <a:xfrm>
              <a:off x="2633016" y="4012115"/>
              <a:ext cx="955500" cy="198300"/>
            </a:xfrm>
            <a:prstGeom prst="straightConnector1">
              <a:avLst/>
            </a:prstGeom>
            <a:noFill/>
            <a:ln cap="flat" cmpd="sng" w="38100">
              <a:solidFill>
                <a:srgbClr val="351C75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9</xdr:col>
      <xdr:colOff>523875</xdr:colOff>
      <xdr:row>9</xdr:row>
      <xdr:rowOff>285750</xdr:rowOff>
    </xdr:from>
    <xdr:ext cx="3019425" cy="1085850"/>
    <xdr:grpSp>
      <xdr:nvGrpSpPr>
        <xdr:cNvPr id="2" name="Shape 2"/>
        <xdr:cNvGrpSpPr/>
      </xdr:nvGrpSpPr>
      <xdr:grpSpPr>
        <a:xfrm>
          <a:off x="3836288" y="3237075"/>
          <a:ext cx="3019425" cy="1085850"/>
          <a:chOff x="3836288" y="3237075"/>
          <a:chExt cx="3019425" cy="1085850"/>
        </a:xfrm>
      </xdr:grpSpPr>
      <xdr:grpSp>
        <xdr:nvGrpSpPr>
          <xdr:cNvPr id="16" name="Shape 16" title="Dibujo"/>
          <xdr:cNvGrpSpPr/>
        </xdr:nvGrpSpPr>
        <xdr:grpSpPr>
          <a:xfrm>
            <a:off x="3836288" y="3237075"/>
            <a:ext cx="3019425" cy="1085850"/>
            <a:chOff x="3516075" y="3157450"/>
            <a:chExt cx="3000000" cy="1067000"/>
          </a:xfrm>
        </xdr:grpSpPr>
        <xdr:sp>
          <xdr:nvSpPr>
            <xdr:cNvPr id="4" name="Shape 4"/>
            <xdr:cNvSpPr/>
          </xdr:nvSpPr>
          <xdr:spPr>
            <a:xfrm>
              <a:off x="3516075" y="3157450"/>
              <a:ext cx="3000000" cy="106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" name="Shape 17" title="Dibujo"/>
            <xdr:cNvGrpSpPr/>
          </xdr:nvGrpSpPr>
          <xdr:grpSpPr>
            <a:xfrm>
              <a:off x="4253689" y="3212725"/>
              <a:ext cx="1206691" cy="1011725"/>
              <a:chOff x="1295943" y="567997"/>
              <a:chExt cx="1379706" cy="981114"/>
            </a:xfrm>
          </xdr:grpSpPr>
          <xdr:sp>
            <xdr:nvSpPr>
              <xdr:cNvPr id="18" name="Shape 18"/>
              <xdr:cNvSpPr/>
            </xdr:nvSpPr>
            <xdr:spPr>
              <a:xfrm>
                <a:off x="1295949" y="800936"/>
                <a:ext cx="1379700" cy="748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9" name="Shape 19"/>
              <xdr:cNvSpPr/>
            </xdr:nvSpPr>
            <xdr:spPr>
              <a:xfrm>
                <a:off x="1898347" y="1309730"/>
                <a:ext cx="174900" cy="161100"/>
              </a:xfrm>
              <a:prstGeom prst="ellipse">
                <a:avLst/>
              </a:prstGeom>
              <a:solidFill>
                <a:srgbClr val="134F5C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  <xdr:sp>
            <xdr:nvSpPr>
              <xdr:cNvPr id="20" name="Shape 20"/>
              <xdr:cNvSpPr txBox="1"/>
            </xdr:nvSpPr>
            <xdr:spPr>
              <a:xfrm>
                <a:off x="1295943" y="567997"/>
                <a:ext cx="1379700" cy="642900"/>
              </a:xfrm>
              <a:prstGeom prst="rect">
                <a:avLst/>
              </a:prstGeom>
              <a:solidFill>
                <a:srgbClr val="134F5C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500"/>
                  <a:buFont typeface="Roboto"/>
                  <a:buNone/>
                </a:pP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Hito 0: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03/09/2026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SPI: 1 | CPI: 1</a:t>
                </a:r>
                <a:endParaRPr b="1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  <xdr:sp>
          <xdr:nvSpPr>
            <xdr:cNvPr id="21" name="Shape 21"/>
            <xdr:cNvSpPr txBox="1"/>
          </xdr:nvSpPr>
          <xdr:spPr>
            <a:xfrm>
              <a:off x="3516075" y="3157450"/>
              <a:ext cx="3000000" cy="384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300"/>
                <a:buFont typeface="Arial"/>
                <a:buNone/>
              </a:pPr>
              <a:r>
                <a:t/>
              </a:r>
              <a:endParaRPr b="1" sz="1300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</xdr:grpSp>
    </xdr:grp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i.cl/valores_y_fechas/uf/uf2026.htm" TargetMode="External"/><Relationship Id="rId2" Type="http://schemas.openxmlformats.org/officeDocument/2006/relationships/hyperlink" Target="https://cl.indeed.com/career/l%C3%ADder-de-proyectos/salaries?salaryType=HOURLY" TargetMode="External"/><Relationship Id="rId3" Type="http://schemas.openxmlformats.org/officeDocument/2006/relationships/hyperlink" Target="https://cl.indeed.com/career/jefe-de-proyecto/salaries?salaryType=HOURLY" TargetMode="External"/><Relationship Id="rId4" Type="http://schemas.openxmlformats.org/officeDocument/2006/relationships/hyperlink" Target="https://cl.indeed.com/career/jefe-de-proyecto/salaries?salaryType=HOURLY" TargetMode="External"/><Relationship Id="rId9" Type="http://schemas.openxmlformats.org/officeDocument/2006/relationships/drawing" Target="../drawings/drawing14.xml"/><Relationship Id="rId5" Type="http://schemas.openxmlformats.org/officeDocument/2006/relationships/hyperlink" Target="https://cl.indeed.com/career/jefe-de-proyecto/salaries?salaryType=HOURLY" TargetMode="External"/><Relationship Id="rId6" Type="http://schemas.openxmlformats.org/officeDocument/2006/relationships/hyperlink" Target="https://cl.talent.com/salary?job=Desarrollador" TargetMode="External"/><Relationship Id="rId7" Type="http://schemas.openxmlformats.org/officeDocument/2006/relationships/hyperlink" Target="https://cl.talent.com/salary?job=Investigador+Jornada" TargetMode="External"/><Relationship Id="rId8" Type="http://schemas.openxmlformats.org/officeDocument/2006/relationships/hyperlink" Target="https://cl.talent.com/salary?job=Documentador+Tcnico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9D08E"/>
    <outlinePr summaryRight="0"/>
    <pageSetUpPr/>
  </sheetPr>
  <sheetViews>
    <sheetView workbookViewId="0">
      <pane xSplit="15.0" ySplit="3.0" topLeftCell="P4" activePane="bottomRight" state="frozen"/>
      <selection activeCell="P1" sqref="P1" pane="topRight"/>
      <selection activeCell="A4" sqref="A4" pane="bottomLeft"/>
      <selection activeCell="P4" sqref="P4" pane="bottomRight"/>
    </sheetView>
  </sheetViews>
  <sheetFormatPr customHeight="1" defaultColWidth="14.43" defaultRowHeight="15.0" outlineLevelRow="1"/>
  <cols>
    <col customWidth="1" min="1" max="1" width="5.43"/>
    <col customWidth="1" min="2" max="2" width="43.86"/>
    <col customWidth="1" min="3" max="4" width="8.57"/>
    <col customWidth="1" min="5" max="5" width="10.0"/>
    <col customWidth="1" min="6" max="6" width="7.14"/>
    <col customWidth="1" min="7" max="7" width="8.71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min="14" max="15" width="8.57"/>
    <col customWidth="1" hidden="1" min="16" max="16" width="8.14"/>
    <col customWidth="1" min="17" max="17" width="9.0"/>
    <col customWidth="1" min="18" max="18" width="8.71"/>
    <col customWidth="1" min="19" max="19" width="3.14"/>
    <col customWidth="1" min="20" max="20" width="9.57"/>
    <col customWidth="1" min="21" max="21" width="7.57"/>
    <col customWidth="1" min="22" max="22" width="9.0"/>
    <col customWidth="1" min="23" max="23" width="8.71"/>
    <col customWidth="1" min="24" max="24" width="7.57"/>
    <col customWidth="1" min="25" max="25" width="9.14"/>
    <col customWidth="1" min="26" max="26" width="8.71"/>
    <col customWidth="1" min="27" max="28" width="7.57"/>
    <col customWidth="1" min="29" max="29" width="8.71"/>
    <col customWidth="1" min="30" max="30" width="7.57"/>
    <col customWidth="1" min="31" max="34" width="8.71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20"/>
      <c r="N1" s="24" t="s">
        <v>20</v>
      </c>
      <c r="O1" s="27" t="s">
        <v>22</v>
      </c>
      <c r="P1" s="29"/>
      <c r="Q1" s="32" t="s">
        <v>12</v>
      </c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6"/>
      <c r="AE1" s="35" t="s">
        <v>25</v>
      </c>
      <c r="AF1" s="35" t="s">
        <v>27</v>
      </c>
      <c r="AG1" s="35" t="s">
        <v>29</v>
      </c>
      <c r="AH1" s="35" t="s">
        <v>30</v>
      </c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20"/>
      <c r="N2" s="38"/>
      <c r="O2" s="57"/>
      <c r="P2" s="58"/>
      <c r="Q2" s="61" t="s">
        <v>40</v>
      </c>
      <c r="R2" s="20"/>
      <c r="S2" s="20"/>
      <c r="T2" s="20"/>
      <c r="U2" s="6"/>
      <c r="V2" s="64" t="s">
        <v>35</v>
      </c>
      <c r="W2" s="20"/>
      <c r="X2" s="6"/>
      <c r="Y2" s="69" t="s">
        <v>36</v>
      </c>
      <c r="Z2" s="20"/>
      <c r="AA2" s="6"/>
      <c r="AB2" s="71" t="s">
        <v>39</v>
      </c>
      <c r="AC2" s="20"/>
      <c r="AD2" s="6"/>
      <c r="AE2" s="72"/>
      <c r="AF2" s="72"/>
      <c r="AG2" s="72"/>
      <c r="AH2" s="72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42</v>
      </c>
      <c r="J3" s="76" t="s">
        <v>43</v>
      </c>
      <c r="K3" s="76" t="s">
        <v>44</v>
      </c>
      <c r="L3" s="76" t="s">
        <v>45</v>
      </c>
      <c r="M3" s="76" t="s">
        <v>43</v>
      </c>
      <c r="N3" s="25"/>
      <c r="O3" s="81"/>
      <c r="P3" s="65" t="s">
        <v>44</v>
      </c>
      <c r="Q3" s="83" t="s">
        <v>46</v>
      </c>
      <c r="R3" s="83" t="s">
        <v>48</v>
      </c>
      <c r="S3" s="83" t="s">
        <v>49</v>
      </c>
      <c r="T3" s="83" t="s">
        <v>50</v>
      </c>
      <c r="U3" s="83" t="s">
        <v>32</v>
      </c>
      <c r="V3" s="85" t="s">
        <v>46</v>
      </c>
      <c r="W3" s="85" t="s">
        <v>48</v>
      </c>
      <c r="X3" s="85" t="s">
        <v>32</v>
      </c>
      <c r="Y3" s="87" t="s">
        <v>46</v>
      </c>
      <c r="Z3" s="87" t="s">
        <v>48</v>
      </c>
      <c r="AA3" s="87" t="s">
        <v>32</v>
      </c>
      <c r="AB3" s="89" t="s">
        <v>46</v>
      </c>
      <c r="AC3" s="89" t="s">
        <v>48</v>
      </c>
      <c r="AD3" s="89" t="s">
        <v>32</v>
      </c>
      <c r="AE3" s="72"/>
      <c r="AF3" s="72"/>
      <c r="AG3" s="72"/>
      <c r="AH3" s="72"/>
    </row>
    <row r="4">
      <c r="A4" s="93" t="s">
        <v>57</v>
      </c>
      <c r="B4" s="94" t="s">
        <v>58</v>
      </c>
      <c r="C4" s="95">
        <v>44656.0</v>
      </c>
      <c r="D4" s="95">
        <v>44670.0</v>
      </c>
      <c r="E4" s="106" t="str">
        <f t="shared" ref="E4:E14" si="3">_xludf.DAYs(D4,C4)+1</f>
        <v>#NAME?</v>
      </c>
      <c r="F4" s="108">
        <f t="shared" ref="F4:G4" si="1">SUM(F5,F7)</f>
        <v>26</v>
      </c>
      <c r="G4" s="111">
        <f t="shared" si="1"/>
        <v>0.02951191827</v>
      </c>
      <c r="H4" s="108"/>
      <c r="I4" s="114" t="str">
        <f>SUM(I5,I7)</f>
        <v>#REF!</v>
      </c>
      <c r="J4" s="114" t="str">
        <f>I4</f>
        <v>#REF!</v>
      </c>
      <c r="K4" s="111" t="str">
        <f t="shared" ref="K4:L4" si="2">SUM(K5,K7)</f>
        <v>#REF!</v>
      </c>
      <c r="L4" s="117" t="str">
        <f t="shared" si="2"/>
        <v>#REF!</v>
      </c>
      <c r="M4" s="117" t="str">
        <f t="shared" ref="M4:M6" si="4">L4</f>
        <v>#REF!</v>
      </c>
      <c r="N4" s="108"/>
      <c r="O4" s="108"/>
      <c r="P4" s="111" t="str">
        <f>M4/$M$93</f>
        <v>#REF!</v>
      </c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26"/>
      <c r="AB4" s="127"/>
      <c r="AC4" s="127"/>
      <c r="AD4" s="127"/>
      <c r="AE4" s="128"/>
      <c r="AF4" s="128"/>
      <c r="AG4" s="128"/>
      <c r="AH4" s="128"/>
    </row>
    <row r="5">
      <c r="A5" s="130" t="s">
        <v>60</v>
      </c>
      <c r="B5" s="132" t="s">
        <v>61</v>
      </c>
      <c r="C5" s="133">
        <v>44656.0</v>
      </c>
      <c r="D5" s="133">
        <v>44656.0</v>
      </c>
      <c r="E5" s="134" t="str">
        <f t="shared" si="3"/>
        <v>#NAME?</v>
      </c>
      <c r="F5" s="136">
        <f>SUM(F6)</f>
        <v>1</v>
      </c>
      <c r="G5" s="115">
        <f>G6</f>
        <v>0.00113507378</v>
      </c>
      <c r="H5" s="136"/>
      <c r="I5" s="139" t="str">
        <f>SUM(I6)</f>
        <v>#REF!</v>
      </c>
      <c r="J5" s="139" t="str">
        <f>J6</f>
        <v>#REF!</v>
      </c>
      <c r="K5" s="115" t="str">
        <f>SUM(J6)</f>
        <v>#REF!</v>
      </c>
      <c r="L5" s="143" t="str">
        <f>L6</f>
        <v>#REF!</v>
      </c>
      <c r="M5" s="143" t="str">
        <f t="shared" si="4"/>
        <v>#REF!</v>
      </c>
      <c r="N5" s="143"/>
      <c r="O5" s="143"/>
      <c r="P5" s="115" t="str">
        <f>SUM(P6)</f>
        <v>#REF!</v>
      </c>
      <c r="Q5" s="148"/>
      <c r="R5" s="110"/>
      <c r="S5" s="136"/>
      <c r="T5" s="136"/>
      <c r="U5" s="110"/>
      <c r="V5" s="148"/>
      <c r="W5" s="139"/>
      <c r="X5" s="136"/>
      <c r="Y5" s="148"/>
      <c r="Z5" s="110"/>
      <c r="AA5" s="151"/>
      <c r="AB5" s="153"/>
      <c r="AC5" s="151"/>
      <c r="AD5" s="151"/>
      <c r="AE5" s="155"/>
      <c r="AF5" s="155"/>
      <c r="AG5" s="155"/>
      <c r="AH5" s="155"/>
    </row>
    <row r="6">
      <c r="A6" s="157" t="s">
        <v>62</v>
      </c>
      <c r="B6" s="159" t="s">
        <v>63</v>
      </c>
      <c r="C6" s="160">
        <v>44656.0</v>
      </c>
      <c r="D6" s="160">
        <v>44656.0</v>
      </c>
      <c r="E6" s="162" t="str">
        <f t="shared" si="3"/>
        <v>#NAME?</v>
      </c>
      <c r="F6" s="80">
        <v>1.0</v>
      </c>
      <c r="G6" s="47">
        <f>F6/F105</f>
        <v>0.00113507378</v>
      </c>
      <c r="H6" s="39">
        <f>G6</f>
        <v>0.00113507378</v>
      </c>
      <c r="I6" s="169" t="str">
        <f>SUM(R6,W6,Z6,AC6)</f>
        <v>#REF!</v>
      </c>
      <c r="J6" s="171" t="str">
        <f>I6</f>
        <v>#REF!</v>
      </c>
      <c r="K6" s="47" t="str">
        <f>J6/$J$104</f>
        <v>#REF!</v>
      </c>
      <c r="L6" s="179" t="str">
        <f>SUM(U6,X6,AA6,AD6)</f>
        <v>#REF!</v>
      </c>
      <c r="M6" s="179" t="str">
        <f t="shared" si="4"/>
        <v>#REF!</v>
      </c>
      <c r="N6" s="47">
        <f>G6*AE6</f>
        <v>0</v>
      </c>
      <c r="O6" s="47">
        <f>N6</f>
        <v>0</v>
      </c>
      <c r="P6" s="47" t="str">
        <f t="shared" ref="P6:P92" si="6">M6/$M$93</f>
        <v>#REF!</v>
      </c>
      <c r="Q6" s="188">
        <f>R6/F6</f>
        <v>1</v>
      </c>
      <c r="R6" s="189">
        <v>1.0</v>
      </c>
      <c r="S6" s="190" t="s">
        <v>64</v>
      </c>
      <c r="T6" s="190">
        <f>IF(S6="L",0.68,IF(S6="JP",0.57,IF(S6="JI",0.57,IF(S6="JD",0.57,IF(S6="P",0.24,IF(S6="I",0.12,IF(S6="D",0.13)))))))</f>
        <v>0.68</v>
      </c>
      <c r="U6" s="189">
        <f>T6*R6</f>
        <v>0.68</v>
      </c>
      <c r="V6" s="198" t="str">
        <f>W6/F6</f>
        <v>#REF!</v>
      </c>
      <c r="W6" s="202" t="str">
        <f>'CD R Documentación'!O7+'CD R Documentación'!T7+'CD R Documentación'!Y7+'CD R Documentación'!AD7+'CD R Documentación'!AI7+'CD R Documentación'!AN7+#REF!</f>
        <v>#REF!</v>
      </c>
      <c r="X6" s="85" t="str">
        <f>'CD R Documentación'!R7+'CD R Documentación'!W7+'CD R Documentación'!AB7+'CD R Documentación'!AG7+'CD R Documentación'!AL7+'CD R Documentación'!AQ7+#REF!</f>
        <v>#REF!</v>
      </c>
      <c r="Y6" s="203">
        <f>Z6/F6</f>
        <v>0</v>
      </c>
      <c r="Z6" s="204">
        <f>'CD R Investigación'!P7+'CD R Investigación'!U7+'CD R Investigación'!Z7+'CD R Investigación'!AE7+'CD R Investigación'!AJ7+'CD R Investigación'!AO7+'CD R Investigación'!AT7+'CD R Investigación'!AY7</f>
        <v>0</v>
      </c>
      <c r="AA6" s="204">
        <f>'CD R Investigación'!S7+'CD R Investigación'!X7+'CD R Investigación'!AC7+'CD R Investigación'!AH7+'CD R Investigación'!AM7+'CD R Investigación'!AR7+'CD R Investigación'!AW7+'CD R Investigación'!BB7</f>
        <v>0</v>
      </c>
      <c r="AB6" s="205" t="str">
        <f>AC6/F6</f>
        <v>#REF!</v>
      </c>
      <c r="AC6" s="207" t="str">
        <f>'CD R Desarrollo'!P7+'CD R Desarrollo'!U7+'CD R Desarrollo'!Z7+'CD R Desarrollo'!AE7+'CD R Desarrollo'!AJ7+'CD R Desarrollo'!AO7+#REF!+#REF!</f>
        <v>#REF!</v>
      </c>
      <c r="AD6" s="207" t="str">
        <f>'CD R Desarrollo'!S7+'CD R Desarrollo'!X7+'CD R Desarrollo'!AC7+'CD R Desarrollo'!AH7+'CD R Desarrollo'!AM7+'CD R Desarrollo'!AR7+#REF!+#REF!</f>
        <v>#REF!</v>
      </c>
      <c r="AE6" s="209">
        <v>0.0</v>
      </c>
      <c r="AF6" s="210">
        <f>'PL Cronograma detallado'!L40*AE6</f>
        <v>0</v>
      </c>
      <c r="AG6" s="211" t="str">
        <f>AF6/'PL Cronograma detallado'!M257</f>
        <v>#DIV/0!</v>
      </c>
      <c r="AH6" s="211" t="str">
        <f>AG6</f>
        <v>#DIV/0!</v>
      </c>
    </row>
    <row r="7">
      <c r="A7" s="130" t="s">
        <v>69</v>
      </c>
      <c r="B7" s="132" t="s">
        <v>70</v>
      </c>
      <c r="C7" s="133">
        <v>44656.0</v>
      </c>
      <c r="D7" s="133">
        <v>44662.0</v>
      </c>
      <c r="E7" s="134" t="str">
        <f t="shared" si="3"/>
        <v>#NAME?</v>
      </c>
      <c r="F7" s="136">
        <f t="shared" ref="F7:G7" si="5">SUM(F8:F19)</f>
        <v>25</v>
      </c>
      <c r="G7" s="115">
        <f t="shared" si="5"/>
        <v>0.02837684449</v>
      </c>
      <c r="H7" s="115">
        <f>SUM(H6,G7)</f>
        <v>0.02951191827</v>
      </c>
      <c r="I7" s="139" t="str">
        <f>SUM(I8:I19)</f>
        <v>#REF!</v>
      </c>
      <c r="J7" s="139" t="str">
        <f t="shared" ref="J7:J8" si="7">SUM(I7,J5)</f>
        <v>#REF!</v>
      </c>
      <c r="K7" s="115" t="str">
        <f>SUM(K8:K16)</f>
        <v>#REF!</v>
      </c>
      <c r="L7" s="143" t="str">
        <f>SUM(L8:L19)</f>
        <v>#REF!</v>
      </c>
      <c r="M7" s="143" t="str">
        <f t="shared" ref="M7:M8" si="8">SUM(L7,M5)</f>
        <v>#REF!</v>
      </c>
      <c r="N7" s="143"/>
      <c r="O7" s="143"/>
      <c r="P7" s="115" t="str">
        <f t="shared" si="6"/>
        <v>#REF!</v>
      </c>
      <c r="Q7" s="148"/>
      <c r="R7" s="110"/>
      <c r="S7" s="136"/>
      <c r="T7" s="136"/>
      <c r="U7" s="110"/>
      <c r="V7" s="148"/>
      <c r="W7" s="139"/>
      <c r="X7" s="136"/>
      <c r="Y7" s="148"/>
      <c r="Z7" s="110"/>
      <c r="AA7" s="110"/>
      <c r="AB7" s="148"/>
      <c r="AC7" s="110"/>
      <c r="AD7" s="110"/>
      <c r="AE7" s="212"/>
      <c r="AF7" s="212"/>
      <c r="AG7" s="212"/>
      <c r="AH7" s="212"/>
    </row>
    <row r="8">
      <c r="A8" s="157" t="s">
        <v>71</v>
      </c>
      <c r="B8" s="159" t="s">
        <v>72</v>
      </c>
      <c r="C8" s="160">
        <v>44657.0</v>
      </c>
      <c r="D8" s="160">
        <v>44657.0</v>
      </c>
      <c r="E8" s="162" t="str">
        <f t="shared" si="3"/>
        <v>#NAME?</v>
      </c>
      <c r="F8" s="80">
        <v>1.0</v>
      </c>
      <c r="G8" s="214">
        <f t="shared" ref="G8:G19" si="9">F8/F$105</f>
        <v>0.00113507378</v>
      </c>
      <c r="H8" s="39">
        <f>SUM(H6,G8)</f>
        <v>0.00227014756</v>
      </c>
      <c r="I8" s="169" t="str">
        <f t="shared" ref="I8:I19" si="10">SUM(R8,W8,Z8,AC8)</f>
        <v>#REF!</v>
      </c>
      <c r="J8" s="171" t="str">
        <f t="shared" si="7"/>
        <v>#REF!</v>
      </c>
      <c r="K8" s="47" t="str">
        <f t="shared" ref="K8:K40" si="11">J8/$J$104</f>
        <v>#REF!</v>
      </c>
      <c r="L8" s="179" t="str">
        <f t="shared" ref="L8:L19" si="12">SUM(U8,X8,AA8,AD8)</f>
        <v>#REF!</v>
      </c>
      <c r="M8" s="179" t="str">
        <f t="shared" si="8"/>
        <v>#REF!</v>
      </c>
      <c r="N8" s="47">
        <f t="shared" ref="N8:N19" si="13">G8*AE8</f>
        <v>0.00113507378</v>
      </c>
      <c r="O8" s="47">
        <f>SUM(N8,O6)</f>
        <v>0.00113507378</v>
      </c>
      <c r="P8" s="47" t="str">
        <f t="shared" si="6"/>
        <v>#REF!</v>
      </c>
      <c r="Q8" s="188">
        <f t="shared" ref="Q8:Q20" si="14">R8/F8</f>
        <v>1</v>
      </c>
      <c r="R8" s="189">
        <v>1.0</v>
      </c>
      <c r="S8" s="190" t="s">
        <v>64</v>
      </c>
      <c r="T8" s="190">
        <f t="shared" ref="T8:T19" si="15">IF(S8="L",0.68,IF(S8="JP",0.57,IF(S8="JI",0.57,IF(S8="JD",0.57,IF(S8="P",0.24,IF(S8="I",0.12,IF(S8="D",0.13)))))))</f>
        <v>0.68</v>
      </c>
      <c r="U8" s="189">
        <f t="shared" ref="U8:U20" si="16">T8*R8</f>
        <v>0.68</v>
      </c>
      <c r="V8" s="198" t="str">
        <f t="shared" ref="V8:V19" si="17">W8/F8</f>
        <v>#REF!</v>
      </c>
      <c r="W8" s="202" t="str">
        <f>'CD R Documentación'!O9+'CD R Documentación'!T9+'CD R Documentación'!Y9+'CD R Documentación'!AD9+'CD R Documentación'!AI9+'CD R Documentación'!AN9+#REF!</f>
        <v>#REF!</v>
      </c>
      <c r="X8" s="85" t="str">
        <f>'CD R Documentación'!R9+'CD R Documentación'!W9+'CD R Documentación'!AB9+'CD R Documentación'!AG9+'CD R Documentación'!AL9+'CD R Documentación'!AQ9+#REF!</f>
        <v>#REF!</v>
      </c>
      <c r="Y8" s="203">
        <f t="shared" ref="Y8:Y19" si="18">Z8/F8</f>
        <v>3</v>
      </c>
      <c r="Z8" s="204">
        <f>'CD R Investigación'!P9+'CD R Investigación'!U9+'CD R Investigación'!Z9+'CD R Investigación'!AE9+'CD R Investigación'!AJ9+'CD R Investigación'!AO9+'CD R Investigación'!AT9+'CD R Investigación'!AY9</f>
        <v>3</v>
      </c>
      <c r="AA8" s="204">
        <f>'CD R Investigación'!S9+'CD R Investigación'!X9+'CD R Investigación'!AC9+'CD R Investigación'!AH9+'CD R Investigación'!AM9+'CD R Investigación'!AR9+'CD R Investigación'!AW9+'CD R Investigación'!BB9</f>
        <v>1.32</v>
      </c>
      <c r="AB8" s="205" t="str">
        <f t="shared" ref="AB8:AB19" si="19">AC8/F8</f>
        <v>#REF!</v>
      </c>
      <c r="AC8" s="207" t="str">
        <f>'CD R Desarrollo'!P9+'CD R Desarrollo'!U9+'CD R Desarrollo'!Z9+'CD R Desarrollo'!AE9+'CD R Desarrollo'!AJ9+'CD R Desarrollo'!AO9+#REF!+#REF!</f>
        <v>#REF!</v>
      </c>
      <c r="AD8" s="207" t="str">
        <f>'CD R Desarrollo'!S9+'CD R Desarrollo'!X9+'CD R Desarrollo'!AC9+'CD R Desarrollo'!AH9+'CD R Desarrollo'!AM9+'CD R Desarrollo'!AR9+#REF!+#REF!</f>
        <v>#REF!</v>
      </c>
      <c r="AE8" s="211">
        <v>1.0</v>
      </c>
      <c r="AF8" s="210">
        <f>'PL Cronograma detallado'!L42*AE8</f>
        <v>9.67</v>
      </c>
      <c r="AG8" s="211" t="str">
        <f>AF8/'PL Cronograma detallado'!M$257</f>
        <v>#DIV/0!</v>
      </c>
      <c r="AH8" s="211" t="str">
        <f>AG8+AH6</f>
        <v>#DIV/0!</v>
      </c>
    </row>
    <row r="9">
      <c r="A9" s="157" t="s">
        <v>75</v>
      </c>
      <c r="B9" s="159" t="s">
        <v>84</v>
      </c>
      <c r="C9" s="160">
        <v>44657.0</v>
      </c>
      <c r="D9" s="160">
        <v>44658.0</v>
      </c>
      <c r="E9" s="162" t="str">
        <f t="shared" si="3"/>
        <v>#NAME?</v>
      </c>
      <c r="F9" s="80">
        <v>2.0</v>
      </c>
      <c r="G9" s="214">
        <f t="shared" si="9"/>
        <v>0.00227014756</v>
      </c>
      <c r="H9" s="39">
        <f t="shared" ref="H9:H19" si="20">SUM(H8,G9)</f>
        <v>0.004540295119</v>
      </c>
      <c r="I9" s="169" t="str">
        <f t="shared" si="10"/>
        <v>#REF!</v>
      </c>
      <c r="J9" s="171" t="str">
        <f t="shared" ref="J9:J19" si="21">SUM(I9,J8)</f>
        <v>#REF!</v>
      </c>
      <c r="K9" s="47" t="str">
        <f t="shared" si="11"/>
        <v>#REF!</v>
      </c>
      <c r="L9" s="179" t="str">
        <f t="shared" si="12"/>
        <v>#REF!</v>
      </c>
      <c r="M9" s="179" t="str">
        <f t="shared" ref="M9:M19" si="22">SUM(L9,M8)</f>
        <v>#REF!</v>
      </c>
      <c r="N9" s="47">
        <f t="shared" si="13"/>
        <v>0.00227014756</v>
      </c>
      <c r="O9" s="47">
        <f t="shared" ref="O9:O19" si="23">SUM(N9,O8)</f>
        <v>0.003405221339</v>
      </c>
      <c r="P9" s="47" t="str">
        <f t="shared" si="6"/>
        <v>#REF!</v>
      </c>
      <c r="Q9" s="188">
        <f t="shared" si="14"/>
        <v>0.5</v>
      </c>
      <c r="R9" s="189">
        <v>1.0</v>
      </c>
      <c r="S9" s="190" t="s">
        <v>64</v>
      </c>
      <c r="T9" s="190">
        <f t="shared" si="15"/>
        <v>0.68</v>
      </c>
      <c r="U9" s="189">
        <f t="shared" si="16"/>
        <v>0.68</v>
      </c>
      <c r="V9" s="198" t="str">
        <f t="shared" si="17"/>
        <v>#REF!</v>
      </c>
      <c r="W9" s="202" t="str">
        <f>'CD R Documentación'!O10+'CD R Documentación'!T10+'CD R Documentación'!Y10+'CD R Documentación'!AD10+'CD R Documentación'!AI10+'CD R Documentación'!AN10+#REF!</f>
        <v>#REF!</v>
      </c>
      <c r="X9" s="85" t="str">
        <f>'CD R Documentación'!R10+'CD R Documentación'!W10+'CD R Documentación'!AB10+'CD R Documentación'!AG10+'CD R Documentación'!AL10+'CD R Documentación'!AQ10+#REF!</f>
        <v>#REF!</v>
      </c>
      <c r="Y9" s="203">
        <f t="shared" si="18"/>
        <v>0</v>
      </c>
      <c r="Z9" s="204">
        <f>'CD R Investigación'!P10+'CD R Investigación'!U10+'CD R Investigación'!Z10+'CD R Investigación'!AE10+'CD R Investigación'!AJ10+'CD R Investigación'!AO10+'CD R Investigación'!AT10+'CD R Investigación'!AY10</f>
        <v>0</v>
      </c>
      <c r="AA9" s="204">
        <f>'CD R Investigación'!S10+'CD R Investigación'!X10+'CD R Investigación'!AC10+'CD R Investigación'!AH10+'CD R Investigación'!AM10+'CD R Investigación'!AR10+'CD R Investigación'!AW10+'CD R Investigación'!BB10</f>
        <v>0</v>
      </c>
      <c r="AB9" s="205" t="str">
        <f t="shared" si="19"/>
        <v>#REF!</v>
      </c>
      <c r="AC9" s="207" t="str">
        <f>'CD R Desarrollo'!P10+'CD R Desarrollo'!U10+'CD R Desarrollo'!Z10+'CD R Desarrollo'!AE10+'CD R Desarrollo'!AJ10+'CD R Desarrollo'!AO10+#REF!+#REF!</f>
        <v>#REF!</v>
      </c>
      <c r="AD9" s="207" t="str">
        <f>'CD R Desarrollo'!S10+'CD R Desarrollo'!X10+'CD R Desarrollo'!AC10+'CD R Desarrollo'!AH10+'CD R Desarrollo'!AM10+'CD R Desarrollo'!AR10+#REF!+#REF!</f>
        <v>#REF!</v>
      </c>
      <c r="AE9" s="211">
        <v>1.0</v>
      </c>
      <c r="AF9" s="210">
        <f>'PL Cronograma detallado'!L58*AE9</f>
        <v>49.43</v>
      </c>
      <c r="AG9" s="211" t="str">
        <f>AF9/'PL Cronograma detallado'!M$257</f>
        <v>#DIV/0!</v>
      </c>
      <c r="AH9" s="211" t="str">
        <f t="shared" ref="AH9:AH19" si="24">AG9+AH8</f>
        <v>#DIV/0!</v>
      </c>
    </row>
    <row r="10">
      <c r="A10" s="157" t="s">
        <v>77</v>
      </c>
      <c r="B10" s="159" t="s">
        <v>86</v>
      </c>
      <c r="C10" s="160">
        <v>44657.0</v>
      </c>
      <c r="D10" s="160">
        <v>44658.0</v>
      </c>
      <c r="E10" s="162" t="str">
        <f t="shared" si="3"/>
        <v>#NAME?</v>
      </c>
      <c r="F10" s="80">
        <v>2.0</v>
      </c>
      <c r="G10" s="214">
        <f t="shared" si="9"/>
        <v>0.00227014756</v>
      </c>
      <c r="H10" s="39">
        <f t="shared" si="20"/>
        <v>0.006810442679</v>
      </c>
      <c r="I10" s="169" t="str">
        <f t="shared" si="10"/>
        <v>#REF!</v>
      </c>
      <c r="J10" s="171" t="str">
        <f t="shared" si="21"/>
        <v>#REF!</v>
      </c>
      <c r="K10" s="47" t="str">
        <f t="shared" si="11"/>
        <v>#REF!</v>
      </c>
      <c r="L10" s="179" t="str">
        <f t="shared" si="12"/>
        <v>#REF!</v>
      </c>
      <c r="M10" s="179" t="str">
        <f t="shared" si="22"/>
        <v>#REF!</v>
      </c>
      <c r="N10" s="47">
        <f t="shared" si="13"/>
        <v>0.00227014756</v>
      </c>
      <c r="O10" s="47">
        <f t="shared" si="23"/>
        <v>0.005675368899</v>
      </c>
      <c r="P10" s="47" t="str">
        <f t="shared" si="6"/>
        <v>#REF!</v>
      </c>
      <c r="Q10" s="188">
        <f t="shared" si="14"/>
        <v>0.5</v>
      </c>
      <c r="R10" s="189">
        <v>1.0</v>
      </c>
      <c r="S10" s="190" t="s">
        <v>64</v>
      </c>
      <c r="T10" s="190">
        <f t="shared" si="15"/>
        <v>0.68</v>
      </c>
      <c r="U10" s="189">
        <f t="shared" si="16"/>
        <v>0.68</v>
      </c>
      <c r="V10" s="198" t="str">
        <f t="shared" si="17"/>
        <v>#REF!</v>
      </c>
      <c r="W10" s="202" t="str">
        <f>'CD R Documentación'!O11+'CD R Documentación'!T11+'CD R Documentación'!Y11+'CD R Documentación'!AD11+'CD R Documentación'!AI11+'CD R Documentación'!AN11+#REF!</f>
        <v>#REF!</v>
      </c>
      <c r="X10" s="85" t="str">
        <f>'CD R Documentación'!R11+'CD R Documentación'!W11+'CD R Documentación'!AB11+'CD R Documentación'!AG11+'CD R Documentación'!AL11+'CD R Documentación'!AQ11+#REF!</f>
        <v>#REF!</v>
      </c>
      <c r="Y10" s="203">
        <f t="shared" si="18"/>
        <v>1.5</v>
      </c>
      <c r="Z10" s="204">
        <f>'CD R Investigación'!P11+'CD R Investigación'!U11+'CD R Investigación'!Z11+'CD R Investigación'!AE11+'CD R Investigación'!AJ11+'CD R Investigación'!AO11+'CD R Investigación'!AT11+'CD R Investigación'!AY11</f>
        <v>3</v>
      </c>
      <c r="AA10" s="204">
        <f>'CD R Investigación'!S11+'CD R Investigación'!X11+'CD R Investigación'!AC11+'CD R Investigación'!AH11+'CD R Investigación'!AM11+'CD R Investigación'!AR11+'CD R Investigación'!AW11+'CD R Investigación'!BB11</f>
        <v>1.32</v>
      </c>
      <c r="AB10" s="205" t="str">
        <f t="shared" si="19"/>
        <v>#REF!</v>
      </c>
      <c r="AC10" s="207" t="str">
        <f>'CD R Desarrollo'!P11+'CD R Desarrollo'!U11+'CD R Desarrollo'!Z11+'CD R Desarrollo'!AE11+'CD R Desarrollo'!AJ11+'CD R Desarrollo'!AO11+#REF!+#REF!</f>
        <v>#REF!</v>
      </c>
      <c r="AD10" s="207" t="str">
        <f>'CD R Desarrollo'!S11+'CD R Desarrollo'!X11+'CD R Desarrollo'!AC11+'CD R Desarrollo'!AH11+'CD R Desarrollo'!AM11+'CD R Desarrollo'!AR11+#REF!+#REF!</f>
        <v>#REF!</v>
      </c>
      <c r="AE10" s="211">
        <v>1.0</v>
      </c>
      <c r="AF10" s="210">
        <f>'PL Cronograma detallado'!L59*AE10</f>
        <v>34.27</v>
      </c>
      <c r="AG10" s="211" t="str">
        <f>AF10/'PL Cronograma detallado'!M$257</f>
        <v>#DIV/0!</v>
      </c>
      <c r="AH10" s="211" t="str">
        <f t="shared" si="24"/>
        <v>#DIV/0!</v>
      </c>
    </row>
    <row r="11">
      <c r="A11" s="157" t="s">
        <v>79</v>
      </c>
      <c r="B11" s="159" t="s">
        <v>76</v>
      </c>
      <c r="C11" s="160">
        <v>44657.0</v>
      </c>
      <c r="D11" s="160">
        <v>44660.0</v>
      </c>
      <c r="E11" s="162" t="str">
        <f t="shared" si="3"/>
        <v>#NAME?</v>
      </c>
      <c r="F11" s="80">
        <v>2.0</v>
      </c>
      <c r="G11" s="214">
        <f t="shared" si="9"/>
        <v>0.00227014756</v>
      </c>
      <c r="H11" s="39">
        <f t="shared" si="20"/>
        <v>0.009080590238</v>
      </c>
      <c r="I11" s="169" t="str">
        <f t="shared" si="10"/>
        <v>#REF!</v>
      </c>
      <c r="J11" s="171" t="str">
        <f t="shared" si="21"/>
        <v>#REF!</v>
      </c>
      <c r="K11" s="47" t="str">
        <f t="shared" si="11"/>
        <v>#REF!</v>
      </c>
      <c r="L11" s="179" t="str">
        <f t="shared" si="12"/>
        <v>#REF!</v>
      </c>
      <c r="M11" s="179" t="str">
        <f t="shared" si="22"/>
        <v>#REF!</v>
      </c>
      <c r="N11" s="47">
        <f t="shared" si="13"/>
        <v>0.00227014756</v>
      </c>
      <c r="O11" s="47">
        <f t="shared" si="23"/>
        <v>0.007945516459</v>
      </c>
      <c r="P11" s="47" t="str">
        <f t="shared" si="6"/>
        <v>#REF!</v>
      </c>
      <c r="Q11" s="188">
        <f t="shared" si="14"/>
        <v>0.5</v>
      </c>
      <c r="R11" s="189">
        <v>1.0</v>
      </c>
      <c r="S11" s="190" t="s">
        <v>64</v>
      </c>
      <c r="T11" s="190">
        <f t="shared" si="15"/>
        <v>0.68</v>
      </c>
      <c r="U11" s="189">
        <f t="shared" si="16"/>
        <v>0.68</v>
      </c>
      <c r="V11" s="198" t="str">
        <f t="shared" si="17"/>
        <v>#REF!</v>
      </c>
      <c r="W11" s="202" t="str">
        <f>'CD R Documentación'!O12+'CD R Documentación'!T12+'CD R Documentación'!Y12+'CD R Documentación'!AD12+'CD R Documentación'!AI12+'CD R Documentación'!AN12+#REF!</f>
        <v>#REF!</v>
      </c>
      <c r="X11" s="85" t="str">
        <f>'CD R Documentación'!R12+'CD R Documentación'!W12+'CD R Documentación'!AB12+'CD R Documentación'!AG12+'CD R Documentación'!AL12+'CD R Documentación'!AQ12+#REF!</f>
        <v>#REF!</v>
      </c>
      <c r="Y11" s="203">
        <f t="shared" si="18"/>
        <v>1</v>
      </c>
      <c r="Z11" s="204">
        <f>'CD R Investigación'!P12+'CD R Investigación'!U12+'CD R Investigación'!Z12+'CD R Investigación'!AE12+'CD R Investigación'!AJ12+'CD R Investigación'!AO12+'CD R Investigación'!AT12+'CD R Investigación'!AY12</f>
        <v>2</v>
      </c>
      <c r="AA11" s="204">
        <f>'CD R Investigación'!S12+'CD R Investigación'!X12+'CD R Investigación'!AC12+'CD R Investigación'!AH12+'CD R Investigación'!AM12+'CD R Investigación'!AR12+'CD R Investigación'!AW12+'CD R Investigación'!BB12</f>
        <v>0.88</v>
      </c>
      <c r="AB11" s="205" t="str">
        <f t="shared" si="19"/>
        <v>#REF!</v>
      </c>
      <c r="AC11" s="207" t="str">
        <f>'CD R Desarrollo'!P12+'CD R Desarrollo'!U12+'CD R Desarrollo'!Z12+'CD R Desarrollo'!AE12+'CD R Desarrollo'!AJ12+'CD R Desarrollo'!AO12+#REF!+#REF!</f>
        <v>#REF!</v>
      </c>
      <c r="AD11" s="207" t="str">
        <f>'CD R Desarrollo'!S12+'CD R Desarrollo'!X12+'CD R Desarrollo'!AC12+'CD R Desarrollo'!AH12+'CD R Desarrollo'!AM12+'CD R Desarrollo'!AR12+#REF!+#REF!</f>
        <v>#REF!</v>
      </c>
      <c r="AE11" s="211">
        <v>1.0</v>
      </c>
      <c r="AF11" s="210">
        <f>'PL Cronograma detallado'!L60*AE11</f>
        <v>13.81</v>
      </c>
      <c r="AG11" s="211" t="str">
        <f>AF11/'PL Cronograma detallado'!M$257</f>
        <v>#DIV/0!</v>
      </c>
      <c r="AH11" s="211" t="str">
        <f t="shared" si="24"/>
        <v>#DIV/0!</v>
      </c>
    </row>
    <row r="12">
      <c r="A12" s="157" t="s">
        <v>81</v>
      </c>
      <c r="B12" s="159" t="s">
        <v>78</v>
      </c>
      <c r="C12" s="160">
        <v>44657.0</v>
      </c>
      <c r="D12" s="160">
        <v>44657.0</v>
      </c>
      <c r="E12" s="162" t="str">
        <f t="shared" si="3"/>
        <v>#NAME?</v>
      </c>
      <c r="F12" s="80">
        <v>1.0</v>
      </c>
      <c r="G12" s="214">
        <f t="shared" si="9"/>
        <v>0.00113507378</v>
      </c>
      <c r="H12" s="39">
        <f t="shared" si="20"/>
        <v>0.01021566402</v>
      </c>
      <c r="I12" s="169" t="str">
        <f t="shared" si="10"/>
        <v>#REF!</v>
      </c>
      <c r="J12" s="171" t="str">
        <f t="shared" si="21"/>
        <v>#REF!</v>
      </c>
      <c r="K12" s="47" t="str">
        <f t="shared" si="11"/>
        <v>#REF!</v>
      </c>
      <c r="L12" s="179" t="str">
        <f t="shared" si="12"/>
        <v>#REF!</v>
      </c>
      <c r="M12" s="179" t="str">
        <f t="shared" si="22"/>
        <v>#REF!</v>
      </c>
      <c r="N12" s="47">
        <f t="shared" si="13"/>
        <v>0.00113507378</v>
      </c>
      <c r="O12" s="47">
        <f t="shared" si="23"/>
        <v>0.009080590238</v>
      </c>
      <c r="P12" s="47" t="str">
        <f t="shared" si="6"/>
        <v>#REF!</v>
      </c>
      <c r="Q12" s="188">
        <f t="shared" si="14"/>
        <v>1</v>
      </c>
      <c r="R12" s="189">
        <v>1.0</v>
      </c>
      <c r="S12" s="190" t="s">
        <v>64</v>
      </c>
      <c r="T12" s="190">
        <f t="shared" si="15"/>
        <v>0.68</v>
      </c>
      <c r="U12" s="189">
        <f t="shared" si="16"/>
        <v>0.68</v>
      </c>
      <c r="V12" s="198" t="str">
        <f t="shared" si="17"/>
        <v>#REF!</v>
      </c>
      <c r="W12" s="202" t="str">
        <f>'CD R Documentación'!O13+'CD R Documentación'!T13+'CD R Documentación'!Y13+'CD R Documentación'!AD13+'CD R Documentación'!AI13+'CD R Documentación'!AN13+#REF!</f>
        <v>#REF!</v>
      </c>
      <c r="X12" s="85" t="str">
        <f>'CD R Documentación'!R13+'CD R Documentación'!W13+'CD R Documentación'!AB13+'CD R Documentación'!AG13+'CD R Documentación'!AL13+'CD R Documentación'!AQ13+#REF!</f>
        <v>#REF!</v>
      </c>
      <c r="Y12" s="203">
        <f t="shared" si="18"/>
        <v>1</v>
      </c>
      <c r="Z12" s="204">
        <f>'CD R Investigación'!P13+'CD R Investigación'!U13+'CD R Investigación'!Z13+'CD R Investigación'!AE13+'CD R Investigación'!AJ13+'CD R Investigación'!AO13+'CD R Investigación'!AT13+'CD R Investigación'!AY13</f>
        <v>1</v>
      </c>
      <c r="AA12" s="204">
        <f>'CD R Investigación'!S13+'CD R Investigación'!X13+'CD R Investigación'!AC13+'CD R Investigación'!AH13+'CD R Investigación'!AM13+'CD R Investigación'!AR13+'CD R Investigación'!AW13+'CD R Investigación'!BB13</f>
        <v>0.44</v>
      </c>
      <c r="AB12" s="205" t="str">
        <f t="shared" si="19"/>
        <v>#REF!</v>
      </c>
      <c r="AC12" s="207" t="str">
        <f>'CD R Desarrollo'!P13+'CD R Desarrollo'!U13+'CD R Desarrollo'!Z13+'CD R Desarrollo'!AE13+'CD R Desarrollo'!AJ13+'CD R Desarrollo'!AO13+#REF!+#REF!</f>
        <v>#REF!</v>
      </c>
      <c r="AD12" s="207" t="str">
        <f>'CD R Desarrollo'!S13+'CD R Desarrollo'!X13+'CD R Desarrollo'!AC13+'CD R Desarrollo'!AH13+'CD R Desarrollo'!AM13+'CD R Desarrollo'!AR13+#REF!+#REF!</f>
        <v>#REF!</v>
      </c>
      <c r="AE12" s="211">
        <v>1.0</v>
      </c>
      <c r="AF12" s="210">
        <f>'PL Cronograma detallado'!L62*AE12</f>
        <v>19.67</v>
      </c>
      <c r="AG12" s="211" t="str">
        <f>AF12/'PL Cronograma detallado'!M$257</f>
        <v>#DIV/0!</v>
      </c>
      <c r="AH12" s="211" t="str">
        <f t="shared" si="24"/>
        <v>#DIV/0!</v>
      </c>
    </row>
    <row r="13">
      <c r="A13" s="157" t="s">
        <v>83</v>
      </c>
      <c r="B13" s="159" t="s">
        <v>88</v>
      </c>
      <c r="C13" s="160">
        <v>44657.0</v>
      </c>
      <c r="D13" s="160">
        <v>44660.0</v>
      </c>
      <c r="E13" s="162" t="str">
        <f t="shared" si="3"/>
        <v>#NAME?</v>
      </c>
      <c r="F13" s="80">
        <v>5.0</v>
      </c>
      <c r="G13" s="214">
        <f t="shared" si="9"/>
        <v>0.005675368899</v>
      </c>
      <c r="H13" s="39">
        <f t="shared" si="20"/>
        <v>0.01589103292</v>
      </c>
      <c r="I13" s="169" t="str">
        <f t="shared" si="10"/>
        <v>#REF!</v>
      </c>
      <c r="J13" s="171" t="str">
        <f t="shared" si="21"/>
        <v>#REF!</v>
      </c>
      <c r="K13" s="47" t="str">
        <f t="shared" si="11"/>
        <v>#REF!</v>
      </c>
      <c r="L13" s="179" t="str">
        <f t="shared" si="12"/>
        <v>#REF!</v>
      </c>
      <c r="M13" s="179" t="str">
        <f t="shared" si="22"/>
        <v>#REF!</v>
      </c>
      <c r="N13" s="47">
        <f t="shared" si="13"/>
        <v>0.005675368899</v>
      </c>
      <c r="O13" s="47">
        <f t="shared" si="23"/>
        <v>0.01475595914</v>
      </c>
      <c r="P13" s="47" t="str">
        <f t="shared" si="6"/>
        <v>#REF!</v>
      </c>
      <c r="Q13" s="188">
        <f t="shared" si="14"/>
        <v>0.2</v>
      </c>
      <c r="R13" s="189">
        <v>1.0</v>
      </c>
      <c r="S13" s="190" t="s">
        <v>64</v>
      </c>
      <c r="T13" s="190">
        <f t="shared" si="15"/>
        <v>0.68</v>
      </c>
      <c r="U13" s="189">
        <f t="shared" si="16"/>
        <v>0.68</v>
      </c>
      <c r="V13" s="198" t="str">
        <f t="shared" si="17"/>
        <v>#REF!</v>
      </c>
      <c r="W13" s="202" t="str">
        <f>'CD R Documentación'!O14+'CD R Documentación'!T14+'CD R Documentación'!Y14+'CD R Documentación'!AD14+'CD R Documentación'!AI14+'CD R Documentación'!AN14+#REF!</f>
        <v>#REF!</v>
      </c>
      <c r="X13" s="85" t="str">
        <f>'CD R Documentación'!R14+'CD R Documentación'!W14+'CD R Documentación'!AB14+'CD R Documentación'!AG14+'CD R Documentación'!AL14+'CD R Documentación'!AQ14+#REF!</f>
        <v>#REF!</v>
      </c>
      <c r="Y13" s="203">
        <f t="shared" si="18"/>
        <v>0.8</v>
      </c>
      <c r="Z13" s="204">
        <f>'CD R Investigación'!P14+'CD R Investigación'!U14+'CD R Investigación'!Z14+'CD R Investigación'!AE14+'CD R Investigación'!AJ14+'CD R Investigación'!AO14+'CD R Investigación'!AT14+'CD R Investigación'!AY14</f>
        <v>4</v>
      </c>
      <c r="AA13" s="204">
        <f>'CD R Investigación'!S14+'CD R Investigación'!X14+'CD R Investigación'!AC14+'CD R Investigación'!AH14+'CD R Investigación'!AM14+'CD R Investigación'!AR14+'CD R Investigación'!AW14+'CD R Investigación'!BB14</f>
        <v>1.76</v>
      </c>
      <c r="AB13" s="205" t="str">
        <f t="shared" si="19"/>
        <v>#REF!</v>
      </c>
      <c r="AC13" s="207" t="str">
        <f>'CD R Desarrollo'!P14+'CD R Desarrollo'!U14+'CD R Desarrollo'!Z14+'CD R Desarrollo'!AE14+'CD R Desarrollo'!AJ14+'CD R Desarrollo'!AO14+#REF!+#REF!</f>
        <v>#REF!</v>
      </c>
      <c r="AD13" s="207" t="str">
        <f>'CD R Desarrollo'!S14+'CD R Desarrollo'!X14+'CD R Desarrollo'!AC14+'CD R Desarrollo'!AH14+'CD R Desarrollo'!AM14+'CD R Desarrollo'!AR14+#REF!+#REF!</f>
        <v>#REF!</v>
      </c>
      <c r="AE13" s="211">
        <v>1.0</v>
      </c>
      <c r="AF13" s="210">
        <f>'PL Cronograma detallado'!L63*AE13</f>
        <v>7.65</v>
      </c>
      <c r="AG13" s="211" t="str">
        <f>AF13/'PL Cronograma detallado'!M$257</f>
        <v>#DIV/0!</v>
      </c>
      <c r="AH13" s="211" t="str">
        <f t="shared" si="24"/>
        <v>#DIV/0!</v>
      </c>
    </row>
    <row r="14">
      <c r="A14" s="157" t="s">
        <v>85</v>
      </c>
      <c r="B14" s="159" t="s">
        <v>92</v>
      </c>
      <c r="C14" s="160">
        <v>44658.0</v>
      </c>
      <c r="D14" s="160">
        <v>44659.0</v>
      </c>
      <c r="E14" s="162" t="str">
        <f t="shared" si="3"/>
        <v>#NAME?</v>
      </c>
      <c r="F14" s="80">
        <v>4.0</v>
      </c>
      <c r="G14" s="214">
        <f t="shared" si="9"/>
        <v>0.004540295119</v>
      </c>
      <c r="H14" s="39">
        <f t="shared" si="20"/>
        <v>0.02043132804</v>
      </c>
      <c r="I14" s="169" t="str">
        <f t="shared" si="10"/>
        <v>#REF!</v>
      </c>
      <c r="J14" s="171" t="str">
        <f t="shared" si="21"/>
        <v>#REF!</v>
      </c>
      <c r="K14" s="47" t="str">
        <f t="shared" si="11"/>
        <v>#REF!</v>
      </c>
      <c r="L14" s="179" t="str">
        <f t="shared" si="12"/>
        <v>#REF!</v>
      </c>
      <c r="M14" s="179" t="str">
        <f t="shared" si="22"/>
        <v>#REF!</v>
      </c>
      <c r="N14" s="47">
        <f t="shared" si="13"/>
        <v>0.004540295119</v>
      </c>
      <c r="O14" s="47">
        <f t="shared" si="23"/>
        <v>0.01929625426</v>
      </c>
      <c r="P14" s="47" t="str">
        <f t="shared" si="6"/>
        <v>#REF!</v>
      </c>
      <c r="Q14" s="188">
        <f t="shared" si="14"/>
        <v>0.25</v>
      </c>
      <c r="R14" s="189">
        <v>1.0</v>
      </c>
      <c r="S14" s="190" t="s">
        <v>64</v>
      </c>
      <c r="T14" s="190">
        <f t="shared" si="15"/>
        <v>0.68</v>
      </c>
      <c r="U14" s="189">
        <f t="shared" si="16"/>
        <v>0.68</v>
      </c>
      <c r="V14" s="198" t="str">
        <f t="shared" si="17"/>
        <v>#REF!</v>
      </c>
      <c r="W14" s="202" t="str">
        <f>'CD R Documentación'!O15+'CD R Documentación'!T15+'CD R Documentación'!Y15+'CD R Documentación'!AD15+'CD R Documentación'!AI15+'CD R Documentación'!AN15+#REF!</f>
        <v>#REF!</v>
      </c>
      <c r="X14" s="85" t="str">
        <f>'CD R Documentación'!R15+'CD R Documentación'!W15+'CD R Documentación'!AB15+'CD R Documentación'!AG15+'CD R Documentación'!AL15+'CD R Documentación'!AQ15+#REF!</f>
        <v>#REF!</v>
      </c>
      <c r="Y14" s="203">
        <f t="shared" si="18"/>
        <v>0.75</v>
      </c>
      <c r="Z14" s="204">
        <f>'CD R Investigación'!P15+'CD R Investigación'!U15+'CD R Investigación'!Z15+'CD R Investigación'!AE15+'CD R Investigación'!AJ15+'CD R Investigación'!AO15+'CD R Investigación'!AT15+'CD R Investigación'!AY15</f>
        <v>3</v>
      </c>
      <c r="AA14" s="204">
        <f>'CD R Investigación'!S15+'CD R Investigación'!X15+'CD R Investigación'!AC15+'CD R Investigación'!AH15+'CD R Investigación'!AM15+'CD R Investigación'!AR15+'CD R Investigación'!AW15+'CD R Investigación'!BB15</f>
        <v>1.32</v>
      </c>
      <c r="AB14" s="205" t="str">
        <f t="shared" si="19"/>
        <v>#REF!</v>
      </c>
      <c r="AC14" s="207" t="str">
        <f>'CD R Desarrollo'!P15+'CD R Desarrollo'!U15+'CD R Desarrollo'!Z15+'CD R Desarrollo'!AE15+'CD R Desarrollo'!AJ15+'CD R Desarrollo'!AO15+#REF!+#REF!</f>
        <v>#REF!</v>
      </c>
      <c r="AD14" s="207" t="str">
        <f>'CD R Desarrollo'!S15+'CD R Desarrollo'!X15+'CD R Desarrollo'!AC15+'CD R Desarrollo'!AH15+'CD R Desarrollo'!AM15+'CD R Desarrollo'!AR15+#REF!+#REF!</f>
        <v>#REF!</v>
      </c>
      <c r="AE14" s="211">
        <v>1.0</v>
      </c>
      <c r="AF14" s="210">
        <f>'PL Cronograma detallado'!L64*AE14</f>
        <v>7.65</v>
      </c>
      <c r="AG14" s="211" t="str">
        <f>AF14/'PL Cronograma detallado'!M$257</f>
        <v>#DIV/0!</v>
      </c>
      <c r="AH14" s="211" t="str">
        <f t="shared" si="24"/>
        <v>#DIV/0!</v>
      </c>
    </row>
    <row r="15">
      <c r="A15" s="157" t="s">
        <v>87</v>
      </c>
      <c r="B15" s="159" t="s">
        <v>80</v>
      </c>
      <c r="C15" s="160">
        <v>44658.0</v>
      </c>
      <c r="D15" s="160">
        <v>44659.0</v>
      </c>
      <c r="E15" s="162">
        <v>1.0</v>
      </c>
      <c r="F15" s="80">
        <v>1.0</v>
      </c>
      <c r="G15" s="214">
        <f t="shared" si="9"/>
        <v>0.00113507378</v>
      </c>
      <c r="H15" s="39">
        <f t="shared" si="20"/>
        <v>0.02156640182</v>
      </c>
      <c r="I15" s="169" t="str">
        <f t="shared" si="10"/>
        <v>#REF!</v>
      </c>
      <c r="J15" s="171" t="str">
        <f t="shared" si="21"/>
        <v>#REF!</v>
      </c>
      <c r="K15" s="47" t="str">
        <f t="shared" si="11"/>
        <v>#REF!</v>
      </c>
      <c r="L15" s="179" t="str">
        <f t="shared" si="12"/>
        <v>#REF!</v>
      </c>
      <c r="M15" s="179" t="str">
        <f t="shared" si="22"/>
        <v>#REF!</v>
      </c>
      <c r="N15" s="47">
        <f t="shared" si="13"/>
        <v>0.00113507378</v>
      </c>
      <c r="O15" s="47">
        <f t="shared" si="23"/>
        <v>0.02043132804</v>
      </c>
      <c r="P15" s="47" t="str">
        <f t="shared" si="6"/>
        <v>#REF!</v>
      </c>
      <c r="Q15" s="188">
        <f t="shared" si="14"/>
        <v>1</v>
      </c>
      <c r="R15" s="189">
        <v>1.0</v>
      </c>
      <c r="S15" s="190" t="s">
        <v>64</v>
      </c>
      <c r="T15" s="190">
        <f t="shared" si="15"/>
        <v>0.68</v>
      </c>
      <c r="U15" s="189">
        <f t="shared" si="16"/>
        <v>0.68</v>
      </c>
      <c r="V15" s="198" t="str">
        <f t="shared" si="17"/>
        <v>#REF!</v>
      </c>
      <c r="W15" s="202" t="str">
        <f>'CD R Documentación'!O16+'CD R Documentación'!T16+'CD R Documentación'!Y16+'CD R Documentación'!AD16+'CD R Documentación'!AI16+'CD R Documentación'!AN16+#REF!</f>
        <v>#REF!</v>
      </c>
      <c r="X15" s="85" t="str">
        <f>'CD R Documentación'!R16+'CD R Documentación'!W16+'CD R Documentación'!AB16+'CD R Documentación'!AG16+'CD R Documentación'!AL16+'CD R Documentación'!AQ16+#REF!</f>
        <v>#REF!</v>
      </c>
      <c r="Y15" s="203">
        <f t="shared" si="18"/>
        <v>2</v>
      </c>
      <c r="Z15" s="204">
        <f>'CD R Investigación'!P16+'CD R Investigación'!U16+'CD R Investigación'!Z16+'CD R Investigación'!AE16+'CD R Investigación'!AJ16+'CD R Investigación'!AO16+'CD R Investigación'!AT16+'CD R Investigación'!AY16</f>
        <v>2</v>
      </c>
      <c r="AA15" s="204">
        <f>'CD R Investigación'!S16+'CD R Investigación'!X16+'CD R Investigación'!AC16+'CD R Investigación'!AH16+'CD R Investigación'!AM16+'CD R Investigación'!AR16+'CD R Investigación'!AW16+'CD R Investigación'!BB16</f>
        <v>0.88</v>
      </c>
      <c r="AB15" s="205" t="str">
        <f t="shared" si="19"/>
        <v>#REF!</v>
      </c>
      <c r="AC15" s="207" t="str">
        <f>'CD R Desarrollo'!P16+'CD R Desarrollo'!U16+'CD R Desarrollo'!Z16+'CD R Desarrollo'!AE16+'CD R Desarrollo'!AJ16+'CD R Desarrollo'!AO16+#REF!+#REF!</f>
        <v>#REF!</v>
      </c>
      <c r="AD15" s="207" t="str">
        <f>'CD R Desarrollo'!S16+'CD R Desarrollo'!X16+'CD R Desarrollo'!AC16+'CD R Desarrollo'!AH16+'CD R Desarrollo'!AM16+'CD R Desarrollo'!AR16+#REF!+#REF!</f>
        <v>#REF!</v>
      </c>
      <c r="AE15" s="211">
        <v>1.0</v>
      </c>
      <c r="AF15" s="210">
        <f>'PL Cronograma detallado'!L65*AE15</f>
        <v>4.37</v>
      </c>
      <c r="AG15" s="211" t="str">
        <f>AF15/'PL Cronograma detallado'!M$257</f>
        <v>#DIV/0!</v>
      </c>
      <c r="AH15" s="211" t="str">
        <f t="shared" si="24"/>
        <v>#DIV/0!</v>
      </c>
    </row>
    <row r="16">
      <c r="A16" s="157" t="s">
        <v>89</v>
      </c>
      <c r="B16" s="159" t="s">
        <v>82</v>
      </c>
      <c r="C16" s="160">
        <v>44659.0</v>
      </c>
      <c r="D16" s="160">
        <v>44659.0</v>
      </c>
      <c r="E16" s="162" t="str">
        <f t="shared" ref="E16:E104" si="25">_xludf.DAYs(D16,C16)+1</f>
        <v>#NAME?</v>
      </c>
      <c r="F16" s="80">
        <v>1.0</v>
      </c>
      <c r="G16" s="214">
        <f t="shared" si="9"/>
        <v>0.00113507378</v>
      </c>
      <c r="H16" s="39">
        <f t="shared" si="20"/>
        <v>0.0227014756</v>
      </c>
      <c r="I16" s="169" t="str">
        <f t="shared" si="10"/>
        <v>#REF!</v>
      </c>
      <c r="J16" s="171" t="str">
        <f t="shared" si="21"/>
        <v>#REF!</v>
      </c>
      <c r="K16" s="47" t="str">
        <f t="shared" si="11"/>
        <v>#REF!</v>
      </c>
      <c r="L16" s="179" t="str">
        <f t="shared" si="12"/>
        <v>#REF!</v>
      </c>
      <c r="M16" s="179" t="str">
        <f t="shared" si="22"/>
        <v>#REF!</v>
      </c>
      <c r="N16" s="47">
        <f t="shared" si="13"/>
        <v>0.00113507378</v>
      </c>
      <c r="O16" s="47">
        <f t="shared" si="23"/>
        <v>0.02156640182</v>
      </c>
      <c r="P16" s="47" t="str">
        <f t="shared" si="6"/>
        <v>#REF!</v>
      </c>
      <c r="Q16" s="188">
        <f t="shared" si="14"/>
        <v>1</v>
      </c>
      <c r="R16" s="189">
        <v>1.0</v>
      </c>
      <c r="S16" s="190" t="s">
        <v>64</v>
      </c>
      <c r="T16" s="190">
        <f t="shared" si="15"/>
        <v>0.68</v>
      </c>
      <c r="U16" s="189">
        <f t="shared" si="16"/>
        <v>0.68</v>
      </c>
      <c r="V16" s="198" t="str">
        <f t="shared" si="17"/>
        <v>#REF!</v>
      </c>
      <c r="W16" s="202" t="str">
        <f>'CD R Documentación'!O17+'CD R Documentación'!T17+'CD R Documentación'!Y17+'CD R Documentación'!AD17+'CD R Documentación'!AI17+'CD R Documentación'!AN17+#REF!</f>
        <v>#REF!</v>
      </c>
      <c r="X16" s="85" t="str">
        <f>'CD R Documentación'!R17+'CD R Documentación'!W17+'CD R Documentación'!AB17+'CD R Documentación'!AG17+'CD R Documentación'!AL17+'CD R Documentación'!AQ17+#REF!</f>
        <v>#REF!</v>
      </c>
      <c r="Y16" s="203">
        <f t="shared" si="18"/>
        <v>2</v>
      </c>
      <c r="Z16" s="204">
        <f>'CD R Investigación'!P17+'CD R Investigación'!U17+'CD R Investigación'!Z17+'CD R Investigación'!AE17+'CD R Investigación'!AJ17+'CD R Investigación'!AO17+'CD R Investigación'!AT17+'CD R Investigación'!AY17</f>
        <v>2</v>
      </c>
      <c r="AA16" s="204">
        <f>'CD R Investigación'!S17+'CD R Investigación'!X17+'CD R Investigación'!AC17+'CD R Investigación'!AH17+'CD R Investigación'!AM17+'CD R Investigación'!AR17+'CD R Investigación'!AW17+'CD R Investigación'!BB17</f>
        <v>0.88</v>
      </c>
      <c r="AB16" s="205" t="str">
        <f t="shared" si="19"/>
        <v>#REF!</v>
      </c>
      <c r="AC16" s="207" t="str">
        <f>'CD R Desarrollo'!P17+'CD R Desarrollo'!U17+'CD R Desarrollo'!Z17+'CD R Desarrollo'!AE17+'CD R Desarrollo'!AJ17+'CD R Desarrollo'!AO17+#REF!+#REF!</f>
        <v>#REF!</v>
      </c>
      <c r="AD16" s="207" t="str">
        <f>'CD R Desarrollo'!S17+'CD R Desarrollo'!X17+'CD R Desarrollo'!AC17+'CD R Desarrollo'!AH17+'CD R Desarrollo'!AM17+'CD R Desarrollo'!AR17+#REF!+#REF!</f>
        <v>#REF!</v>
      </c>
      <c r="AE16" s="211">
        <v>1.0</v>
      </c>
      <c r="AF16" s="210">
        <f>'PL Cronograma detallado'!L29*AE16</f>
        <v>0</v>
      </c>
      <c r="AG16" s="211" t="str">
        <f>AF16/'PL Cronograma detallado'!M$257</f>
        <v>#DIV/0!</v>
      </c>
      <c r="AH16" s="211" t="str">
        <f t="shared" si="24"/>
        <v>#DIV/0!</v>
      </c>
    </row>
    <row r="17">
      <c r="A17" s="250" t="s">
        <v>97</v>
      </c>
      <c r="B17" s="251" t="s">
        <v>98</v>
      </c>
      <c r="C17" s="252">
        <v>44656.0</v>
      </c>
      <c r="D17" s="252">
        <v>44661.0</v>
      </c>
      <c r="E17" s="125" t="str">
        <f t="shared" si="25"/>
        <v>#NAME?</v>
      </c>
      <c r="F17" s="253">
        <v>4.0</v>
      </c>
      <c r="G17" s="254">
        <f t="shared" si="9"/>
        <v>0.004540295119</v>
      </c>
      <c r="H17" s="138">
        <f t="shared" si="20"/>
        <v>0.02724177072</v>
      </c>
      <c r="I17" s="255" t="str">
        <f t="shared" si="10"/>
        <v>#REF!</v>
      </c>
      <c r="J17" s="256" t="str">
        <f t="shared" si="21"/>
        <v>#REF!</v>
      </c>
      <c r="K17" s="138" t="str">
        <f t="shared" si="11"/>
        <v>#REF!</v>
      </c>
      <c r="L17" s="257" t="str">
        <f t="shared" si="12"/>
        <v>#REF!</v>
      </c>
      <c r="M17" s="257" t="str">
        <f t="shared" si="22"/>
        <v>#REF!</v>
      </c>
      <c r="N17" s="138">
        <f t="shared" si="13"/>
        <v>0.004540295119</v>
      </c>
      <c r="O17" s="138">
        <f t="shared" si="23"/>
        <v>0.02610669694</v>
      </c>
      <c r="P17" s="138" t="str">
        <f t="shared" si="6"/>
        <v>#REF!</v>
      </c>
      <c r="Q17" s="258">
        <f t="shared" si="14"/>
        <v>0.375</v>
      </c>
      <c r="R17" s="256">
        <v>1.5</v>
      </c>
      <c r="S17" s="253" t="s">
        <v>64</v>
      </c>
      <c r="T17" s="253">
        <f t="shared" si="15"/>
        <v>0.68</v>
      </c>
      <c r="U17" s="256">
        <f t="shared" si="16"/>
        <v>1.02</v>
      </c>
      <c r="V17" s="258" t="str">
        <f t="shared" si="17"/>
        <v>#REF!</v>
      </c>
      <c r="W17" s="255" t="str">
        <f>'CD R Documentación'!O18+'CD R Documentación'!T18+'CD R Documentación'!Y18+'CD R Documentación'!AD18+'CD R Documentación'!AI18+'CD R Documentación'!AN18+#REF!</f>
        <v>#REF!</v>
      </c>
      <c r="X17" s="253" t="str">
        <f>'CD R Documentación'!R18+'CD R Documentación'!W18+'CD R Documentación'!AB18+'CD R Documentación'!AG18+'CD R Documentación'!AL18+'CD R Documentación'!AQ18+#REF!</f>
        <v>#REF!</v>
      </c>
      <c r="Y17" s="258">
        <f t="shared" si="18"/>
        <v>1</v>
      </c>
      <c r="Z17" s="256">
        <f>'CD R Investigación'!P18+'CD R Investigación'!U18+'CD R Investigación'!Z18+'CD R Investigación'!AE18+'CD R Investigación'!AJ18+'CD R Investigación'!AO18+'CD R Investigación'!AT18+'CD R Investigación'!AY18</f>
        <v>4</v>
      </c>
      <c r="AA17" s="256">
        <f>'CD R Investigación'!S18+'CD R Investigación'!X18+'CD R Investigación'!AC18+'CD R Investigación'!AH18+'CD R Investigación'!AM18+'CD R Investigación'!AR18+'CD R Investigación'!AW18+'CD R Investigación'!BB18</f>
        <v>1.76</v>
      </c>
      <c r="AB17" s="258" t="str">
        <f t="shared" si="19"/>
        <v>#REF!</v>
      </c>
      <c r="AC17" s="256" t="str">
        <f>'CD R Desarrollo'!P18+'CD R Desarrollo'!U18+'CD R Desarrollo'!Z18+'CD R Desarrollo'!AE18+'CD R Desarrollo'!AJ18+'CD R Desarrollo'!AO18+#REF!+#REF!</f>
        <v>#REF!</v>
      </c>
      <c r="AD17" s="256" t="str">
        <f>'CD R Desarrollo'!S18+'CD R Desarrollo'!X18+'CD R Desarrollo'!AC18+'CD R Desarrollo'!AH18+'CD R Desarrollo'!AM18+'CD R Desarrollo'!AR18+#REF!+#REF!</f>
        <v>#REF!</v>
      </c>
      <c r="AE17" s="259">
        <v>1.0</v>
      </c>
      <c r="AF17" s="260" t="str">
        <f>#REF!*AE17</f>
        <v>#REF!</v>
      </c>
      <c r="AG17" s="259" t="str">
        <f>AF17/'PL Cronograma detallado'!M$257</f>
        <v>#REF!</v>
      </c>
      <c r="AH17" s="259" t="str">
        <f t="shared" si="24"/>
        <v>#REF!</v>
      </c>
    </row>
    <row r="18">
      <c r="A18" s="157" t="s">
        <v>99</v>
      </c>
      <c r="B18" s="159" t="s">
        <v>106</v>
      </c>
      <c r="C18" s="160">
        <v>44659.0</v>
      </c>
      <c r="D18" s="160">
        <v>44659.0</v>
      </c>
      <c r="E18" s="162" t="str">
        <f t="shared" si="25"/>
        <v>#NAME?</v>
      </c>
      <c r="F18" s="80">
        <v>1.0</v>
      </c>
      <c r="G18" s="214">
        <f t="shared" si="9"/>
        <v>0.00113507378</v>
      </c>
      <c r="H18" s="39">
        <f t="shared" si="20"/>
        <v>0.02837684449</v>
      </c>
      <c r="I18" s="169" t="str">
        <f t="shared" si="10"/>
        <v>#REF!</v>
      </c>
      <c r="J18" s="261" t="str">
        <f t="shared" si="21"/>
        <v>#REF!</v>
      </c>
      <c r="K18" s="262" t="str">
        <f t="shared" si="11"/>
        <v>#REF!</v>
      </c>
      <c r="L18" s="179" t="str">
        <f t="shared" si="12"/>
        <v>#REF!</v>
      </c>
      <c r="M18" s="263" t="str">
        <f t="shared" si="22"/>
        <v>#REF!</v>
      </c>
      <c r="N18" s="47">
        <f t="shared" si="13"/>
        <v>0.00113507378</v>
      </c>
      <c r="O18" s="47">
        <f t="shared" si="23"/>
        <v>0.02724177072</v>
      </c>
      <c r="P18" s="47" t="str">
        <f t="shared" si="6"/>
        <v>#REF!</v>
      </c>
      <c r="Q18" s="188">
        <f t="shared" si="14"/>
        <v>1</v>
      </c>
      <c r="R18" s="189">
        <v>1.0</v>
      </c>
      <c r="S18" s="190" t="s">
        <v>64</v>
      </c>
      <c r="T18" s="190">
        <f t="shared" si="15"/>
        <v>0.68</v>
      </c>
      <c r="U18" s="189">
        <f t="shared" si="16"/>
        <v>0.68</v>
      </c>
      <c r="V18" s="198" t="str">
        <f t="shared" si="17"/>
        <v>#REF!</v>
      </c>
      <c r="W18" s="202" t="str">
        <f>'CD R Documentación'!O19+'CD R Documentación'!T19+'CD R Documentación'!Y19+'CD R Documentación'!AD19+'CD R Documentación'!AI19+'CD R Documentación'!AN19+#REF!</f>
        <v>#REF!</v>
      </c>
      <c r="X18" s="85" t="str">
        <f>'CD R Documentación'!R19+'CD R Documentación'!W19+'CD R Documentación'!AB19+'CD R Documentación'!AG19+'CD R Documentación'!AL19+'CD R Documentación'!AQ19+#REF!</f>
        <v>#REF!</v>
      </c>
      <c r="Y18" s="203">
        <f t="shared" si="18"/>
        <v>2</v>
      </c>
      <c r="Z18" s="204">
        <f>'CD R Investigación'!P19+'CD R Investigación'!U19+'CD R Investigación'!Z19+'CD R Investigación'!AE19+'CD R Investigación'!AJ19+'CD R Investigación'!AO19+'CD R Investigación'!AT19+'CD R Investigación'!AY19</f>
        <v>2</v>
      </c>
      <c r="AA18" s="204">
        <f>'CD R Investigación'!S19+'CD R Investigación'!X19+'CD R Investigación'!AC19+'CD R Investigación'!AH19+'CD R Investigación'!AM19+'CD R Investigación'!AR19+'CD R Investigación'!AW19+'CD R Investigación'!BB19</f>
        <v>0.88</v>
      </c>
      <c r="AB18" s="205" t="str">
        <f t="shared" si="19"/>
        <v>#REF!</v>
      </c>
      <c r="AC18" s="207" t="str">
        <f>'CD R Desarrollo'!P19+'CD R Desarrollo'!U19+'CD R Desarrollo'!Z19+'CD R Desarrollo'!AE19+'CD R Desarrollo'!AJ19+'CD R Desarrollo'!AO19+#REF!+#REF!</f>
        <v>#REF!</v>
      </c>
      <c r="AD18" s="207" t="str">
        <f>'CD R Desarrollo'!S19+'CD R Desarrollo'!X19+'CD R Desarrollo'!AC19+'CD R Desarrollo'!AH19+'CD R Desarrollo'!AM19+'CD R Desarrollo'!AR19+#REF!+#REF!</f>
        <v>#REF!</v>
      </c>
      <c r="AE18" s="211">
        <v>1.0</v>
      </c>
      <c r="AF18" s="210">
        <f>'PL Cronograma detallado'!L66*AE18</f>
        <v>21.7</v>
      </c>
      <c r="AG18" s="211" t="str">
        <f>AF18/'PL Cronograma detallado'!M$257</f>
        <v>#DIV/0!</v>
      </c>
      <c r="AH18" s="211" t="str">
        <f t="shared" si="24"/>
        <v>#DIV/0!</v>
      </c>
    </row>
    <row r="19">
      <c r="A19" s="250" t="s">
        <v>172</v>
      </c>
      <c r="B19" s="265" t="s">
        <v>174</v>
      </c>
      <c r="C19" s="252">
        <v>44662.0</v>
      </c>
      <c r="D19" s="252">
        <v>44662.0</v>
      </c>
      <c r="E19" s="125" t="str">
        <f t="shared" si="25"/>
        <v>#NAME?</v>
      </c>
      <c r="F19" s="253">
        <v>1.0</v>
      </c>
      <c r="G19" s="254">
        <f t="shared" si="9"/>
        <v>0.00113507378</v>
      </c>
      <c r="H19" s="138">
        <f t="shared" si="20"/>
        <v>0.02951191827</v>
      </c>
      <c r="I19" s="255" t="str">
        <f t="shared" si="10"/>
        <v>#REF!</v>
      </c>
      <c r="J19" s="255" t="str">
        <f t="shared" si="21"/>
        <v>#REF!</v>
      </c>
      <c r="K19" s="138" t="str">
        <f t="shared" si="11"/>
        <v>#REF!</v>
      </c>
      <c r="L19" s="257" t="str">
        <f t="shared" si="12"/>
        <v>#REF!</v>
      </c>
      <c r="M19" s="257" t="str">
        <f t="shared" si="22"/>
        <v>#REF!</v>
      </c>
      <c r="N19" s="138">
        <f t="shared" si="13"/>
        <v>0.00113507378</v>
      </c>
      <c r="O19" s="138">
        <f t="shared" si="23"/>
        <v>0.02837684449</v>
      </c>
      <c r="P19" s="138" t="str">
        <f t="shared" si="6"/>
        <v>#REF!</v>
      </c>
      <c r="Q19" s="258">
        <f t="shared" si="14"/>
        <v>1</v>
      </c>
      <c r="R19" s="256">
        <v>1.0</v>
      </c>
      <c r="S19" s="253" t="s">
        <v>64</v>
      </c>
      <c r="T19" s="253">
        <f t="shared" si="15"/>
        <v>0.68</v>
      </c>
      <c r="U19" s="256">
        <f t="shared" si="16"/>
        <v>0.68</v>
      </c>
      <c r="V19" s="258" t="str">
        <f t="shared" si="17"/>
        <v>#REF!</v>
      </c>
      <c r="W19" s="255" t="str">
        <f>'CD R Documentación'!O20+'CD R Documentación'!T20+'CD R Documentación'!Y20+'CD R Documentación'!AD20+'CD R Documentación'!AI20+'CD R Documentación'!AN20+#REF!</f>
        <v>#REF!</v>
      </c>
      <c r="X19" s="253" t="str">
        <f>'CD R Documentación'!R20+'CD R Documentación'!W20+'CD R Documentación'!AB20+'CD R Documentación'!AG20+'CD R Documentación'!AL20+'CD R Documentación'!AQ20+#REF!</f>
        <v>#REF!</v>
      </c>
      <c r="Y19" s="258">
        <f t="shared" si="18"/>
        <v>4</v>
      </c>
      <c r="Z19" s="256">
        <f>'CD R Investigación'!P20+'CD R Investigación'!U20+'CD R Investigación'!Z20+'CD R Investigación'!AE20+'CD R Investigación'!AJ20+'CD R Investigación'!AO20+'CD R Investigación'!AT20+'CD R Investigación'!AY20</f>
        <v>4</v>
      </c>
      <c r="AA19" s="256">
        <f>'CD R Investigación'!S20+'CD R Investigación'!X20+'CD R Investigación'!AC20+'CD R Investigación'!AH20+'CD R Investigación'!AM20+'CD R Investigación'!AR20+'CD R Investigación'!AW20+'CD R Investigación'!BB20</f>
        <v>1.76</v>
      </c>
      <c r="AB19" s="258" t="str">
        <f t="shared" si="19"/>
        <v>#REF!</v>
      </c>
      <c r="AC19" s="256" t="str">
        <f>'CD R Desarrollo'!P20+'CD R Desarrollo'!U20+'CD R Desarrollo'!Z20+'CD R Desarrollo'!AE20+'CD R Desarrollo'!AJ20+'CD R Desarrollo'!AO20+#REF!+#REF!</f>
        <v>#REF!</v>
      </c>
      <c r="AD19" s="256" t="str">
        <f>'CD R Desarrollo'!S20+'CD R Desarrollo'!X20+'CD R Desarrollo'!AC20+'CD R Desarrollo'!AH20+'CD R Desarrollo'!AM20+'CD R Desarrollo'!AR20+#REF!+#REF!</f>
        <v>#REF!</v>
      </c>
      <c r="AE19" s="259">
        <v>1.0</v>
      </c>
      <c r="AF19" s="260">
        <f>'PL Cronograma detallado'!L67*AE19</f>
        <v>3.57</v>
      </c>
      <c r="AG19" s="259" t="str">
        <f>AF19/'PL Cronograma detallado'!M$257</f>
        <v>#DIV/0!</v>
      </c>
      <c r="AH19" s="259" t="str">
        <f t="shared" si="24"/>
        <v>#DIV/0!</v>
      </c>
    </row>
    <row r="20">
      <c r="A20" s="93" t="s">
        <v>111</v>
      </c>
      <c r="B20" s="94" t="s">
        <v>213</v>
      </c>
      <c r="C20" s="95">
        <v>44656.0</v>
      </c>
      <c r="D20" s="95">
        <v>44695.0</v>
      </c>
      <c r="E20" s="106" t="str">
        <f t="shared" si="25"/>
        <v>#NAME?</v>
      </c>
      <c r="F20" s="108">
        <f t="shared" ref="F20:G20" si="26">SUM(F21,F26,F37)</f>
        <v>253</v>
      </c>
      <c r="G20" s="111">
        <f t="shared" si="26"/>
        <v>0.2871736663</v>
      </c>
      <c r="H20" s="108"/>
      <c r="I20" s="114" t="str">
        <f>SUM(I21,I26,I37)</f>
        <v>#REF!</v>
      </c>
      <c r="J20" s="114" t="str">
        <f>SUM(I20,J4)</f>
        <v>#REF!</v>
      </c>
      <c r="K20" s="111" t="str">
        <f t="shared" si="11"/>
        <v>#REF!</v>
      </c>
      <c r="L20" s="117" t="str">
        <f>SUM(L21,L26,L37)</f>
        <v>#REF!</v>
      </c>
      <c r="M20" s="117" t="str">
        <f>SUM(L20,M4)</f>
        <v>#REF!</v>
      </c>
      <c r="N20" s="117"/>
      <c r="O20" s="117"/>
      <c r="P20" s="111" t="str">
        <f t="shared" si="6"/>
        <v>#REF!</v>
      </c>
      <c r="Q20" s="269">
        <f t="shared" si="14"/>
        <v>0</v>
      </c>
      <c r="R20" s="269"/>
      <c r="S20" s="269"/>
      <c r="T20" s="108"/>
      <c r="U20" s="270">
        <f t="shared" si="16"/>
        <v>0</v>
      </c>
      <c r="V20" s="269"/>
      <c r="W20" s="114"/>
      <c r="X20" s="108" t="str">
        <f>'CD R Documentación'!R21+'CD R Documentación'!W21+'CD R Documentación'!AB21+'CD R Documentación'!AG21+'CD R Documentación'!AL21+'CD R Documentación'!AQ21+#REF!</f>
        <v>#REF!</v>
      </c>
      <c r="Y20" s="269"/>
      <c r="Z20" s="270">
        <f>'CD R Investigación'!P21+'CD R Investigación'!U21+'CD R Investigación'!Z21+'CD R Investigación'!AE21+'CD R Investigación'!AJ21+'CD R Investigación'!AO21+'CD R Investigación'!AT21+'CD R Investigación'!AY21</f>
        <v>0</v>
      </c>
      <c r="AA20" s="270">
        <f>'CD R Investigación'!S21+'CD R Investigación'!X21+'CD R Investigación'!AC21+'CD R Investigación'!AH21+'CD R Investigación'!AM21+'CD R Investigación'!AR21+'CD R Investigación'!AW21+'CD R Investigación'!BB21</f>
        <v>0</v>
      </c>
      <c r="AB20" s="269"/>
      <c r="AC20" s="270" t="str">
        <f>'CD R Desarrollo'!P21+'CD R Desarrollo'!U21+'CD R Desarrollo'!Z21+'CD R Desarrollo'!AE21+'CD R Desarrollo'!AJ21+'CD R Desarrollo'!AO21+#REF!+#REF!</f>
        <v>#REF!</v>
      </c>
      <c r="AD20" s="270" t="str">
        <f>'CD R Desarrollo'!S21+'CD R Desarrollo'!X21+'CD R Desarrollo'!AC21+'CD R Desarrollo'!AH21+'CD R Desarrollo'!AM21+'CD R Desarrollo'!AR21+#REF!+#REF!</f>
        <v>#REF!</v>
      </c>
      <c r="AE20" s="271"/>
      <c r="AF20" s="271"/>
      <c r="AG20" s="271"/>
      <c r="AH20" s="271"/>
    </row>
    <row r="21" ht="15.75" customHeight="1">
      <c r="A21" s="130" t="s">
        <v>113</v>
      </c>
      <c r="B21" s="132" t="s">
        <v>222</v>
      </c>
      <c r="C21" s="133">
        <v>44656.0</v>
      </c>
      <c r="D21" s="133">
        <v>44667.0</v>
      </c>
      <c r="E21" s="134" t="str">
        <f t="shared" si="25"/>
        <v>#NAME?</v>
      </c>
      <c r="F21" s="136">
        <f t="shared" ref="F21:G21" si="27">SUM(F22:F25)</f>
        <v>11</v>
      </c>
      <c r="G21" s="115">
        <f t="shared" si="27"/>
        <v>0.01248581158</v>
      </c>
      <c r="H21" s="115">
        <f>SUM(G21,H19)</f>
        <v>0.04199772985</v>
      </c>
      <c r="I21" s="139" t="str">
        <f>SUM(I22:I25)</f>
        <v>#REF!</v>
      </c>
      <c r="J21" s="139" t="str">
        <f>SUM(I21,J7)</f>
        <v>#REF!</v>
      </c>
      <c r="K21" s="115" t="str">
        <f t="shared" si="11"/>
        <v>#REF!</v>
      </c>
      <c r="L21" s="143" t="str">
        <f>SUM(L22:L25)</f>
        <v>#REF!</v>
      </c>
      <c r="M21" s="143" t="str">
        <f>SUM(L21,M7)</f>
        <v>#REF!</v>
      </c>
      <c r="N21" s="143"/>
      <c r="O21" s="143"/>
      <c r="P21" s="115" t="str">
        <f t="shared" si="6"/>
        <v>#REF!</v>
      </c>
      <c r="Q21" s="148"/>
      <c r="R21" s="110"/>
      <c r="S21" s="136"/>
      <c r="T21" s="136"/>
      <c r="U21" s="110"/>
      <c r="V21" s="148"/>
      <c r="W21" s="139"/>
      <c r="X21" s="136" t="str">
        <f>'CD R Documentación'!R22+'CD R Documentación'!W22+'CD R Documentación'!AB22+'CD R Documentación'!AG22+'CD R Documentación'!AL22+'CD R Documentación'!AQ22+#REF!</f>
        <v>#REF!</v>
      </c>
      <c r="Y21" s="148"/>
      <c r="Z21" s="110">
        <f>'CD R Investigación'!P22+'CD R Investigación'!U22+'CD R Investigación'!Z22+'CD R Investigación'!AE22+'CD R Investigación'!AJ22+'CD R Investigación'!AO22+'CD R Investigación'!AT22+'CD R Investigación'!AY22</f>
        <v>0</v>
      </c>
      <c r="AA21" s="110">
        <f>'CD R Investigación'!S22+'CD R Investigación'!X22+'CD R Investigación'!AC22+'CD R Investigación'!AH22+'CD R Investigación'!AM22+'CD R Investigación'!AR22+'CD R Investigación'!AW22+'CD R Investigación'!BB22</f>
        <v>0</v>
      </c>
      <c r="AB21" s="148"/>
      <c r="AC21" s="110" t="str">
        <f>'CD R Desarrollo'!P22+'CD R Desarrollo'!U22+'CD R Desarrollo'!Z22+'CD R Desarrollo'!AE22+'CD R Desarrollo'!AJ22+'CD R Desarrollo'!AO22+#REF!+#REF!</f>
        <v>#REF!</v>
      </c>
      <c r="AD21" s="110" t="str">
        <f>'CD R Desarrollo'!S22+'CD R Desarrollo'!X22+'CD R Desarrollo'!AC22+'CD R Desarrollo'!AH22+'CD R Desarrollo'!AM22+'CD R Desarrollo'!AR22+#REF!+#REF!</f>
        <v>#REF!</v>
      </c>
      <c r="AE21" s="212"/>
      <c r="AF21" s="212"/>
      <c r="AG21" s="212"/>
      <c r="AH21" s="212"/>
    </row>
    <row r="22" ht="15.75" customHeight="1">
      <c r="A22" s="157" t="s">
        <v>115</v>
      </c>
      <c r="B22" s="159" t="s">
        <v>230</v>
      </c>
      <c r="C22" s="160">
        <v>44657.0</v>
      </c>
      <c r="D22" s="160">
        <v>44657.0</v>
      </c>
      <c r="E22" s="162" t="str">
        <f t="shared" si="25"/>
        <v>#NAME?</v>
      </c>
      <c r="F22" s="80">
        <v>1.0</v>
      </c>
      <c r="G22" s="47">
        <f t="shared" ref="G22:G25" si="28">F22/F$105</f>
        <v>0.00113507378</v>
      </c>
      <c r="H22" s="39">
        <f>SUM(H19,G22)</f>
        <v>0.03064699205</v>
      </c>
      <c r="I22" s="169" t="str">
        <f t="shared" ref="I22:I25" si="29">SUM(R22,W22,Z22,AC22)</f>
        <v>#REF!</v>
      </c>
      <c r="J22" s="169" t="str">
        <f>SUM(I22,J19)</f>
        <v>#REF!</v>
      </c>
      <c r="K22" s="262" t="str">
        <f t="shared" si="11"/>
        <v>#REF!</v>
      </c>
      <c r="L22" s="179" t="str">
        <f t="shared" ref="L22:L25" si="30">SUM(U22,X22,AA22,AD22)</f>
        <v>#REF!</v>
      </c>
      <c r="M22" s="263" t="str">
        <f>SUM(L22,M19)</f>
        <v>#REF!</v>
      </c>
      <c r="N22" s="39">
        <f t="shared" ref="N22:N25" si="31">G22*AE22</f>
        <v>0.00113507378</v>
      </c>
      <c r="O22" s="39">
        <f>SUM(N22,O19)</f>
        <v>0.02951191827</v>
      </c>
      <c r="P22" s="47" t="str">
        <f t="shared" si="6"/>
        <v>#REF!</v>
      </c>
      <c r="Q22" s="188">
        <f t="shared" ref="Q22:Q25" si="32">R22/F22</f>
        <v>0.5</v>
      </c>
      <c r="R22" s="189">
        <v>0.5</v>
      </c>
      <c r="S22" s="190" t="s">
        <v>64</v>
      </c>
      <c r="T22" s="190">
        <f t="shared" ref="T22:T25" si="33">IF(S22="L",0.68,IF(S22="JP",0.57,IF(S22="JI",0.57,IF(S22="JD",0.57,IF(S22="P",0.24,IF(S22="I",0.12,IF(S22="D",0.13)))))))</f>
        <v>0.68</v>
      </c>
      <c r="U22" s="189">
        <f t="shared" ref="U22:U25" si="34">T22*R22</f>
        <v>0.34</v>
      </c>
      <c r="V22" s="198" t="str">
        <f t="shared" ref="V22:V25" si="35">W22/F22</f>
        <v>#REF!</v>
      </c>
      <c r="W22" s="202" t="str">
        <f>'CD R Documentación'!O23+'CD R Documentación'!T23+'CD R Documentación'!Y23+'CD R Documentación'!AD23+'CD R Documentación'!AI23+'CD R Documentación'!AN23+#REF!</f>
        <v>#REF!</v>
      </c>
      <c r="X22" s="85" t="str">
        <f>'CD R Documentación'!R23+'CD R Documentación'!W23+'CD R Documentación'!AB23+'CD R Documentación'!AG23+'CD R Documentación'!AL23+'CD R Documentación'!AQ23+#REF!</f>
        <v>#REF!</v>
      </c>
      <c r="Y22" s="203">
        <f t="shared" ref="Y22:Y25" si="36">Z22/F22</f>
        <v>0</v>
      </c>
      <c r="Z22" s="204">
        <f>'CD R Investigación'!P23+'CD R Investigación'!U23+'CD R Investigación'!Z23+'CD R Investigación'!AE23+'CD R Investigación'!AJ23+'CD R Investigación'!AO23+'CD R Investigación'!AT23+'CD R Investigación'!AY23</f>
        <v>0</v>
      </c>
      <c r="AA22" s="204">
        <f>'CD R Investigación'!S23+'CD R Investigación'!X23+'CD R Investigación'!AC23+'CD R Investigación'!AH23+'CD R Investigación'!AM23+'CD R Investigación'!AR23+'CD R Investigación'!AW23+'CD R Investigación'!BB23</f>
        <v>0</v>
      </c>
      <c r="AB22" s="205" t="str">
        <f t="shared" ref="AB22:AB25" si="37">AC22/F22</f>
        <v>#REF!</v>
      </c>
      <c r="AC22" s="207" t="str">
        <f>'CD R Desarrollo'!P23+'CD R Desarrollo'!U23+'CD R Desarrollo'!Z23+'CD R Desarrollo'!AE23+'CD R Desarrollo'!AJ23+'CD R Desarrollo'!AO23+#REF!+#REF!</f>
        <v>#REF!</v>
      </c>
      <c r="AD22" s="207" t="str">
        <f>'CD R Desarrollo'!S23+'CD R Desarrollo'!X23+'CD R Desarrollo'!AC23+'CD R Desarrollo'!AH23+'CD R Desarrollo'!AM23+'CD R Desarrollo'!AR23+#REF!+#REF!</f>
        <v>#REF!</v>
      </c>
      <c r="AE22" s="211">
        <v>1.0</v>
      </c>
      <c r="AF22" s="210">
        <f>'PL Cronograma detallado'!L70*AE22</f>
        <v>8.85</v>
      </c>
      <c r="AG22" s="211" t="str">
        <f>AF22/'PL Cronograma detallado'!M$257</f>
        <v>#DIV/0!</v>
      </c>
      <c r="AH22" s="211" t="str">
        <f>AG22+AH19</f>
        <v>#DIV/0!</v>
      </c>
    </row>
    <row r="23" ht="15.75" customHeight="1">
      <c r="A23" s="157" t="s">
        <v>117</v>
      </c>
      <c r="B23" s="159" t="s">
        <v>249</v>
      </c>
      <c r="C23" s="160">
        <v>44657.0</v>
      </c>
      <c r="D23" s="160">
        <v>44657.0</v>
      </c>
      <c r="E23" s="162" t="str">
        <f t="shared" si="25"/>
        <v>#NAME?</v>
      </c>
      <c r="F23" s="80">
        <v>1.0</v>
      </c>
      <c r="G23" s="47">
        <f t="shared" si="28"/>
        <v>0.00113507378</v>
      </c>
      <c r="H23" s="39">
        <f t="shared" ref="H23:H26" si="38">SUM(H22,G23)</f>
        <v>0.03178206583</v>
      </c>
      <c r="I23" s="169" t="str">
        <f t="shared" si="29"/>
        <v>#REF!</v>
      </c>
      <c r="J23" s="169" t="str">
        <f t="shared" ref="J23:J25" si="39">SUM(I23,J22)</f>
        <v>#REF!</v>
      </c>
      <c r="K23" s="262" t="str">
        <f t="shared" si="11"/>
        <v>#REF!</v>
      </c>
      <c r="L23" s="179" t="str">
        <f t="shared" si="30"/>
        <v>#REF!</v>
      </c>
      <c r="M23" s="263" t="str">
        <f t="shared" ref="M23:M25" si="40">SUM(L23,M22)</f>
        <v>#REF!</v>
      </c>
      <c r="N23" s="39">
        <f t="shared" si="31"/>
        <v>0.00113507378</v>
      </c>
      <c r="O23" s="39">
        <f t="shared" ref="O23:O25" si="41">SUM(N23,O22)</f>
        <v>0.03064699205</v>
      </c>
      <c r="P23" s="47" t="str">
        <f t="shared" si="6"/>
        <v>#REF!</v>
      </c>
      <c r="Q23" s="188">
        <f t="shared" si="32"/>
        <v>1</v>
      </c>
      <c r="R23" s="189">
        <v>1.0</v>
      </c>
      <c r="S23" s="190" t="s">
        <v>64</v>
      </c>
      <c r="T23" s="190">
        <f t="shared" si="33"/>
        <v>0.68</v>
      </c>
      <c r="U23" s="189">
        <f t="shared" si="34"/>
        <v>0.68</v>
      </c>
      <c r="V23" s="198" t="str">
        <f t="shared" si="35"/>
        <v>#REF!</v>
      </c>
      <c r="W23" s="202" t="str">
        <f>'CD R Documentación'!O24+'CD R Documentación'!T24+'CD R Documentación'!Y24+'CD R Documentación'!AD24+'CD R Documentación'!AI24+'CD R Documentación'!AN24+#REF!</f>
        <v>#REF!</v>
      </c>
      <c r="X23" s="85" t="str">
        <f>'CD R Documentación'!R24+'CD R Documentación'!W24+'CD R Documentación'!AB24+'CD R Documentación'!AG24+'CD R Documentación'!AL24+'CD R Documentación'!AQ24+#REF!</f>
        <v>#REF!</v>
      </c>
      <c r="Y23" s="203">
        <f t="shared" si="36"/>
        <v>0</v>
      </c>
      <c r="Z23" s="204">
        <f>'CD R Investigación'!P24+'CD R Investigación'!U24+'CD R Investigación'!Z24+'CD R Investigación'!AE24+'CD R Investigación'!AJ24+'CD R Investigación'!AO24+'CD R Investigación'!AT24+'CD R Investigación'!AY24</f>
        <v>0</v>
      </c>
      <c r="AA23" s="204">
        <f>'CD R Investigación'!S24+'CD R Investigación'!X24+'CD R Investigación'!AC24+'CD R Investigación'!AH24+'CD R Investigación'!AM24+'CD R Investigación'!AR24+'CD R Investigación'!AW24+'CD R Investigación'!BB24</f>
        <v>0</v>
      </c>
      <c r="AB23" s="205" t="str">
        <f t="shared" si="37"/>
        <v>#REF!</v>
      </c>
      <c r="AC23" s="207" t="str">
        <f>'CD R Desarrollo'!P24+'CD R Desarrollo'!U24+'CD R Desarrollo'!Z24+'CD R Desarrollo'!AE24+'CD R Desarrollo'!AJ24+'CD R Desarrollo'!AO24+#REF!+#REF!</f>
        <v>#REF!</v>
      </c>
      <c r="AD23" s="207" t="str">
        <f>'CD R Desarrollo'!S24+'CD R Desarrollo'!X24+'CD R Desarrollo'!AC24+'CD R Desarrollo'!AH24+'CD R Desarrollo'!AM24+'CD R Desarrollo'!AR24+#REF!+#REF!</f>
        <v>#REF!</v>
      </c>
      <c r="AE23" s="211">
        <v>1.0</v>
      </c>
      <c r="AF23" s="210">
        <f>'PL Cronograma detallado'!L71*AE23</f>
        <v>3.43</v>
      </c>
      <c r="AG23" s="211" t="str">
        <f>AF23/'PL Cronograma detallado'!M$257</f>
        <v>#DIV/0!</v>
      </c>
      <c r="AH23" s="211" t="str">
        <f t="shared" ref="AH23:AH25" si="42">AG23+AH22</f>
        <v>#DIV/0!</v>
      </c>
    </row>
    <row r="24" ht="15.75" customHeight="1">
      <c r="A24" s="157" t="s">
        <v>119</v>
      </c>
      <c r="B24" s="159" t="s">
        <v>257</v>
      </c>
      <c r="C24" s="160">
        <v>44658.0</v>
      </c>
      <c r="D24" s="160">
        <v>44667.0</v>
      </c>
      <c r="E24" s="162" t="str">
        <f t="shared" si="25"/>
        <v>#NAME?</v>
      </c>
      <c r="F24" s="80">
        <v>8.0</v>
      </c>
      <c r="G24" s="47">
        <f t="shared" si="28"/>
        <v>0.009080590238</v>
      </c>
      <c r="H24" s="39">
        <f t="shared" si="38"/>
        <v>0.04086265607</v>
      </c>
      <c r="I24" s="169" t="str">
        <f t="shared" si="29"/>
        <v>#REF!</v>
      </c>
      <c r="J24" s="169" t="str">
        <f t="shared" si="39"/>
        <v>#REF!</v>
      </c>
      <c r="K24" s="262" t="str">
        <f t="shared" si="11"/>
        <v>#REF!</v>
      </c>
      <c r="L24" s="179" t="str">
        <f t="shared" si="30"/>
        <v>#REF!</v>
      </c>
      <c r="M24" s="263" t="str">
        <f t="shared" si="40"/>
        <v>#REF!</v>
      </c>
      <c r="N24" s="39">
        <f t="shared" si="31"/>
        <v>0.009080590238</v>
      </c>
      <c r="O24" s="39">
        <f t="shared" si="41"/>
        <v>0.03972758229</v>
      </c>
      <c r="P24" s="47" t="str">
        <f t="shared" si="6"/>
        <v>#REF!</v>
      </c>
      <c r="Q24" s="188">
        <f t="shared" si="32"/>
        <v>0.0625</v>
      </c>
      <c r="R24" s="189">
        <v>0.5</v>
      </c>
      <c r="S24" s="190" t="s">
        <v>64</v>
      </c>
      <c r="T24" s="190">
        <f t="shared" si="33"/>
        <v>0.68</v>
      </c>
      <c r="U24" s="189">
        <f t="shared" si="34"/>
        <v>0.34</v>
      </c>
      <c r="V24" s="198" t="str">
        <f t="shared" si="35"/>
        <v>#REF!</v>
      </c>
      <c r="W24" s="202" t="str">
        <f>'CD R Documentación'!O25+'CD R Documentación'!T25+'CD R Documentación'!Y25+'CD R Documentación'!AD25+'CD R Documentación'!AI25+'CD R Documentación'!AN25+#REF!</f>
        <v>#REF!</v>
      </c>
      <c r="X24" s="85" t="str">
        <f>'CD R Documentación'!R25+'CD R Documentación'!W25+'CD R Documentación'!AB25+'CD R Documentación'!AG25+'CD R Documentación'!AL25+'CD R Documentación'!AQ25+#REF!</f>
        <v>#REF!</v>
      </c>
      <c r="Y24" s="203">
        <f t="shared" si="36"/>
        <v>1</v>
      </c>
      <c r="Z24" s="204">
        <f>'CD R Investigación'!P25+'CD R Investigación'!U25+'CD R Investigación'!Z25+'CD R Investigación'!AE25+'CD R Investigación'!AJ25+'CD R Investigación'!AO25+'CD R Investigación'!AT25+'CD R Investigación'!AY25</f>
        <v>8</v>
      </c>
      <c r="AA24" s="204">
        <f>'CD R Investigación'!S25+'CD R Investigación'!X25+'CD R Investigación'!AC25+'CD R Investigación'!AH25+'CD R Investigación'!AM25+'CD R Investigación'!AR25+'CD R Investigación'!AW25+'CD R Investigación'!BB25</f>
        <v>3.52</v>
      </c>
      <c r="AB24" s="205" t="str">
        <f t="shared" si="37"/>
        <v>#REF!</v>
      </c>
      <c r="AC24" s="207" t="str">
        <f>'CD R Desarrollo'!P25+'CD R Desarrollo'!U25+'CD R Desarrollo'!Z25+'CD R Desarrollo'!AE25+'CD R Desarrollo'!AJ25+'CD R Desarrollo'!AO25+#REF!+#REF!</f>
        <v>#REF!</v>
      </c>
      <c r="AD24" s="207" t="str">
        <f>'CD R Desarrollo'!S25+'CD R Desarrollo'!X25+'CD R Desarrollo'!AC25+'CD R Desarrollo'!AH25+'CD R Desarrollo'!AM25+'CD R Desarrollo'!AR25+#REF!+#REF!</f>
        <v>#REF!</v>
      </c>
      <c r="AE24" s="211">
        <v>1.0</v>
      </c>
      <c r="AF24" s="210">
        <f>'PL Cronograma detallado'!L72*AE24</f>
        <v>3.13</v>
      </c>
      <c r="AG24" s="211" t="str">
        <f>AF24/'PL Cronograma detallado'!M$257</f>
        <v>#DIV/0!</v>
      </c>
      <c r="AH24" s="211" t="str">
        <f t="shared" si="42"/>
        <v>#DIV/0!</v>
      </c>
    </row>
    <row r="25" ht="15.75" customHeight="1">
      <c r="A25" s="157" t="s">
        <v>121</v>
      </c>
      <c r="B25" s="159" t="s">
        <v>128</v>
      </c>
      <c r="C25" s="160">
        <v>44666.0</v>
      </c>
      <c r="D25" s="160">
        <v>44666.0</v>
      </c>
      <c r="E25" s="162" t="str">
        <f t="shared" si="25"/>
        <v>#NAME?</v>
      </c>
      <c r="F25" s="80">
        <v>1.0</v>
      </c>
      <c r="G25" s="47">
        <f t="shared" si="28"/>
        <v>0.00113507378</v>
      </c>
      <c r="H25" s="39">
        <f t="shared" si="38"/>
        <v>0.04199772985</v>
      </c>
      <c r="I25" s="169" t="str">
        <f t="shared" si="29"/>
        <v>#REF!</v>
      </c>
      <c r="J25" s="261" t="str">
        <f t="shared" si="39"/>
        <v>#REF!</v>
      </c>
      <c r="K25" s="262" t="str">
        <f t="shared" si="11"/>
        <v>#REF!</v>
      </c>
      <c r="L25" s="179" t="str">
        <f t="shared" si="30"/>
        <v>#REF!</v>
      </c>
      <c r="M25" s="263" t="str">
        <f t="shared" si="40"/>
        <v>#REF!</v>
      </c>
      <c r="N25" s="39">
        <f t="shared" si="31"/>
        <v>0.00113507378</v>
      </c>
      <c r="O25" s="39">
        <f t="shared" si="41"/>
        <v>0.04086265607</v>
      </c>
      <c r="P25" s="47" t="str">
        <f t="shared" si="6"/>
        <v>#REF!</v>
      </c>
      <c r="Q25" s="188">
        <f t="shared" si="32"/>
        <v>1</v>
      </c>
      <c r="R25" s="189">
        <v>1.0</v>
      </c>
      <c r="S25" s="190" t="s">
        <v>64</v>
      </c>
      <c r="T25" s="190">
        <f t="shared" si="33"/>
        <v>0.68</v>
      </c>
      <c r="U25" s="189">
        <f t="shared" si="34"/>
        <v>0.68</v>
      </c>
      <c r="V25" s="198" t="str">
        <f t="shared" si="35"/>
        <v>#REF!</v>
      </c>
      <c r="W25" s="202" t="str">
        <f>'CD R Documentación'!O26+'CD R Documentación'!T26+'CD R Documentación'!Y26+'CD R Documentación'!AD26+'CD R Documentación'!AI26+'CD R Documentación'!AN26+#REF!</f>
        <v>#REF!</v>
      </c>
      <c r="X25" s="85" t="str">
        <f>'CD R Documentación'!R26+'CD R Documentación'!W26+'CD R Documentación'!AB26+'CD R Documentación'!AG26+'CD R Documentación'!AL26+'CD R Documentación'!AQ26+#REF!</f>
        <v>#REF!</v>
      </c>
      <c r="Y25" s="203">
        <f t="shared" si="36"/>
        <v>0</v>
      </c>
      <c r="Z25" s="204">
        <f>'CD R Investigación'!P26+'CD R Investigación'!U26+'CD R Investigación'!Z26+'CD R Investigación'!AE26+'CD R Investigación'!AJ26+'CD R Investigación'!AO26+'CD R Investigación'!AT26+'CD R Investigación'!AY26</f>
        <v>0</v>
      </c>
      <c r="AA25" s="204">
        <f>'CD R Investigación'!S26+'CD R Investigación'!X26+'CD R Investigación'!AC26+'CD R Investigación'!AH26+'CD R Investigación'!AM26+'CD R Investigación'!AR26+'CD R Investigación'!AW26+'CD R Investigación'!BB26</f>
        <v>0</v>
      </c>
      <c r="AB25" s="205" t="str">
        <f t="shared" si="37"/>
        <v>#REF!</v>
      </c>
      <c r="AC25" s="207" t="str">
        <f>'CD R Desarrollo'!P26+'CD R Desarrollo'!U26+'CD R Desarrollo'!Z26+'CD R Desarrollo'!AE26+'CD R Desarrollo'!AJ26+'CD R Desarrollo'!AO26+#REF!+#REF!</f>
        <v>#REF!</v>
      </c>
      <c r="AD25" s="207" t="str">
        <f>'CD R Desarrollo'!S26+'CD R Desarrollo'!X26+'CD R Desarrollo'!AC26+'CD R Desarrollo'!AH26+'CD R Desarrollo'!AM26+'CD R Desarrollo'!AR26+#REF!+#REF!</f>
        <v>#REF!</v>
      </c>
      <c r="AE25" s="211">
        <v>1.0</v>
      </c>
      <c r="AF25" s="210">
        <f>'PL Cronograma detallado'!L73*AE25</f>
        <v>2.29</v>
      </c>
      <c r="AG25" s="211" t="str">
        <f>AF25/'PL Cronograma detallado'!M$257</f>
        <v>#DIV/0!</v>
      </c>
      <c r="AH25" s="211" t="str">
        <f t="shared" si="42"/>
        <v>#DIV/0!</v>
      </c>
    </row>
    <row r="26" ht="15.75" customHeight="1">
      <c r="A26" s="130" t="s">
        <v>129</v>
      </c>
      <c r="B26" s="132" t="s">
        <v>270</v>
      </c>
      <c r="C26" s="133">
        <v>44669.0</v>
      </c>
      <c r="D26" s="133">
        <v>44688.0</v>
      </c>
      <c r="E26" s="134" t="str">
        <f t="shared" si="25"/>
        <v>#NAME?</v>
      </c>
      <c r="F26" s="136">
        <f t="shared" ref="F26:G26" si="43">SUM(F27:F36)</f>
        <v>62</v>
      </c>
      <c r="G26" s="115">
        <f t="shared" si="43"/>
        <v>0.07037457435</v>
      </c>
      <c r="H26" s="115">
        <f t="shared" si="38"/>
        <v>0.1123723042</v>
      </c>
      <c r="I26" s="139" t="str">
        <f>SUM(I27:I36)</f>
        <v>#REF!</v>
      </c>
      <c r="J26" s="110" t="str">
        <f>SUM(I26,J21)</f>
        <v>#REF!</v>
      </c>
      <c r="K26" s="115" t="str">
        <f t="shared" si="11"/>
        <v>#REF!</v>
      </c>
      <c r="L26" s="143" t="str">
        <f>SUM(L27:L36)</f>
        <v>#REF!</v>
      </c>
      <c r="M26" s="143" t="str">
        <f>SUM(L26,M21)</f>
        <v>#REF!</v>
      </c>
      <c r="N26" s="143"/>
      <c r="O26" s="143"/>
      <c r="P26" s="115" t="str">
        <f t="shared" si="6"/>
        <v>#REF!</v>
      </c>
      <c r="Q26" s="148"/>
      <c r="R26" s="110"/>
      <c r="S26" s="136"/>
      <c r="T26" s="136"/>
      <c r="U26" s="110"/>
      <c r="V26" s="148"/>
      <c r="W26" s="139" t="str">
        <f>'CD R Documentación'!O27+'CD R Documentación'!T27+'CD R Documentación'!Y27+'CD R Documentación'!AD27+'CD R Documentación'!AI27+'CD R Documentación'!AN27+#REF!</f>
        <v>#REF!</v>
      </c>
      <c r="X26" s="136" t="str">
        <f>'CD R Documentación'!R27+'CD R Documentación'!W27+'CD R Documentación'!AB27+'CD R Documentación'!AG27+'CD R Documentación'!AL27+'CD R Documentación'!AQ27+#REF!</f>
        <v>#REF!</v>
      </c>
      <c r="Y26" s="148"/>
      <c r="Z26" s="110">
        <f>'CD R Investigación'!P27+'CD R Investigación'!U27+'CD R Investigación'!Z27+'CD R Investigación'!AE27+'CD R Investigación'!AJ27+'CD R Investigación'!AO27+'CD R Investigación'!AT27+'CD R Investigación'!AY27</f>
        <v>0</v>
      </c>
      <c r="AA26" s="110">
        <f>'CD R Investigación'!S27+'CD R Investigación'!X27+'CD R Investigación'!AC27+'CD R Investigación'!AH27+'CD R Investigación'!AM27+'CD R Investigación'!AR27+'CD R Investigación'!AW27+'CD R Investigación'!BB27</f>
        <v>0</v>
      </c>
      <c r="AB26" s="148"/>
      <c r="AC26" s="110" t="str">
        <f>'CD R Desarrollo'!P27+'CD R Desarrollo'!U27+'CD R Desarrollo'!Z27+'CD R Desarrollo'!AE27+'CD R Desarrollo'!AJ27+'CD R Desarrollo'!AO27+#REF!+#REF!</f>
        <v>#REF!</v>
      </c>
      <c r="AD26" s="110" t="str">
        <f>'CD R Desarrollo'!S27+'CD R Desarrollo'!X27+'CD R Desarrollo'!AC27+'CD R Desarrollo'!AH27+'CD R Desarrollo'!AM27+'CD R Desarrollo'!AR27+#REF!+#REF!</f>
        <v>#REF!</v>
      </c>
      <c r="AE26" s="212"/>
      <c r="AF26" s="212"/>
      <c r="AG26" s="212"/>
      <c r="AH26" s="212"/>
    </row>
    <row r="27" ht="15.75" customHeight="1">
      <c r="A27" s="310" t="s">
        <v>109</v>
      </c>
      <c r="B27" s="311" t="s">
        <v>288</v>
      </c>
      <c r="C27" s="312">
        <v>44670.0</v>
      </c>
      <c r="D27" s="312">
        <v>44670.0</v>
      </c>
      <c r="E27" s="313" t="str">
        <f t="shared" si="25"/>
        <v>#NAME?</v>
      </c>
      <c r="F27" s="314">
        <v>1.0</v>
      </c>
      <c r="G27" s="282">
        <f>(F27/F$105)</f>
        <v>0.00113507378</v>
      </c>
      <c r="H27" s="282">
        <f>SUM(H25,G27)</f>
        <v>0.04313280363</v>
      </c>
      <c r="I27" s="315" t="str">
        <f t="shared" ref="I27:I36" si="44">SUM(R27,W27,Z27,AC27)</f>
        <v>#REF!</v>
      </c>
      <c r="J27" s="316" t="str">
        <f>SUM(I27,J25)</f>
        <v>#REF!</v>
      </c>
      <c r="K27" s="282" t="str">
        <f t="shared" si="11"/>
        <v>#REF!</v>
      </c>
      <c r="L27" s="317" t="str">
        <f t="shared" ref="L27:L36" si="45">SUM(U27,X27,AA27,AD27)</f>
        <v>#REF!</v>
      </c>
      <c r="M27" s="317" t="str">
        <f>SUM(L27,M25)</f>
        <v>#REF!</v>
      </c>
      <c r="N27" s="282">
        <f t="shared" ref="N27:N36" si="46">G27*AE27</f>
        <v>0.00113507378</v>
      </c>
      <c r="O27" s="282">
        <f>SUM(N27,O25)</f>
        <v>0.04199772985</v>
      </c>
      <c r="P27" s="282" t="str">
        <f t="shared" si="6"/>
        <v>#REF!</v>
      </c>
      <c r="Q27" s="318">
        <f t="shared" ref="Q27:Q36" si="47">R27/F27</f>
        <v>1</v>
      </c>
      <c r="R27" s="316">
        <v>1.0</v>
      </c>
      <c r="S27" s="314" t="s">
        <v>64</v>
      </c>
      <c r="T27" s="314">
        <f t="shared" ref="T27:T36" si="48">IF(S27="L",0.68,IF(S27="JP",0.57,IF(S27="JI",0.57,IF(S27="JD",0.57,IF(S27="P",0.24,IF(S27="I",0.12,IF(S27="D",0.13)))))))</f>
        <v>0.68</v>
      </c>
      <c r="U27" s="316">
        <f t="shared" ref="U27:U36" si="49">T27*R27</f>
        <v>0.68</v>
      </c>
      <c r="V27" s="318" t="str">
        <f t="shared" ref="V27:V36" si="50">W27/F27</f>
        <v>#REF!</v>
      </c>
      <c r="W27" s="315" t="str">
        <f>'CD R Documentación'!O28+'CD R Documentación'!T28+'CD R Documentación'!Y28+'CD R Documentación'!AD28+'CD R Documentación'!AI28+'CD R Documentación'!AN28+#REF!</f>
        <v>#REF!</v>
      </c>
      <c r="X27" s="314" t="str">
        <f>'CD R Documentación'!R28+'CD R Documentación'!W28+'CD R Documentación'!AB28+'CD R Documentación'!AG28+'CD R Documentación'!AL28+'CD R Documentación'!AQ28+#REF!</f>
        <v>#REF!</v>
      </c>
      <c r="Y27" s="318">
        <f t="shared" ref="Y27:Y36" si="51">Z27/F27</f>
        <v>0</v>
      </c>
      <c r="Z27" s="316">
        <f>'CD R Investigación'!P28+'CD R Investigación'!U28+'CD R Investigación'!Z28+'CD R Investigación'!AE28+'CD R Investigación'!AJ28+'CD R Investigación'!AO28+'CD R Investigación'!AT28+'CD R Investigación'!AY28</f>
        <v>0</v>
      </c>
      <c r="AA27" s="316">
        <f>'CD R Investigación'!S28+'CD R Investigación'!X28+'CD R Investigación'!AC28+'CD R Investigación'!AH28+'CD R Investigación'!AM28+'CD R Investigación'!AR28+'CD R Investigación'!AW28+'CD R Investigación'!BB28</f>
        <v>0</v>
      </c>
      <c r="AB27" s="318" t="str">
        <f t="shared" ref="AB27:AB36" si="52">AC27/F27</f>
        <v>#REF!</v>
      </c>
      <c r="AC27" s="316" t="str">
        <f>'CD R Desarrollo'!P28+'CD R Desarrollo'!U28+'CD R Desarrollo'!Z28+'CD R Desarrollo'!AE28+'CD R Desarrollo'!AJ28+'CD R Desarrollo'!AO28+#REF!+#REF!</f>
        <v>#REF!</v>
      </c>
      <c r="AD27" s="316" t="str">
        <f>'CD R Desarrollo'!S28+'CD R Desarrollo'!X28+'CD R Desarrollo'!AC28+'CD R Desarrollo'!AH28+'CD R Desarrollo'!AM28+'CD R Desarrollo'!AR28+#REF!+#REF!</f>
        <v>#REF!</v>
      </c>
      <c r="AE27" s="319">
        <v>1.0</v>
      </c>
      <c r="AF27" s="320">
        <f>'PL Cronograma detallado'!L76*AE27</f>
        <v>7.73</v>
      </c>
      <c r="AG27" s="319" t="str">
        <f>AF27/'PL Cronograma detallado'!M$257</f>
        <v>#DIV/0!</v>
      </c>
      <c r="AH27" s="319" t="str">
        <f>AG27+AH25</f>
        <v>#DIV/0!</v>
      </c>
    </row>
    <row r="28" ht="15.75" customHeight="1">
      <c r="A28" s="157" t="s">
        <v>131</v>
      </c>
      <c r="B28" s="159" t="s">
        <v>304</v>
      </c>
      <c r="C28" s="160">
        <v>44670.0</v>
      </c>
      <c r="D28" s="160">
        <v>44671.0</v>
      </c>
      <c r="E28" s="162" t="str">
        <f t="shared" si="25"/>
        <v>#NAME?</v>
      </c>
      <c r="F28" s="80">
        <v>2.0</v>
      </c>
      <c r="G28" s="47">
        <f t="shared" ref="G28:G36" si="53">F28/F$105</f>
        <v>0.00227014756</v>
      </c>
      <c r="H28" s="39">
        <f t="shared" ref="H28:H37" si="54">SUM(H27,G28)</f>
        <v>0.04540295119</v>
      </c>
      <c r="I28" s="169" t="str">
        <f t="shared" si="44"/>
        <v>#REF!</v>
      </c>
      <c r="J28" s="321" t="str">
        <f t="shared" ref="J28:J36" si="55">SUM(I28,J27)</f>
        <v>#REF!</v>
      </c>
      <c r="K28" s="322" t="str">
        <f t="shared" si="11"/>
        <v>#REF!</v>
      </c>
      <c r="L28" s="179" t="str">
        <f t="shared" si="45"/>
        <v>#REF!</v>
      </c>
      <c r="M28" s="179" t="str">
        <f t="shared" ref="M28:M36" si="56">SUM(L28,M27)</f>
        <v>#REF!</v>
      </c>
      <c r="N28" s="47">
        <f t="shared" si="46"/>
        <v>0.00227014756</v>
      </c>
      <c r="O28" s="47">
        <f t="shared" ref="O28:O36" si="57">SUM(N28,O27)</f>
        <v>0.04426787741</v>
      </c>
      <c r="P28" s="47" t="str">
        <f t="shared" si="6"/>
        <v>#REF!</v>
      </c>
      <c r="Q28" s="188">
        <f t="shared" si="47"/>
        <v>0</v>
      </c>
      <c r="R28" s="189">
        <v>0.0</v>
      </c>
      <c r="S28" s="190" t="s">
        <v>64</v>
      </c>
      <c r="T28" s="190">
        <f t="shared" si="48"/>
        <v>0.68</v>
      </c>
      <c r="U28" s="189">
        <f t="shared" si="49"/>
        <v>0</v>
      </c>
      <c r="V28" s="198" t="str">
        <f t="shared" si="50"/>
        <v>#REF!</v>
      </c>
      <c r="W28" s="202" t="str">
        <f>'CD R Documentación'!O29+'CD R Documentación'!T29+'CD R Documentación'!Y29+'CD R Documentación'!AD29+'CD R Documentación'!AI29+'CD R Documentación'!AN29+#REF!</f>
        <v>#REF!</v>
      </c>
      <c r="X28" s="85" t="str">
        <f>'CD R Documentación'!R29+'CD R Documentación'!W29+'CD R Documentación'!AB29+'CD R Documentación'!AG29+'CD R Documentación'!AL29+'CD R Documentación'!AQ29+#REF!</f>
        <v>#REF!</v>
      </c>
      <c r="Y28" s="203">
        <f t="shared" si="51"/>
        <v>0</v>
      </c>
      <c r="Z28" s="204">
        <f>'CD R Investigación'!P29+'CD R Investigación'!U29+'CD R Investigación'!Z29+'CD R Investigación'!AE29+'CD R Investigación'!AJ29+'CD R Investigación'!AO29+'CD R Investigación'!AT29+'CD R Investigación'!AY29</f>
        <v>0</v>
      </c>
      <c r="AA28" s="204">
        <f>'CD R Investigación'!S29+'CD R Investigación'!X29+'CD R Investigación'!AC29+'CD R Investigación'!AH29+'CD R Investigación'!AM29+'CD R Investigación'!AR29+'CD R Investigación'!AW29+'CD R Investigación'!BB29</f>
        <v>0</v>
      </c>
      <c r="AB28" s="205" t="str">
        <f t="shared" si="52"/>
        <v>#REF!</v>
      </c>
      <c r="AC28" s="207" t="str">
        <f>'CD R Desarrollo'!P29+'CD R Desarrollo'!U29+'CD R Desarrollo'!Z29+'CD R Desarrollo'!AE29+'CD R Desarrollo'!AJ29+'CD R Desarrollo'!AO29+#REF!+#REF!</f>
        <v>#REF!</v>
      </c>
      <c r="AD28" s="207" t="str">
        <f>'CD R Desarrollo'!S29+'CD R Desarrollo'!X29+'CD R Desarrollo'!AC29+'CD R Desarrollo'!AH29+'CD R Desarrollo'!AM29+'CD R Desarrollo'!AR29+#REF!+#REF!</f>
        <v>#REF!</v>
      </c>
      <c r="AE28" s="211">
        <v>1.0</v>
      </c>
      <c r="AF28" s="210">
        <f>'PL Cronograma detallado'!L78*AE28</f>
        <v>6.84</v>
      </c>
      <c r="AG28" s="211" t="str">
        <f>AF28/'PL Cronograma detallado'!M$257</f>
        <v>#DIV/0!</v>
      </c>
      <c r="AH28" s="211" t="str">
        <f t="shared" ref="AH28:AH36" si="58">AG28+AH27</f>
        <v>#DIV/0!</v>
      </c>
    </row>
    <row r="29" ht="15.75" customHeight="1">
      <c r="A29" s="157" t="s">
        <v>133</v>
      </c>
      <c r="B29" s="159" t="s">
        <v>313</v>
      </c>
      <c r="C29" s="160">
        <v>44670.0</v>
      </c>
      <c r="D29" s="160">
        <v>44671.0</v>
      </c>
      <c r="E29" s="162" t="str">
        <f t="shared" si="25"/>
        <v>#NAME?</v>
      </c>
      <c r="F29" s="80">
        <v>2.0</v>
      </c>
      <c r="G29" s="47">
        <f t="shared" si="53"/>
        <v>0.00227014756</v>
      </c>
      <c r="H29" s="39">
        <f t="shared" si="54"/>
        <v>0.04767309875</v>
      </c>
      <c r="I29" s="169" t="str">
        <f t="shared" si="44"/>
        <v>#REF!</v>
      </c>
      <c r="J29" s="321" t="str">
        <f t="shared" si="55"/>
        <v>#REF!</v>
      </c>
      <c r="K29" s="322" t="str">
        <f t="shared" si="11"/>
        <v>#REF!</v>
      </c>
      <c r="L29" s="179" t="str">
        <f t="shared" si="45"/>
        <v>#REF!</v>
      </c>
      <c r="M29" s="179" t="str">
        <f t="shared" si="56"/>
        <v>#REF!</v>
      </c>
      <c r="N29" s="47">
        <f t="shared" si="46"/>
        <v>0.00227014756</v>
      </c>
      <c r="O29" s="47">
        <f t="shared" si="57"/>
        <v>0.04653802497</v>
      </c>
      <c r="P29" s="47" t="str">
        <f t="shared" si="6"/>
        <v>#REF!</v>
      </c>
      <c r="Q29" s="188">
        <f t="shared" si="47"/>
        <v>0</v>
      </c>
      <c r="R29" s="189">
        <v>0.0</v>
      </c>
      <c r="S29" s="190" t="s">
        <v>64</v>
      </c>
      <c r="T29" s="190">
        <f t="shared" si="48"/>
        <v>0.68</v>
      </c>
      <c r="U29" s="189">
        <f t="shared" si="49"/>
        <v>0</v>
      </c>
      <c r="V29" s="198" t="str">
        <f t="shared" si="50"/>
        <v>#REF!</v>
      </c>
      <c r="W29" s="202" t="str">
        <f>'CD R Documentación'!O30+'CD R Documentación'!T30+'CD R Documentación'!Y30+'CD R Documentación'!AD30+'CD R Documentación'!AI30+'CD R Documentación'!AN30+#REF!</f>
        <v>#REF!</v>
      </c>
      <c r="X29" s="85" t="str">
        <f>'CD R Documentación'!R30+'CD R Documentación'!W30+'CD R Documentación'!AB30+'CD R Documentación'!AG30+'CD R Documentación'!AL30+'CD R Documentación'!AQ30+#REF!</f>
        <v>#REF!</v>
      </c>
      <c r="Y29" s="203">
        <f t="shared" si="51"/>
        <v>0</v>
      </c>
      <c r="Z29" s="204">
        <f>'CD R Investigación'!P30+'CD R Investigación'!U30+'CD R Investigación'!Z30+'CD R Investigación'!AE30+'CD R Investigación'!AJ30+'CD R Investigación'!AO30+'CD R Investigación'!AT30+'CD R Investigación'!AY30</f>
        <v>0</v>
      </c>
      <c r="AA29" s="204">
        <f>'CD R Investigación'!S30+'CD R Investigación'!X30+'CD R Investigación'!AC30+'CD R Investigación'!AH30+'CD R Investigación'!AM30+'CD R Investigación'!AR30+'CD R Investigación'!AW30+'CD R Investigación'!BB30</f>
        <v>0</v>
      </c>
      <c r="AB29" s="205" t="str">
        <f t="shared" si="52"/>
        <v>#REF!</v>
      </c>
      <c r="AC29" s="207" t="str">
        <f>'CD R Desarrollo'!P30+'CD R Desarrollo'!U30+'CD R Desarrollo'!Z30+'CD R Desarrollo'!AE30+'CD R Desarrollo'!AJ30+'CD R Desarrollo'!AO30+#REF!+#REF!</f>
        <v>#REF!</v>
      </c>
      <c r="AD29" s="207" t="str">
        <f>'CD R Desarrollo'!S30+'CD R Desarrollo'!X30+'CD R Desarrollo'!AC30+'CD R Desarrollo'!AH30+'CD R Desarrollo'!AM30+'CD R Desarrollo'!AR30+#REF!+#REF!</f>
        <v>#REF!</v>
      </c>
      <c r="AE29" s="211">
        <v>1.0</v>
      </c>
      <c r="AF29" s="210">
        <f>'PL Cronograma detallado'!L79*AE29</f>
        <v>0</v>
      </c>
      <c r="AG29" s="211" t="str">
        <f>AF29/'PL Cronograma detallado'!M$257</f>
        <v>#DIV/0!</v>
      </c>
      <c r="AH29" s="211" t="str">
        <f t="shared" si="58"/>
        <v>#DIV/0!</v>
      </c>
    </row>
    <row r="30" ht="15.75" customHeight="1">
      <c r="A30" s="157" t="s">
        <v>135</v>
      </c>
      <c r="B30" s="159" t="s">
        <v>328</v>
      </c>
      <c r="C30" s="160">
        <v>44671.0</v>
      </c>
      <c r="D30" s="160">
        <v>44677.0</v>
      </c>
      <c r="E30" s="162" t="str">
        <f t="shared" si="25"/>
        <v>#NAME?</v>
      </c>
      <c r="F30" s="80">
        <v>14.0</v>
      </c>
      <c r="G30" s="47">
        <f t="shared" si="53"/>
        <v>0.01589103292</v>
      </c>
      <c r="H30" s="39">
        <f t="shared" si="54"/>
        <v>0.06356413167</v>
      </c>
      <c r="I30" s="169" t="str">
        <f t="shared" si="44"/>
        <v>#REF!</v>
      </c>
      <c r="J30" s="321" t="str">
        <f t="shared" si="55"/>
        <v>#REF!</v>
      </c>
      <c r="K30" s="322" t="str">
        <f t="shared" si="11"/>
        <v>#REF!</v>
      </c>
      <c r="L30" s="179" t="str">
        <f t="shared" si="45"/>
        <v>#REF!</v>
      </c>
      <c r="M30" s="179" t="str">
        <f t="shared" si="56"/>
        <v>#REF!</v>
      </c>
      <c r="N30" s="47">
        <f t="shared" si="46"/>
        <v>0.01589103292</v>
      </c>
      <c r="O30" s="47">
        <f t="shared" si="57"/>
        <v>0.06242905789</v>
      </c>
      <c r="P30" s="47" t="str">
        <f t="shared" si="6"/>
        <v>#REF!</v>
      </c>
      <c r="Q30" s="188">
        <f t="shared" si="47"/>
        <v>0</v>
      </c>
      <c r="R30" s="189">
        <v>0.0</v>
      </c>
      <c r="S30" s="190" t="s">
        <v>64</v>
      </c>
      <c r="T30" s="190">
        <f t="shared" si="48"/>
        <v>0.68</v>
      </c>
      <c r="U30" s="189">
        <f t="shared" si="49"/>
        <v>0</v>
      </c>
      <c r="V30" s="198" t="str">
        <f t="shared" si="50"/>
        <v>#REF!</v>
      </c>
      <c r="W30" s="202" t="str">
        <f>'CD R Documentación'!O31+'CD R Documentación'!T31+'CD R Documentación'!Y31+'CD R Documentación'!AD31+'CD R Documentación'!AI31+'CD R Documentación'!AN31+#REF!</f>
        <v>#REF!</v>
      </c>
      <c r="X30" s="85" t="str">
        <f>'CD R Documentación'!R31+'CD R Documentación'!W31+'CD R Documentación'!AB31+'CD R Documentación'!AG31+'CD R Documentación'!AL31+'CD R Documentación'!AQ31+#REF!</f>
        <v>#REF!</v>
      </c>
      <c r="Y30" s="203">
        <f t="shared" si="51"/>
        <v>0</v>
      </c>
      <c r="Z30" s="204">
        <f>'CD R Investigación'!P31+'CD R Investigación'!U31+'CD R Investigación'!Z31+'CD R Investigación'!AE31+'CD R Investigación'!AJ31+'CD R Investigación'!AO31+'CD R Investigación'!AT31+'CD R Investigación'!AY31</f>
        <v>0</v>
      </c>
      <c r="AA30" s="204">
        <f>'CD R Investigación'!S31+'CD R Investigación'!X31+'CD R Investigación'!AC31+'CD R Investigación'!AH31+'CD R Investigación'!AM31+'CD R Investigación'!AR31+'CD R Investigación'!AW31+'CD R Investigación'!BB31</f>
        <v>0</v>
      </c>
      <c r="AB30" s="205" t="str">
        <f t="shared" si="52"/>
        <v>#REF!</v>
      </c>
      <c r="AC30" s="207" t="str">
        <f>'CD R Desarrollo'!P31+'CD R Desarrollo'!U31+'CD R Desarrollo'!Z31+'CD R Desarrollo'!AE31+'CD R Desarrollo'!AJ31+'CD R Desarrollo'!AO31+#REF!+#REF!</f>
        <v>#REF!</v>
      </c>
      <c r="AD30" s="207" t="str">
        <f>'CD R Desarrollo'!S31+'CD R Desarrollo'!X31+'CD R Desarrollo'!AC31+'CD R Desarrollo'!AH31+'CD R Desarrollo'!AM31+'CD R Desarrollo'!AR31+#REF!+#REF!</f>
        <v>#REF!</v>
      </c>
      <c r="AE30" s="211">
        <v>1.0</v>
      </c>
      <c r="AF30" s="210">
        <f>'PL Cronograma detallado'!L80*AE30</f>
        <v>162.08</v>
      </c>
      <c r="AG30" s="211" t="str">
        <f>AF30/'PL Cronograma detallado'!M$257</f>
        <v>#DIV/0!</v>
      </c>
      <c r="AH30" s="211" t="str">
        <f t="shared" si="58"/>
        <v>#DIV/0!</v>
      </c>
    </row>
    <row r="31" ht="15.75" customHeight="1">
      <c r="A31" s="157" t="s">
        <v>137</v>
      </c>
      <c r="B31" s="159" t="s">
        <v>335</v>
      </c>
      <c r="C31" s="160">
        <v>44673.0</v>
      </c>
      <c r="D31" s="160">
        <v>44673.0</v>
      </c>
      <c r="E31" s="162" t="str">
        <f t="shared" si="25"/>
        <v>#NAME?</v>
      </c>
      <c r="F31" s="80">
        <v>1.0</v>
      </c>
      <c r="G31" s="47">
        <f t="shared" si="53"/>
        <v>0.00113507378</v>
      </c>
      <c r="H31" s="39">
        <f t="shared" si="54"/>
        <v>0.06469920545</v>
      </c>
      <c r="I31" s="169" t="str">
        <f t="shared" si="44"/>
        <v>#REF!</v>
      </c>
      <c r="J31" s="329" t="str">
        <f t="shared" si="55"/>
        <v>#REF!</v>
      </c>
      <c r="K31" s="322" t="str">
        <f t="shared" si="11"/>
        <v>#REF!</v>
      </c>
      <c r="L31" s="179" t="str">
        <f t="shared" si="45"/>
        <v>#REF!</v>
      </c>
      <c r="M31" s="179" t="str">
        <f t="shared" si="56"/>
        <v>#REF!</v>
      </c>
      <c r="N31" s="47">
        <f t="shared" si="46"/>
        <v>0.00113507378</v>
      </c>
      <c r="O31" s="47">
        <f t="shared" si="57"/>
        <v>0.06356413167</v>
      </c>
      <c r="P31" s="47" t="str">
        <f t="shared" si="6"/>
        <v>#REF!</v>
      </c>
      <c r="Q31" s="188">
        <f t="shared" si="47"/>
        <v>1</v>
      </c>
      <c r="R31" s="189">
        <v>1.0</v>
      </c>
      <c r="S31" s="190" t="s">
        <v>64</v>
      </c>
      <c r="T31" s="190">
        <f t="shared" si="48"/>
        <v>0.68</v>
      </c>
      <c r="U31" s="189">
        <f t="shared" si="49"/>
        <v>0.68</v>
      </c>
      <c r="V31" s="198">
        <f t="shared" si="50"/>
        <v>1</v>
      </c>
      <c r="W31" s="202">
        <v>1.0</v>
      </c>
      <c r="X31" s="85" t="str">
        <f>'CD R Documentación'!R32+'CD R Documentación'!W32+'CD R Documentación'!AB32+'CD R Documentación'!AG32+'CD R Documentación'!AL32+'CD R Documentación'!AQ32+#REF!</f>
        <v>#REF!</v>
      </c>
      <c r="Y31" s="203">
        <f t="shared" si="51"/>
        <v>1</v>
      </c>
      <c r="Z31" s="204">
        <v>1.0</v>
      </c>
      <c r="AA31" s="204">
        <f>'CD R Investigación'!S32+'CD R Investigación'!X32+'CD R Investigación'!AC32+'CD R Investigación'!AH32+'CD R Investigación'!AM32+'CD R Investigación'!AR32+'CD R Investigación'!AW32+'CD R Investigación'!BB32</f>
        <v>2.64</v>
      </c>
      <c r="AB31" s="205" t="str">
        <f t="shared" si="52"/>
        <v>#REF!</v>
      </c>
      <c r="AC31" s="207" t="str">
        <f>'CD R Desarrollo'!P32+'CD R Desarrollo'!U32+'CD R Desarrollo'!Z32+'CD R Desarrollo'!AE32+'CD R Desarrollo'!AJ32+'CD R Desarrollo'!AO32+#REF!+#REF!</f>
        <v>#REF!</v>
      </c>
      <c r="AD31" s="207" t="str">
        <f>'CD R Desarrollo'!S32+'CD R Desarrollo'!X32+'CD R Desarrollo'!AC32+'CD R Desarrollo'!AH32+'CD R Desarrollo'!AM32+'CD R Desarrollo'!AR32+#REF!+#REF!</f>
        <v>#REF!</v>
      </c>
      <c r="AE31" s="211">
        <v>1.0</v>
      </c>
      <c r="AF31" s="210">
        <f>'PL Cronograma detallado'!L127*AE31</f>
        <v>10.6</v>
      </c>
      <c r="AG31" s="211" t="str">
        <f>AF31/'PL Cronograma detallado'!M$257</f>
        <v>#DIV/0!</v>
      </c>
      <c r="AH31" s="211" t="str">
        <f t="shared" si="58"/>
        <v>#DIV/0!</v>
      </c>
    </row>
    <row r="32" ht="15.75" customHeight="1">
      <c r="A32" s="157" t="s">
        <v>139</v>
      </c>
      <c r="B32" s="159" t="s">
        <v>342</v>
      </c>
      <c r="C32" s="160">
        <v>44674.0</v>
      </c>
      <c r="D32" s="160">
        <v>44674.0</v>
      </c>
      <c r="E32" s="162" t="str">
        <f t="shared" si="25"/>
        <v>#NAME?</v>
      </c>
      <c r="F32" s="80">
        <v>2.0</v>
      </c>
      <c r="G32" s="47">
        <f t="shared" si="53"/>
        <v>0.00227014756</v>
      </c>
      <c r="H32" s="39">
        <f t="shared" si="54"/>
        <v>0.06696935301</v>
      </c>
      <c r="I32" s="169" t="str">
        <f t="shared" si="44"/>
        <v>#REF!</v>
      </c>
      <c r="J32" s="321" t="str">
        <f t="shared" si="55"/>
        <v>#REF!</v>
      </c>
      <c r="K32" s="322" t="str">
        <f t="shared" si="11"/>
        <v>#REF!</v>
      </c>
      <c r="L32" s="179" t="str">
        <f t="shared" si="45"/>
        <v>#REF!</v>
      </c>
      <c r="M32" s="179" t="str">
        <f t="shared" si="56"/>
        <v>#REF!</v>
      </c>
      <c r="N32" s="47">
        <f t="shared" si="46"/>
        <v>0.00227014756</v>
      </c>
      <c r="O32" s="47">
        <f t="shared" si="57"/>
        <v>0.06583427923</v>
      </c>
      <c r="P32" s="47" t="str">
        <f t="shared" si="6"/>
        <v>#REF!</v>
      </c>
      <c r="Q32" s="188">
        <f t="shared" si="47"/>
        <v>0</v>
      </c>
      <c r="R32" s="189">
        <v>0.0</v>
      </c>
      <c r="S32" s="190" t="s">
        <v>64</v>
      </c>
      <c r="T32" s="190">
        <f t="shared" si="48"/>
        <v>0.68</v>
      </c>
      <c r="U32" s="189">
        <f t="shared" si="49"/>
        <v>0</v>
      </c>
      <c r="V32" s="198" t="str">
        <f t="shared" si="50"/>
        <v>#REF!</v>
      </c>
      <c r="W32" s="202" t="str">
        <f>'CD R Documentación'!O33+'CD R Documentación'!T33+'CD R Documentación'!Y33+'CD R Documentación'!AD33+'CD R Documentación'!AI33+'CD R Documentación'!AN33+#REF!</f>
        <v>#REF!</v>
      </c>
      <c r="X32" s="85" t="str">
        <f>'CD R Documentación'!R33+'CD R Documentación'!W33+'CD R Documentación'!AB33+'CD R Documentación'!AG33+'CD R Documentación'!AL33+'CD R Documentación'!AQ33+#REF!</f>
        <v>#REF!</v>
      </c>
      <c r="Y32" s="203">
        <f t="shared" si="51"/>
        <v>3</v>
      </c>
      <c r="Z32" s="204">
        <f>'CD R Investigación'!P33+'CD R Investigación'!U33+'CD R Investigación'!Z33+'CD R Investigación'!AE33+'CD R Investigación'!AJ33+'CD R Investigación'!AO33+'CD R Investigación'!AT33+'CD R Investigación'!AY33</f>
        <v>6</v>
      </c>
      <c r="AA32" s="204">
        <f>'CD R Investigación'!S33+'CD R Investigación'!X33+'CD R Investigación'!AC33+'CD R Investigación'!AH33+'CD R Investigación'!AM33+'CD R Investigación'!AR33+'CD R Investigación'!AW33+'CD R Investigación'!BB33</f>
        <v>2.64</v>
      </c>
      <c r="AB32" s="205" t="str">
        <f t="shared" si="52"/>
        <v>#REF!</v>
      </c>
      <c r="AC32" s="207" t="str">
        <f>'CD R Desarrollo'!P33+'CD R Desarrollo'!U33+'CD R Desarrollo'!Z33+'CD R Desarrollo'!AE33+'CD R Desarrollo'!AJ33+'CD R Desarrollo'!AO33+#REF!+#REF!</f>
        <v>#REF!</v>
      </c>
      <c r="AD32" s="207" t="str">
        <f>'CD R Desarrollo'!S33+'CD R Desarrollo'!X33+'CD R Desarrollo'!AC33+'CD R Desarrollo'!AH33+'CD R Desarrollo'!AM33+'CD R Desarrollo'!AR33+#REF!+#REF!</f>
        <v>#REF!</v>
      </c>
      <c r="AE32" s="211">
        <v>1.0</v>
      </c>
      <c r="AF32" s="210">
        <f>'PL Cronograma detallado'!L128*AE32</f>
        <v>4.54</v>
      </c>
      <c r="AG32" s="211" t="str">
        <f>AF32/'PL Cronograma detallado'!M$257</f>
        <v>#DIV/0!</v>
      </c>
      <c r="AH32" s="211" t="str">
        <f t="shared" si="58"/>
        <v>#DIV/0!</v>
      </c>
    </row>
    <row r="33" ht="15.75" customHeight="1">
      <c r="A33" s="157" t="s">
        <v>141</v>
      </c>
      <c r="B33" s="338" t="s">
        <v>347</v>
      </c>
      <c r="C33" s="160">
        <v>44676.0</v>
      </c>
      <c r="D33" s="160">
        <v>44688.0</v>
      </c>
      <c r="E33" s="162" t="str">
        <f t="shared" si="25"/>
        <v>#NAME?</v>
      </c>
      <c r="F33" s="80">
        <v>10.0</v>
      </c>
      <c r="G33" s="47">
        <f t="shared" si="53"/>
        <v>0.0113507378</v>
      </c>
      <c r="H33" s="39">
        <f t="shared" si="54"/>
        <v>0.07832009081</v>
      </c>
      <c r="I33" s="169" t="str">
        <f t="shared" si="44"/>
        <v>#REF!</v>
      </c>
      <c r="J33" s="321" t="str">
        <f t="shared" si="55"/>
        <v>#REF!</v>
      </c>
      <c r="K33" s="322" t="str">
        <f t="shared" si="11"/>
        <v>#REF!</v>
      </c>
      <c r="L33" s="179" t="str">
        <f t="shared" si="45"/>
        <v>#REF!</v>
      </c>
      <c r="M33" s="179" t="str">
        <f t="shared" si="56"/>
        <v>#REF!</v>
      </c>
      <c r="N33" s="47">
        <f t="shared" si="46"/>
        <v>0.0113507378</v>
      </c>
      <c r="O33" s="47">
        <f t="shared" si="57"/>
        <v>0.07718501703</v>
      </c>
      <c r="P33" s="47" t="str">
        <f t="shared" si="6"/>
        <v>#REF!</v>
      </c>
      <c r="Q33" s="188">
        <f t="shared" si="47"/>
        <v>0</v>
      </c>
      <c r="R33" s="189">
        <v>0.0</v>
      </c>
      <c r="S33" s="190" t="s">
        <v>64</v>
      </c>
      <c r="T33" s="190">
        <f t="shared" si="48"/>
        <v>0.68</v>
      </c>
      <c r="U33" s="189">
        <f t="shared" si="49"/>
        <v>0</v>
      </c>
      <c r="V33" s="198" t="str">
        <f t="shared" si="50"/>
        <v>#REF!</v>
      </c>
      <c r="W33" s="202" t="str">
        <f>'CD R Documentación'!O34+'CD R Documentación'!T34+'CD R Documentación'!Y34+'CD R Documentación'!AD34+'CD R Documentación'!AI34+'CD R Documentación'!AN34+#REF!</f>
        <v>#REF!</v>
      </c>
      <c r="X33" s="85" t="str">
        <f>'CD R Documentación'!R34+'CD R Documentación'!W34+'CD R Documentación'!AB34+'CD R Documentación'!AG34+'CD R Documentación'!AL34+'CD R Documentación'!AQ34+#REF!</f>
        <v>#REF!</v>
      </c>
      <c r="Y33" s="203">
        <f t="shared" si="51"/>
        <v>0.6</v>
      </c>
      <c r="Z33" s="204">
        <f>'CD R Investigación'!P34+'CD R Investigación'!U34+'CD R Investigación'!Z34+'CD R Investigación'!AE34+'CD R Investigación'!AJ34+'CD R Investigación'!AO34+'CD R Investigación'!AT34+'CD R Investigación'!AY34</f>
        <v>6</v>
      </c>
      <c r="AA33" s="204">
        <f>'CD R Investigación'!S34+'CD R Investigación'!X34+'CD R Investigación'!AC34+'CD R Investigación'!AH34+'CD R Investigación'!AM34+'CD R Investigación'!AR34+'CD R Investigación'!AW34+'CD R Investigación'!BB34</f>
        <v>2.64</v>
      </c>
      <c r="AB33" s="205" t="str">
        <f t="shared" si="52"/>
        <v>#REF!</v>
      </c>
      <c r="AC33" s="207" t="str">
        <f>'CD R Desarrollo'!P34+'CD R Desarrollo'!U34+'CD R Desarrollo'!Z34+'CD R Desarrollo'!AE34+'CD R Desarrollo'!AJ34+'CD R Desarrollo'!AO34+#REF!+#REF!</f>
        <v>#REF!</v>
      </c>
      <c r="AD33" s="207" t="str">
        <f>'CD R Desarrollo'!S34+'CD R Desarrollo'!X34+'CD R Desarrollo'!AC34+'CD R Desarrollo'!AH34+'CD R Desarrollo'!AM34+'CD R Desarrollo'!AR34+#REF!+#REF!</f>
        <v>#REF!</v>
      </c>
      <c r="AE33" s="211">
        <v>1.0</v>
      </c>
      <c r="AF33" s="210">
        <f>'PL Cronograma detallado'!L129*AE33</f>
        <v>4.54</v>
      </c>
      <c r="AG33" s="211" t="str">
        <f>AF33/'PL Cronograma detallado'!M$257</f>
        <v>#DIV/0!</v>
      </c>
      <c r="AH33" s="211" t="str">
        <f t="shared" si="58"/>
        <v>#DIV/0!</v>
      </c>
    </row>
    <row r="34" ht="15.75" customHeight="1">
      <c r="A34" s="157" t="s">
        <v>143</v>
      </c>
      <c r="B34" s="338" t="s">
        <v>354</v>
      </c>
      <c r="C34" s="160">
        <v>44676.0</v>
      </c>
      <c r="D34" s="160">
        <v>44695.0</v>
      </c>
      <c r="E34" s="162" t="str">
        <f t="shared" si="25"/>
        <v>#NAME?</v>
      </c>
      <c r="F34" s="80">
        <v>10.0</v>
      </c>
      <c r="G34" s="47">
        <f t="shared" si="53"/>
        <v>0.0113507378</v>
      </c>
      <c r="H34" s="39">
        <f t="shared" si="54"/>
        <v>0.0896708286</v>
      </c>
      <c r="I34" s="169" t="str">
        <f t="shared" si="44"/>
        <v>#REF!</v>
      </c>
      <c r="J34" s="321" t="str">
        <f t="shared" si="55"/>
        <v>#REF!</v>
      </c>
      <c r="K34" s="322" t="str">
        <f t="shared" si="11"/>
        <v>#REF!</v>
      </c>
      <c r="L34" s="179" t="str">
        <f t="shared" si="45"/>
        <v>#REF!</v>
      </c>
      <c r="M34" s="179" t="str">
        <f t="shared" si="56"/>
        <v>#REF!</v>
      </c>
      <c r="N34" s="47">
        <f t="shared" si="46"/>
        <v>0.0113507378</v>
      </c>
      <c r="O34" s="47">
        <f t="shared" si="57"/>
        <v>0.08853575482</v>
      </c>
      <c r="P34" s="47" t="str">
        <f t="shared" si="6"/>
        <v>#REF!</v>
      </c>
      <c r="Q34" s="188">
        <f t="shared" si="47"/>
        <v>0</v>
      </c>
      <c r="R34" s="189">
        <v>0.0</v>
      </c>
      <c r="S34" s="190" t="s">
        <v>64</v>
      </c>
      <c r="T34" s="190">
        <f t="shared" si="48"/>
        <v>0.68</v>
      </c>
      <c r="U34" s="189">
        <f t="shared" si="49"/>
        <v>0</v>
      </c>
      <c r="V34" s="198" t="str">
        <f t="shared" si="50"/>
        <v>#REF!</v>
      </c>
      <c r="W34" s="202" t="str">
        <f>'CD R Documentación'!O35+'CD R Documentación'!T35+'CD R Documentación'!Y35+'CD R Documentación'!AD35+'CD R Documentación'!AI35+'CD R Documentación'!AN35+#REF!</f>
        <v>#REF!</v>
      </c>
      <c r="X34" s="85" t="str">
        <f>'CD R Documentación'!R35+'CD R Documentación'!W35+'CD R Documentación'!AB35+'CD R Documentación'!AG35+'CD R Documentación'!AL35+'CD R Documentación'!AQ35+#REF!</f>
        <v>#REF!</v>
      </c>
      <c r="Y34" s="203">
        <f t="shared" si="51"/>
        <v>0.4</v>
      </c>
      <c r="Z34" s="204">
        <f>'CD R Investigación'!P35+'CD R Investigación'!U35+'CD R Investigación'!Z35+'CD R Investigación'!AE35+'CD R Investigación'!AJ35+'CD R Investigación'!AO35+'CD R Investigación'!AT35+'CD R Investigación'!AY35</f>
        <v>4</v>
      </c>
      <c r="AA34" s="204">
        <f>'CD R Investigación'!S35+'CD R Investigación'!X35+'CD R Investigación'!AC35+'CD R Investigación'!AH35+'CD R Investigación'!AM35+'CD R Investigación'!AR35+'CD R Investigación'!AW35+'CD R Investigación'!BB35</f>
        <v>1.76</v>
      </c>
      <c r="AB34" s="205" t="str">
        <f t="shared" si="52"/>
        <v>#REF!</v>
      </c>
      <c r="AC34" s="207" t="str">
        <f>'CD R Desarrollo'!P35+'CD R Desarrollo'!U35+'CD R Desarrollo'!Z35+'CD R Desarrollo'!AE35+'CD R Desarrollo'!AJ35+'CD R Desarrollo'!AO35+#REF!+#REF!</f>
        <v>#REF!</v>
      </c>
      <c r="AD34" s="207" t="str">
        <f>'CD R Desarrollo'!S35+'CD R Desarrollo'!X35+'CD R Desarrollo'!AC35+'CD R Desarrollo'!AH35+'CD R Desarrollo'!AM35+'CD R Desarrollo'!AR35+#REF!+#REF!</f>
        <v>#REF!</v>
      </c>
      <c r="AE34" s="211">
        <v>1.0</v>
      </c>
      <c r="AF34" s="210">
        <f>'PL Cronograma detallado'!L131*AE34</f>
        <v>12.05</v>
      </c>
      <c r="AG34" s="211" t="str">
        <f>AF34/'PL Cronograma detallado'!M$257</f>
        <v>#DIV/0!</v>
      </c>
      <c r="AH34" s="211" t="str">
        <f t="shared" si="58"/>
        <v>#DIV/0!</v>
      </c>
    </row>
    <row r="35" ht="15.75" customHeight="1">
      <c r="A35" s="157" t="s">
        <v>359</v>
      </c>
      <c r="B35" s="338" t="s">
        <v>360</v>
      </c>
      <c r="C35" s="160">
        <v>44676.0</v>
      </c>
      <c r="D35" s="160">
        <v>44695.0</v>
      </c>
      <c r="E35" s="162" t="str">
        <f t="shared" si="25"/>
        <v>#NAME?</v>
      </c>
      <c r="F35" s="80">
        <v>10.0</v>
      </c>
      <c r="G35" s="47">
        <f t="shared" si="53"/>
        <v>0.0113507378</v>
      </c>
      <c r="H35" s="39">
        <f t="shared" si="54"/>
        <v>0.1010215664</v>
      </c>
      <c r="I35" s="169" t="str">
        <f t="shared" si="44"/>
        <v>#REF!</v>
      </c>
      <c r="J35" s="321" t="str">
        <f t="shared" si="55"/>
        <v>#REF!</v>
      </c>
      <c r="K35" s="322" t="str">
        <f t="shared" si="11"/>
        <v>#REF!</v>
      </c>
      <c r="L35" s="179" t="str">
        <f t="shared" si="45"/>
        <v>#REF!</v>
      </c>
      <c r="M35" s="179" t="str">
        <f t="shared" si="56"/>
        <v>#REF!</v>
      </c>
      <c r="N35" s="47">
        <f t="shared" si="46"/>
        <v>0.0113507378</v>
      </c>
      <c r="O35" s="47">
        <f t="shared" si="57"/>
        <v>0.09988649262</v>
      </c>
      <c r="P35" s="47" t="str">
        <f t="shared" si="6"/>
        <v>#REF!</v>
      </c>
      <c r="Q35" s="188">
        <f t="shared" si="47"/>
        <v>0</v>
      </c>
      <c r="R35" s="189">
        <v>0.0</v>
      </c>
      <c r="S35" s="190" t="s">
        <v>64</v>
      </c>
      <c r="T35" s="190">
        <f t="shared" si="48"/>
        <v>0.68</v>
      </c>
      <c r="U35" s="189">
        <f t="shared" si="49"/>
        <v>0</v>
      </c>
      <c r="V35" s="198" t="str">
        <f t="shared" si="50"/>
        <v>#REF!</v>
      </c>
      <c r="W35" s="202" t="str">
        <f>'CD R Documentación'!O36+'CD R Documentación'!T36+'CD R Documentación'!Y36+'CD R Documentación'!AD36+'CD R Documentación'!AI36+'CD R Documentación'!AN36+#REF!</f>
        <v>#REF!</v>
      </c>
      <c r="X35" s="85" t="str">
        <f>'CD R Documentación'!R36+'CD R Documentación'!W36+'CD R Documentación'!AB36+'CD R Documentación'!AG36+'CD R Documentación'!AL36+'CD R Documentación'!AQ36+#REF!</f>
        <v>#REF!</v>
      </c>
      <c r="Y35" s="203">
        <f t="shared" si="51"/>
        <v>0.8</v>
      </c>
      <c r="Z35" s="204">
        <f>'CD R Investigación'!P36+'CD R Investigación'!U36+'CD R Investigación'!Z36+'CD R Investigación'!AE36+'CD R Investigación'!AJ36+'CD R Investigación'!AO36+'CD R Investigación'!AT36+'CD R Investigación'!AY36</f>
        <v>8</v>
      </c>
      <c r="AA35" s="204">
        <f>'CD R Investigación'!S36+'CD R Investigación'!X36+'CD R Investigación'!AC36+'CD R Investigación'!AH36+'CD R Investigación'!AM36+'CD R Investigación'!AR36+'CD R Investigación'!AW36+'CD R Investigación'!BB36</f>
        <v>3.52</v>
      </c>
      <c r="AB35" s="205" t="str">
        <f t="shared" si="52"/>
        <v>#REF!</v>
      </c>
      <c r="AC35" s="207" t="str">
        <f>'CD R Desarrollo'!P36+'CD R Desarrollo'!U36+'CD R Desarrollo'!Z36+'CD R Desarrollo'!AE36+'CD R Desarrollo'!AJ36+'CD R Desarrollo'!AO36+#REF!+#REF!</f>
        <v>#REF!</v>
      </c>
      <c r="AD35" s="207" t="str">
        <f>'CD R Desarrollo'!S36+'CD R Desarrollo'!X36+'CD R Desarrollo'!AC36+'CD R Desarrollo'!AH36+'CD R Desarrollo'!AM36+'CD R Desarrollo'!AR36+#REF!+#REF!</f>
        <v>#REF!</v>
      </c>
      <c r="AE35" s="211">
        <v>1.0</v>
      </c>
      <c r="AF35" s="210">
        <f>'PL Cronograma detallado'!L133*AE35</f>
        <v>5.01</v>
      </c>
      <c r="AG35" s="211" t="str">
        <f>AF35/'PL Cronograma detallado'!M$257</f>
        <v>#DIV/0!</v>
      </c>
      <c r="AH35" s="211" t="str">
        <f t="shared" si="58"/>
        <v>#DIV/0!</v>
      </c>
    </row>
    <row r="36" ht="15.75" customHeight="1">
      <c r="A36" s="157" t="s">
        <v>367</v>
      </c>
      <c r="B36" s="338" t="s">
        <v>368</v>
      </c>
      <c r="C36" s="160">
        <v>44676.0</v>
      </c>
      <c r="D36" s="160">
        <v>44695.0</v>
      </c>
      <c r="E36" s="162" t="str">
        <f t="shared" si="25"/>
        <v>#NAME?</v>
      </c>
      <c r="F36" s="80">
        <v>10.0</v>
      </c>
      <c r="G36" s="47">
        <f t="shared" si="53"/>
        <v>0.0113507378</v>
      </c>
      <c r="H36" s="39">
        <f t="shared" si="54"/>
        <v>0.1123723042</v>
      </c>
      <c r="I36" s="169" t="str">
        <f t="shared" si="44"/>
        <v>#REF!</v>
      </c>
      <c r="J36" s="321" t="str">
        <f t="shared" si="55"/>
        <v>#REF!</v>
      </c>
      <c r="K36" s="322" t="str">
        <f t="shared" si="11"/>
        <v>#REF!</v>
      </c>
      <c r="L36" s="179" t="str">
        <f t="shared" si="45"/>
        <v>#REF!</v>
      </c>
      <c r="M36" s="179" t="str">
        <f t="shared" si="56"/>
        <v>#REF!</v>
      </c>
      <c r="N36" s="47">
        <f t="shared" si="46"/>
        <v>0.0113507378</v>
      </c>
      <c r="O36" s="47">
        <f t="shared" si="57"/>
        <v>0.1112372304</v>
      </c>
      <c r="P36" s="47" t="str">
        <f t="shared" si="6"/>
        <v>#REF!</v>
      </c>
      <c r="Q36" s="188">
        <f t="shared" si="47"/>
        <v>0</v>
      </c>
      <c r="R36" s="189">
        <v>0.0</v>
      </c>
      <c r="S36" s="190" t="s">
        <v>64</v>
      </c>
      <c r="T36" s="190">
        <f t="shared" si="48"/>
        <v>0.68</v>
      </c>
      <c r="U36" s="189">
        <f t="shared" si="49"/>
        <v>0</v>
      </c>
      <c r="V36" s="198" t="str">
        <f t="shared" si="50"/>
        <v>#REF!</v>
      </c>
      <c r="W36" s="202" t="str">
        <f>'CD R Documentación'!O37+'CD R Documentación'!T37+'CD R Documentación'!Y37+'CD R Documentación'!AD37+'CD R Documentación'!AI37+'CD R Documentación'!AN37+#REF!</f>
        <v>#REF!</v>
      </c>
      <c r="X36" s="85" t="str">
        <f>'CD R Documentación'!R37+'CD R Documentación'!W37+'CD R Documentación'!AB37+'CD R Documentación'!AG37+'CD R Documentación'!AL37+'CD R Documentación'!AQ37+#REF!</f>
        <v>#REF!</v>
      </c>
      <c r="Y36" s="203">
        <f t="shared" si="51"/>
        <v>0.4</v>
      </c>
      <c r="Z36" s="204">
        <f>'CD R Investigación'!P37+'CD R Investigación'!U37+'CD R Investigación'!Z37+'CD R Investigación'!AE37+'CD R Investigación'!AJ37+'CD R Investigación'!AO37+'CD R Investigación'!AT37+'CD R Investigación'!AY37</f>
        <v>4</v>
      </c>
      <c r="AA36" s="204">
        <f>'CD R Investigación'!S37+'CD R Investigación'!X37+'CD R Investigación'!AC37+'CD R Investigación'!AH37+'CD R Investigación'!AM37+'CD R Investigación'!AR37+'CD R Investigación'!AW37+'CD R Investigación'!BB37</f>
        <v>1.76</v>
      </c>
      <c r="AB36" s="205" t="str">
        <f t="shared" si="52"/>
        <v>#REF!</v>
      </c>
      <c r="AC36" s="207" t="str">
        <f>'CD R Desarrollo'!P37+'CD R Desarrollo'!U37+'CD R Desarrollo'!Z37+'CD R Desarrollo'!AE37+'CD R Desarrollo'!AJ37+'CD R Desarrollo'!AO37+#REF!+#REF!</f>
        <v>#REF!</v>
      </c>
      <c r="AD36" s="207" t="str">
        <f>'CD R Desarrollo'!S37+'CD R Desarrollo'!X37+'CD R Desarrollo'!AC37+'CD R Desarrollo'!AH37+'CD R Desarrollo'!AM37+'CD R Desarrollo'!AR37+#REF!+#REF!</f>
        <v>#REF!</v>
      </c>
      <c r="AE36" s="211">
        <v>1.0</v>
      </c>
      <c r="AF36" s="210">
        <f>'PL Cronograma detallado'!L134*AE36</f>
        <v>5.11</v>
      </c>
      <c r="AG36" s="211" t="str">
        <f>AF36/'PL Cronograma detallado'!M$257</f>
        <v>#DIV/0!</v>
      </c>
      <c r="AH36" s="211" t="str">
        <f t="shared" si="58"/>
        <v>#DIV/0!</v>
      </c>
    </row>
    <row r="37" ht="15.75" customHeight="1">
      <c r="A37" s="130" t="s">
        <v>145</v>
      </c>
      <c r="B37" s="132" t="s">
        <v>372</v>
      </c>
      <c r="C37" s="133">
        <v>44676.0</v>
      </c>
      <c r="D37" s="133">
        <v>44695.0</v>
      </c>
      <c r="E37" s="134" t="str">
        <f t="shared" si="25"/>
        <v>#NAME?</v>
      </c>
      <c r="F37" s="136">
        <f t="shared" ref="F37:G37" si="59">SUM(F38:F49)</f>
        <v>180</v>
      </c>
      <c r="G37" s="115">
        <f t="shared" si="59"/>
        <v>0.2043132804</v>
      </c>
      <c r="H37" s="115">
        <f t="shared" si="54"/>
        <v>0.3166855846</v>
      </c>
      <c r="I37" s="139" t="str">
        <f>SUM(I38:I49)</f>
        <v>#REF!</v>
      </c>
      <c r="J37" s="139" t="str">
        <f>SUM(I37,J26)</f>
        <v>#REF!</v>
      </c>
      <c r="K37" s="115" t="str">
        <f t="shared" si="11"/>
        <v>#REF!</v>
      </c>
      <c r="L37" s="143" t="str">
        <f>SUM(L38:L49)</f>
        <v>#REF!</v>
      </c>
      <c r="M37" s="143" t="str">
        <f>SUM(L37,M26)</f>
        <v>#REF!</v>
      </c>
      <c r="N37" s="115"/>
      <c r="O37" s="115" t="str">
        <f>AH37</f>
        <v/>
      </c>
      <c r="P37" s="115" t="str">
        <f t="shared" si="6"/>
        <v>#REF!</v>
      </c>
      <c r="Q37" s="148"/>
      <c r="R37" s="110"/>
      <c r="S37" s="136"/>
      <c r="T37" s="136"/>
      <c r="U37" s="110"/>
      <c r="V37" s="148"/>
      <c r="W37" s="139" t="str">
        <f>'CD R Documentación'!O38+'CD R Documentación'!T38+'CD R Documentación'!Y38+'CD R Documentación'!AD38+'CD R Documentación'!AI38+'CD R Documentación'!AN38+#REF!</f>
        <v>#REF!</v>
      </c>
      <c r="X37" s="136" t="str">
        <f>'CD R Documentación'!R38+'CD R Documentación'!W38+'CD R Documentación'!AB38+'CD R Documentación'!AG38+'CD R Documentación'!AL38+'CD R Documentación'!AQ38+#REF!</f>
        <v>#REF!</v>
      </c>
      <c r="Y37" s="148"/>
      <c r="Z37" s="110">
        <f>'CD R Investigación'!P38+'CD R Investigación'!U38+'CD R Investigación'!Z38+'CD R Investigación'!AE38+'CD R Investigación'!AJ38+'CD R Investigación'!AO38+'CD R Investigación'!AT38+'CD R Investigación'!AY38</f>
        <v>1</v>
      </c>
      <c r="AA37" s="110">
        <f>'CD R Investigación'!S38+'CD R Investigación'!X38+'CD R Investigación'!AC38+'CD R Investigación'!AH38+'CD R Investigación'!AM38+'CD R Investigación'!AR38+'CD R Investigación'!AW38+'CD R Investigación'!BB38</f>
        <v>0.44</v>
      </c>
      <c r="AB37" s="148"/>
      <c r="AC37" s="110" t="str">
        <f>'CD R Desarrollo'!P38+'CD R Desarrollo'!U38+'CD R Desarrollo'!Z38+'CD R Desarrollo'!AE38+'CD R Desarrollo'!AJ38+'CD R Desarrollo'!AO38+#REF!+#REF!</f>
        <v>#REF!</v>
      </c>
      <c r="AD37" s="110" t="str">
        <f>'CD R Desarrollo'!S38+'CD R Desarrollo'!X38+'CD R Desarrollo'!AC38+'CD R Desarrollo'!AH38+'CD R Desarrollo'!AM38+'CD R Desarrollo'!AR38+#REF!+#REF!</f>
        <v>#REF!</v>
      </c>
      <c r="AE37" s="339"/>
      <c r="AF37" s="212"/>
      <c r="AG37" s="212"/>
      <c r="AH37" s="212"/>
    </row>
    <row r="38" ht="15.75" customHeight="1">
      <c r="A38" s="157" t="s">
        <v>147</v>
      </c>
      <c r="B38" s="268" t="s">
        <v>377</v>
      </c>
      <c r="C38" s="160">
        <v>44676.0</v>
      </c>
      <c r="D38" s="160">
        <v>44681.0</v>
      </c>
      <c r="E38" s="162" t="str">
        <f t="shared" si="25"/>
        <v>#NAME?</v>
      </c>
      <c r="F38" s="80">
        <v>7.0</v>
      </c>
      <c r="G38" s="47">
        <f t="shared" ref="G38:G40" si="60">F38/F$105</f>
        <v>0.007945516459</v>
      </c>
      <c r="H38" s="39">
        <f>SUM(H36,G38)</f>
        <v>0.1203178207</v>
      </c>
      <c r="I38" s="169" t="str">
        <f t="shared" ref="I38:I49" si="61">SUM(R38,W38,Z38,AC38)</f>
        <v>#REF!</v>
      </c>
      <c r="J38" s="321" t="str">
        <f>SUM(I38,J36)</f>
        <v>#REF!</v>
      </c>
      <c r="K38" s="322" t="str">
        <f t="shared" si="11"/>
        <v>#REF!</v>
      </c>
      <c r="L38" s="179" t="str">
        <f t="shared" ref="L38:L49" si="62">SUM(U38,X38,AA38,AD38)</f>
        <v>#REF!</v>
      </c>
      <c r="M38" s="179" t="str">
        <f>SUM(L38,M36)</f>
        <v>#REF!</v>
      </c>
      <c r="N38" s="47">
        <f t="shared" ref="N38:N49" si="63">G38*AE38</f>
        <v>0.007945516459</v>
      </c>
      <c r="O38" s="47">
        <f>SUM(N38,O36)</f>
        <v>0.1191827469</v>
      </c>
      <c r="P38" s="47" t="str">
        <f t="shared" si="6"/>
        <v>#REF!</v>
      </c>
      <c r="Q38" s="188">
        <f t="shared" ref="Q38:Q104" si="64">R38/F38</f>
        <v>0</v>
      </c>
      <c r="R38" s="189">
        <v>0.0</v>
      </c>
      <c r="S38" s="190" t="s">
        <v>64</v>
      </c>
      <c r="T38" s="190">
        <f t="shared" ref="T38:T104" si="65">IF(S38="L",0.68,IF(S38="JP",0.57,IF(S38="JI",0.57,IF(S38="JD",0.57,IF(S38="P",0.24,IF(S38="I",0.12,IF(S38="D",0.13)))))))</f>
        <v>0.68</v>
      </c>
      <c r="U38" s="189">
        <f t="shared" ref="U38:U104" si="66">T38*R38</f>
        <v>0</v>
      </c>
      <c r="V38" s="198" t="str">
        <f t="shared" ref="V38:V104" si="67">W38/F38</f>
        <v>#REF!</v>
      </c>
      <c r="W38" s="202" t="str">
        <f>'CD R Documentación'!O39+'CD R Documentación'!T39+'CD R Documentación'!Y39+'CD R Documentación'!AD39+'CD R Documentación'!AI39+'CD R Documentación'!AN39+#REF!</f>
        <v>#REF!</v>
      </c>
      <c r="X38" s="85" t="str">
        <f>'CD R Documentación'!R39+'CD R Documentación'!W39+'CD R Documentación'!AB39+'CD R Documentación'!AG39+'CD R Documentación'!AL39+'CD R Documentación'!AQ39+#REF!</f>
        <v>#REF!</v>
      </c>
      <c r="Y38" s="203">
        <f t="shared" ref="Y38:Y44" si="68">Z38/F38</f>
        <v>0</v>
      </c>
      <c r="Z38" s="204">
        <f>'CD R Investigación'!P39+'CD R Investigación'!U39+'CD R Investigación'!Z39+'CD R Investigación'!AE39+'CD R Investigación'!AJ39+'CD R Investigación'!AO39+'CD R Investigación'!AT39+'CD R Investigación'!AY39</f>
        <v>0</v>
      </c>
      <c r="AA38" s="204">
        <f>'CD R Investigación'!S39+'CD R Investigación'!X39+'CD R Investigación'!AC39+'CD R Investigación'!AH39+'CD R Investigación'!AM39+'CD R Investigación'!AR39+'CD R Investigación'!AW39+'CD R Investigación'!BB39</f>
        <v>0</v>
      </c>
      <c r="AB38" s="205" t="str">
        <f t="shared" ref="AB38:AB104" si="69">AC38/F38</f>
        <v>#REF!</v>
      </c>
      <c r="AC38" s="207" t="str">
        <f>'CD R Desarrollo'!P39+'CD R Desarrollo'!U39+'CD R Desarrollo'!Z39+'CD R Desarrollo'!AE39+'CD R Desarrollo'!AJ39+'CD R Desarrollo'!AO39+#REF!+#REF!</f>
        <v>#REF!</v>
      </c>
      <c r="AD38" s="207" t="str">
        <f>'CD R Desarrollo'!S39+'CD R Desarrollo'!X39+'CD R Desarrollo'!AC39+'CD R Desarrollo'!AH39+'CD R Desarrollo'!AM39+'CD R Desarrollo'!AR39+#REF!+#REF!</f>
        <v>#REF!</v>
      </c>
      <c r="AE38" s="211">
        <v>1.0</v>
      </c>
      <c r="AF38" s="210">
        <f>'PL Cronograma detallado'!L136*AE38</f>
        <v>2.49</v>
      </c>
      <c r="AG38" s="211" t="str">
        <f>AF38/'PL Cronograma detallado'!M$257</f>
        <v>#DIV/0!</v>
      </c>
      <c r="AH38" s="211" t="str">
        <f>AG38+AH36</f>
        <v>#DIV/0!</v>
      </c>
    </row>
    <row r="39" ht="15.75" customHeight="1">
      <c r="A39" s="157" t="s">
        <v>149</v>
      </c>
      <c r="B39" s="159" t="s">
        <v>385</v>
      </c>
      <c r="C39" s="160">
        <v>44676.0</v>
      </c>
      <c r="D39" s="160">
        <v>44681.0</v>
      </c>
      <c r="E39" s="162" t="str">
        <f t="shared" si="25"/>
        <v>#NAME?</v>
      </c>
      <c r="F39" s="80">
        <v>6.0</v>
      </c>
      <c r="G39" s="47">
        <f t="shared" si="60"/>
        <v>0.006810442679</v>
      </c>
      <c r="H39" s="39">
        <f t="shared" ref="H39:H49" si="70">SUM(H38,G39)</f>
        <v>0.1271282633</v>
      </c>
      <c r="I39" s="169" t="str">
        <f t="shared" si="61"/>
        <v>#REF!</v>
      </c>
      <c r="J39" s="321" t="str">
        <f t="shared" ref="J39:J40" si="71">SUM(I39,J38)</f>
        <v>#REF!</v>
      </c>
      <c r="K39" s="322" t="str">
        <f t="shared" si="11"/>
        <v>#REF!</v>
      </c>
      <c r="L39" s="179" t="str">
        <f t="shared" si="62"/>
        <v>#REF!</v>
      </c>
      <c r="M39" s="179" t="str">
        <f t="shared" ref="M39:M50" si="72">SUM(L39,M38)</f>
        <v>#REF!</v>
      </c>
      <c r="N39" s="47">
        <f t="shared" si="63"/>
        <v>0.006810442679</v>
      </c>
      <c r="O39" s="47">
        <f t="shared" ref="O39:O49" si="73">SUM(N39,O38)</f>
        <v>0.1259931896</v>
      </c>
      <c r="P39" s="47" t="str">
        <f t="shared" si="6"/>
        <v>#REF!</v>
      </c>
      <c r="Q39" s="188">
        <f t="shared" si="64"/>
        <v>0</v>
      </c>
      <c r="R39" s="189">
        <v>0.0</v>
      </c>
      <c r="S39" s="190" t="s">
        <v>64</v>
      </c>
      <c r="T39" s="190">
        <f t="shared" si="65"/>
        <v>0.68</v>
      </c>
      <c r="U39" s="189">
        <f t="shared" si="66"/>
        <v>0</v>
      </c>
      <c r="V39" s="198" t="str">
        <f t="shared" si="67"/>
        <v>#REF!</v>
      </c>
      <c r="W39" s="202" t="str">
        <f>'CD R Documentación'!O40+'CD R Documentación'!T40+'CD R Documentación'!Y40+'CD R Documentación'!AD40+'CD R Documentación'!AI40+'CD R Documentación'!AN40+#REF!</f>
        <v>#REF!</v>
      </c>
      <c r="X39" s="85" t="str">
        <f>'CD R Documentación'!R40+'CD R Documentación'!W40+'CD R Documentación'!AB40+'CD R Documentación'!AG40+'CD R Documentación'!AL40+'CD R Documentación'!AQ40+#REF!</f>
        <v>#REF!</v>
      </c>
      <c r="Y39" s="203">
        <f t="shared" si="68"/>
        <v>12.5</v>
      </c>
      <c r="Z39" s="204">
        <f>'CD R Investigación'!P40+'CD R Investigación'!U40+'CD R Investigación'!Z40+'CD R Investigación'!AE40+'CD R Investigación'!AJ40+'CD R Investigación'!AO40+'CD R Investigación'!AT40+'CD R Investigación'!AY40</f>
        <v>75</v>
      </c>
      <c r="AA39" s="204">
        <f>'CD R Investigación'!S40+'CD R Investigación'!X40+'CD R Investigación'!AC40+'CD R Investigación'!AH40+'CD R Investigación'!AM40+'CD R Investigación'!AR40+'CD R Investigación'!AW40+'CD R Investigación'!BB40</f>
        <v>33</v>
      </c>
      <c r="AB39" s="205" t="str">
        <f t="shared" si="69"/>
        <v>#REF!</v>
      </c>
      <c r="AC39" s="207" t="str">
        <f>'CD R Desarrollo'!P40+'CD R Desarrollo'!U40+'CD R Desarrollo'!Z40+'CD R Desarrollo'!AE40+'CD R Desarrollo'!AJ40+'CD R Desarrollo'!AO40+#REF!+#REF!</f>
        <v>#REF!</v>
      </c>
      <c r="AD39" s="207" t="str">
        <f>'CD R Desarrollo'!S40+'CD R Desarrollo'!X40+'CD R Desarrollo'!AC40+'CD R Desarrollo'!AH40+'CD R Desarrollo'!AM40+'CD R Desarrollo'!AR40+#REF!+#REF!</f>
        <v>#REF!</v>
      </c>
      <c r="AE39" s="211">
        <v>1.0</v>
      </c>
      <c r="AF39" s="210">
        <f>'PL Cronograma detallado'!L138*AE39</f>
        <v>3.43</v>
      </c>
      <c r="AG39" s="211" t="str">
        <f>AF39/'PL Cronograma detallado'!M$257</f>
        <v>#DIV/0!</v>
      </c>
      <c r="AH39" s="211" t="str">
        <f t="shared" ref="AH39:AH49" si="74">AG39+AH38</f>
        <v>#DIV/0!</v>
      </c>
    </row>
    <row r="40" ht="15.75" customHeight="1">
      <c r="A40" s="157" t="s">
        <v>151</v>
      </c>
      <c r="B40" s="159" t="s">
        <v>389</v>
      </c>
      <c r="C40" s="160">
        <v>44676.0</v>
      </c>
      <c r="D40" s="160">
        <v>44681.0</v>
      </c>
      <c r="E40" s="162" t="str">
        <f t="shared" si="25"/>
        <v>#NAME?</v>
      </c>
      <c r="F40" s="80">
        <v>6.0</v>
      </c>
      <c r="G40" s="47">
        <f t="shared" si="60"/>
        <v>0.006810442679</v>
      </c>
      <c r="H40" s="39">
        <f t="shared" si="70"/>
        <v>0.133938706</v>
      </c>
      <c r="I40" s="169" t="str">
        <f t="shared" si="61"/>
        <v>#REF!</v>
      </c>
      <c r="J40" s="321" t="str">
        <f t="shared" si="71"/>
        <v>#REF!</v>
      </c>
      <c r="K40" s="322" t="str">
        <f t="shared" si="11"/>
        <v>#REF!</v>
      </c>
      <c r="L40" s="179" t="str">
        <f t="shared" si="62"/>
        <v>#REF!</v>
      </c>
      <c r="M40" s="179" t="str">
        <f t="shared" si="72"/>
        <v>#REF!</v>
      </c>
      <c r="N40" s="47">
        <f t="shared" si="63"/>
        <v>0.006810442679</v>
      </c>
      <c r="O40" s="47">
        <f t="shared" si="73"/>
        <v>0.1328036322</v>
      </c>
      <c r="P40" s="47" t="str">
        <f t="shared" si="6"/>
        <v>#REF!</v>
      </c>
      <c r="Q40" s="188">
        <f t="shared" si="64"/>
        <v>0</v>
      </c>
      <c r="R40" s="189">
        <v>0.0</v>
      </c>
      <c r="S40" s="190" t="s">
        <v>64</v>
      </c>
      <c r="T40" s="190">
        <f t="shared" si="65"/>
        <v>0.68</v>
      </c>
      <c r="U40" s="189">
        <f t="shared" si="66"/>
        <v>0</v>
      </c>
      <c r="V40" s="198" t="str">
        <f t="shared" si="67"/>
        <v>#REF!</v>
      </c>
      <c r="W40" s="202" t="str">
        <f>'CD R Documentación'!O41+'CD R Documentación'!T41+'CD R Documentación'!Y41+'CD R Documentación'!AD41+'CD R Documentación'!AI41+'CD R Documentación'!AN41+#REF!</f>
        <v>#REF!</v>
      </c>
      <c r="X40" s="85" t="str">
        <f>'CD R Documentación'!R41+'CD R Documentación'!W41+'CD R Documentación'!AB41+'CD R Documentación'!AG41+'CD R Documentación'!AL41+'CD R Documentación'!AQ41+#REF!</f>
        <v>#REF!</v>
      </c>
      <c r="Y40" s="203">
        <f t="shared" si="68"/>
        <v>5</v>
      </c>
      <c r="Z40" s="204">
        <f>'CD R Investigación'!P41+'CD R Investigación'!U41+'CD R Investigación'!Z41+'CD R Investigación'!AE41+'CD R Investigación'!AJ41+'CD R Investigación'!AO41+'CD R Investigación'!AT41+'CD R Investigación'!AY41</f>
        <v>30</v>
      </c>
      <c r="AA40" s="204">
        <f>'CD R Investigación'!S41+'CD R Investigación'!X41+'CD R Investigación'!AC41+'CD R Investigación'!AH41+'CD R Investigación'!AM41+'CD R Investigación'!AR41+'CD R Investigación'!AW41+'CD R Investigación'!BB41</f>
        <v>13.2</v>
      </c>
      <c r="AB40" s="205" t="str">
        <f t="shared" si="69"/>
        <v>#REF!</v>
      </c>
      <c r="AC40" s="207" t="str">
        <f>'CD R Desarrollo'!P41+'CD R Desarrollo'!U41+'CD R Desarrollo'!Z41+'CD R Desarrollo'!AE41+'CD R Desarrollo'!AJ41+'CD R Desarrollo'!AO41+#REF!+#REF!</f>
        <v>#REF!</v>
      </c>
      <c r="AD40" s="207" t="str">
        <f>'CD R Desarrollo'!S41+'CD R Desarrollo'!X41+'CD R Desarrollo'!AC41+'CD R Desarrollo'!AH41+'CD R Desarrollo'!AM41+'CD R Desarrollo'!AR41+#REF!+#REF!</f>
        <v>#REF!</v>
      </c>
      <c r="AE40" s="211">
        <v>1.0</v>
      </c>
      <c r="AF40" s="210">
        <f>'PL Cronograma detallado'!L139*AE40</f>
        <v>7.94</v>
      </c>
      <c r="AG40" s="211" t="str">
        <f>AF40/'PL Cronograma detallado'!M$257</f>
        <v>#DIV/0!</v>
      </c>
      <c r="AH40" s="211" t="str">
        <f t="shared" si="74"/>
        <v>#DIV/0!</v>
      </c>
    </row>
    <row r="41" ht="15.75" customHeight="1">
      <c r="A41" s="250" t="s">
        <v>155</v>
      </c>
      <c r="B41" s="251" t="s">
        <v>398</v>
      </c>
      <c r="C41" s="252">
        <v>44669.0</v>
      </c>
      <c r="D41" s="252">
        <v>44676.0</v>
      </c>
      <c r="E41" s="125" t="str">
        <f t="shared" si="25"/>
        <v>#NAME?</v>
      </c>
      <c r="F41" s="253">
        <v>24.0</v>
      </c>
      <c r="G41" s="138">
        <f>(F41/F105)</f>
        <v>0.02724177072</v>
      </c>
      <c r="H41" s="138">
        <f t="shared" si="70"/>
        <v>0.1611804767</v>
      </c>
      <c r="I41" s="255" t="str">
        <f t="shared" si="61"/>
        <v>#REF!</v>
      </c>
      <c r="J41" s="256" t="str">
        <f t="shared" ref="J41:J42" si="75">I41+J40</f>
        <v>#REF!</v>
      </c>
      <c r="K41" s="138"/>
      <c r="L41" s="257" t="str">
        <f t="shared" si="62"/>
        <v>#REF!</v>
      </c>
      <c r="M41" s="257" t="str">
        <f t="shared" si="72"/>
        <v>#REF!</v>
      </c>
      <c r="N41" s="138">
        <f t="shared" si="63"/>
        <v>0.02724177072</v>
      </c>
      <c r="O41" s="138">
        <f t="shared" si="73"/>
        <v>0.160045403</v>
      </c>
      <c r="P41" s="138" t="str">
        <f t="shared" si="6"/>
        <v>#REF!</v>
      </c>
      <c r="Q41" s="258">
        <f t="shared" si="64"/>
        <v>0.125</v>
      </c>
      <c r="R41" s="256">
        <v>3.0</v>
      </c>
      <c r="S41" s="253" t="s">
        <v>64</v>
      </c>
      <c r="T41" s="253">
        <f t="shared" si="65"/>
        <v>0.68</v>
      </c>
      <c r="U41" s="256">
        <f t="shared" si="66"/>
        <v>2.04</v>
      </c>
      <c r="V41" s="258" t="str">
        <f t="shared" si="67"/>
        <v>#REF!</v>
      </c>
      <c r="W41" s="255" t="str">
        <f>'CD R Documentación'!O42+'CD R Documentación'!T42+'CD R Documentación'!Y42+'CD R Documentación'!AD42+'CD R Documentación'!AI42+'CD R Documentación'!AN42+#REF!</f>
        <v>#REF!</v>
      </c>
      <c r="X41" s="253" t="str">
        <f>'CD R Documentación'!R42+'CD R Documentación'!W42+'CD R Documentación'!AB42+'CD R Documentación'!AG42+'CD R Documentación'!AL42+'CD R Documentación'!AQ42+#REF!</f>
        <v>#REF!</v>
      </c>
      <c r="Y41" s="258">
        <f t="shared" si="68"/>
        <v>2.375</v>
      </c>
      <c r="Z41" s="256">
        <f>'CD R Investigación'!P42+'CD R Investigación'!U42+'CD R Investigación'!Z42+'CD R Investigación'!AE42+'CD R Investigación'!AJ42+'CD R Investigación'!AO42+'CD R Investigación'!AT42+'CD R Investigación'!AY42</f>
        <v>57</v>
      </c>
      <c r="AA41" s="256">
        <f>'CD R Investigación'!S42+'CD R Investigación'!X42+'CD R Investigación'!AC42+'CD R Investigación'!AH42+'CD R Investigación'!AM42+'CD R Investigación'!AR42+'CD R Investigación'!AW42+'CD R Investigación'!BB42</f>
        <v>25.08</v>
      </c>
      <c r="AB41" s="258" t="str">
        <f t="shared" si="69"/>
        <v>#REF!</v>
      </c>
      <c r="AC41" s="256" t="str">
        <f>'CD R Desarrollo'!P42+'CD R Desarrollo'!U42+'CD R Desarrollo'!Z42+'CD R Desarrollo'!AE42+'CD R Desarrollo'!AJ42+'CD R Desarrollo'!AO42+#REF!+#REF!</f>
        <v>#REF!</v>
      </c>
      <c r="AD41" s="256" t="str">
        <f>'CD R Desarrollo'!S42+'CD R Desarrollo'!X42+'CD R Desarrollo'!AC42+'CD R Desarrollo'!AH42+'CD R Desarrollo'!AM42+'CD R Desarrollo'!AR42+#REF!+#REF!</f>
        <v>#REF!</v>
      </c>
      <c r="AE41" s="259">
        <v>1.0</v>
      </c>
      <c r="AF41" s="260">
        <f>'PL Cronograma detallado'!L140*AE41</f>
        <v>2.49</v>
      </c>
      <c r="AG41" s="259" t="str">
        <f>AF41/'PL Cronograma detallado'!M$257</f>
        <v>#DIV/0!</v>
      </c>
      <c r="AH41" s="259" t="str">
        <f t="shared" si="74"/>
        <v>#DIV/0!</v>
      </c>
    </row>
    <row r="42" ht="15.75" customHeight="1">
      <c r="A42" s="310" t="s">
        <v>182</v>
      </c>
      <c r="B42" s="311" t="s">
        <v>47</v>
      </c>
      <c r="C42" s="312">
        <v>44677.0</v>
      </c>
      <c r="D42" s="312">
        <v>44677.0</v>
      </c>
      <c r="E42" s="313" t="str">
        <f t="shared" si="25"/>
        <v>#NAME?</v>
      </c>
      <c r="F42" s="314">
        <v>1.0</v>
      </c>
      <c r="G42" s="282">
        <f>(F42/F105)</f>
        <v>0.00113507378</v>
      </c>
      <c r="H42" s="282">
        <f t="shared" si="70"/>
        <v>0.1623155505</v>
      </c>
      <c r="I42" s="315" t="str">
        <f t="shared" si="61"/>
        <v>#REF!</v>
      </c>
      <c r="J42" s="316" t="str">
        <f t="shared" si="75"/>
        <v>#REF!</v>
      </c>
      <c r="K42" s="282" t="str">
        <f t="shared" ref="K42:K96" si="76">J42/$J$104</f>
        <v>#REF!</v>
      </c>
      <c r="L42" s="317" t="str">
        <f t="shared" si="62"/>
        <v>#REF!</v>
      </c>
      <c r="M42" s="317" t="str">
        <f t="shared" si="72"/>
        <v>#REF!</v>
      </c>
      <c r="N42" s="282">
        <f t="shared" si="63"/>
        <v>0.00113507378</v>
      </c>
      <c r="O42" s="282">
        <f t="shared" si="73"/>
        <v>0.1611804767</v>
      </c>
      <c r="P42" s="282" t="str">
        <f t="shared" si="6"/>
        <v>#REF!</v>
      </c>
      <c r="Q42" s="318">
        <f t="shared" si="64"/>
        <v>1</v>
      </c>
      <c r="R42" s="316">
        <v>1.0</v>
      </c>
      <c r="S42" s="314" t="s">
        <v>64</v>
      </c>
      <c r="T42" s="314">
        <f t="shared" si="65"/>
        <v>0.68</v>
      </c>
      <c r="U42" s="316">
        <f t="shared" si="66"/>
        <v>0.68</v>
      </c>
      <c r="V42" s="318" t="str">
        <f t="shared" si="67"/>
        <v>#REF!</v>
      </c>
      <c r="W42" s="315" t="str">
        <f>'CD R Documentación'!O43+'CD R Documentación'!T43+'CD R Documentación'!Y43+'CD R Documentación'!AD43+'CD R Documentación'!AI43+'CD R Documentación'!AN43+#REF!</f>
        <v>#REF!</v>
      </c>
      <c r="X42" s="314" t="str">
        <f>'CD R Documentación'!R43+'CD R Documentación'!W43+'CD R Documentación'!AB43+'CD R Documentación'!AG43+'CD R Documentación'!AL43+'CD R Documentación'!AQ43+#REF!</f>
        <v>#REF!</v>
      </c>
      <c r="Y42" s="318">
        <f t="shared" si="68"/>
        <v>15</v>
      </c>
      <c r="Z42" s="316">
        <f>'CD R Investigación'!P43+'CD R Investigación'!U43+'CD R Investigación'!Z43+'CD R Investigación'!AE43+'CD R Investigación'!AJ43+'CD R Investigación'!AO43+'CD R Investigación'!AT43+'CD R Investigación'!AY43</f>
        <v>15</v>
      </c>
      <c r="AA42" s="316">
        <f>'CD R Investigación'!S43+'CD R Investigación'!X43+'CD R Investigación'!AC43+'CD R Investigación'!AH43+'CD R Investigación'!AM43+'CD R Investigación'!AR43+'CD R Investigación'!AW43+'CD R Investigación'!BB43</f>
        <v>6.6</v>
      </c>
      <c r="AB42" s="318" t="str">
        <f t="shared" si="69"/>
        <v>#REF!</v>
      </c>
      <c r="AC42" s="316" t="str">
        <f>'CD R Desarrollo'!P43+'CD R Desarrollo'!U43+'CD R Desarrollo'!Z43+'CD R Desarrollo'!AE43+'CD R Desarrollo'!AJ43+'CD R Desarrollo'!AO43+#REF!+#REF!</f>
        <v>#REF!</v>
      </c>
      <c r="AD42" s="316" t="str">
        <f>'CD R Desarrollo'!S43+'CD R Desarrollo'!X43+'CD R Desarrollo'!AC43+'CD R Desarrollo'!AH43+'CD R Desarrollo'!AM43+'CD R Desarrollo'!AR43+#REF!+#REF!</f>
        <v>#REF!</v>
      </c>
      <c r="AE42" s="319">
        <v>1.0</v>
      </c>
      <c r="AF42" s="320">
        <f>'PL Cronograma detallado'!L143*AE42</f>
        <v>0.61</v>
      </c>
      <c r="AG42" s="319" t="str">
        <f>AF42/'PL Cronograma detallado'!M$257</f>
        <v>#DIV/0!</v>
      </c>
      <c r="AH42" s="319" t="str">
        <f t="shared" si="74"/>
        <v>#DIV/0!</v>
      </c>
    </row>
    <row r="43" ht="15.75" customHeight="1">
      <c r="A43" s="157" t="s">
        <v>153</v>
      </c>
      <c r="B43" s="159" t="s">
        <v>414</v>
      </c>
      <c r="C43" s="160">
        <v>44677.0</v>
      </c>
      <c r="D43" s="160">
        <v>44703.0</v>
      </c>
      <c r="E43" s="162" t="str">
        <f t="shared" si="25"/>
        <v>#NAME?</v>
      </c>
      <c r="F43" s="80">
        <v>54.0</v>
      </c>
      <c r="G43" s="47">
        <f t="shared" ref="G43:G49" si="77">F43/F$105</f>
        <v>0.06129398411</v>
      </c>
      <c r="H43" s="39">
        <f t="shared" si="70"/>
        <v>0.2236095346</v>
      </c>
      <c r="I43" s="169" t="str">
        <f t="shared" si="61"/>
        <v>#REF!</v>
      </c>
      <c r="J43" s="169" t="str">
        <f t="shared" ref="J43:J49" si="78">SUM(I43,J42)</f>
        <v>#REF!</v>
      </c>
      <c r="K43" s="262" t="str">
        <f t="shared" si="76"/>
        <v>#REF!</v>
      </c>
      <c r="L43" s="179" t="str">
        <f t="shared" si="62"/>
        <v>#REF!</v>
      </c>
      <c r="M43" s="179" t="str">
        <f t="shared" si="72"/>
        <v>#REF!</v>
      </c>
      <c r="N43" s="47">
        <f t="shared" si="63"/>
        <v>0.06129398411</v>
      </c>
      <c r="O43" s="47">
        <f t="shared" si="73"/>
        <v>0.2224744608</v>
      </c>
      <c r="P43" s="47" t="str">
        <f t="shared" si="6"/>
        <v>#REF!</v>
      </c>
      <c r="Q43" s="188">
        <f t="shared" si="64"/>
        <v>0</v>
      </c>
      <c r="R43" s="189">
        <v>0.0</v>
      </c>
      <c r="S43" s="190" t="s">
        <v>64</v>
      </c>
      <c r="T43" s="190">
        <f t="shared" si="65"/>
        <v>0.68</v>
      </c>
      <c r="U43" s="189">
        <f t="shared" si="66"/>
        <v>0</v>
      </c>
      <c r="V43" s="198" t="str">
        <f t="shared" si="67"/>
        <v>#REF!</v>
      </c>
      <c r="W43" s="202" t="str">
        <f>'CD R Documentación'!O44+'CD R Documentación'!T44+'CD R Documentación'!Y44+'CD R Documentación'!AD44+'CD R Documentación'!AI44+'CD R Documentación'!AN44+#REF!</f>
        <v>#REF!</v>
      </c>
      <c r="X43" s="85" t="str">
        <f>'CD R Documentación'!R44+'CD R Documentación'!W44+'CD R Documentación'!AB44+'CD R Documentación'!AG44+'CD R Documentación'!AL44+'CD R Documentación'!AQ44+#REF!</f>
        <v>#REF!</v>
      </c>
      <c r="Y43" s="203">
        <f t="shared" si="68"/>
        <v>0.1481481481</v>
      </c>
      <c r="Z43" s="204">
        <f>'CD R Investigación'!P44+'CD R Investigación'!U44+'CD R Investigación'!Z44+'CD R Investigación'!AE44+'CD R Investigación'!AJ44+'CD R Investigación'!AO44+'CD R Investigación'!AT44+'CD R Investigación'!AY44</f>
        <v>8</v>
      </c>
      <c r="AA43" s="204">
        <f>'CD R Investigación'!S44+'CD R Investigación'!X44+'CD R Investigación'!AC44+'CD R Investigación'!AH44+'CD R Investigación'!AM44+'CD R Investigación'!AR44+'CD R Investigación'!AW44+'CD R Investigación'!BB44</f>
        <v>3.52</v>
      </c>
      <c r="AB43" s="205" t="str">
        <f t="shared" si="69"/>
        <v>#REF!</v>
      </c>
      <c r="AC43" s="207" t="str">
        <f>'CD R Desarrollo'!P44+'CD R Desarrollo'!U44+'CD R Desarrollo'!Z44+'CD R Desarrollo'!AE44+'CD R Desarrollo'!AJ44+'CD R Desarrollo'!AO44+#REF!+#REF!</f>
        <v>#REF!</v>
      </c>
      <c r="AD43" s="207" t="str">
        <f>'CD R Desarrollo'!S44+'CD R Desarrollo'!X44+'CD R Desarrollo'!AC44+'CD R Desarrollo'!AH44+'CD R Desarrollo'!AM44+'CD R Desarrollo'!AR44+#REF!+#REF!</f>
        <v>#REF!</v>
      </c>
      <c r="AE43" s="211">
        <v>1.0</v>
      </c>
      <c r="AF43" s="210">
        <f>'PL Cronograma detallado'!L145*AE43</f>
        <v>0</v>
      </c>
      <c r="AG43" s="211" t="str">
        <f>AF43/'PL Cronograma detallado'!M$257</f>
        <v>#DIV/0!</v>
      </c>
      <c r="AH43" s="341" t="str">
        <f t="shared" si="74"/>
        <v>#DIV/0!</v>
      </c>
    </row>
    <row r="44" ht="15.75" customHeight="1">
      <c r="A44" s="157" t="s">
        <v>424</v>
      </c>
      <c r="B44" s="159" t="s">
        <v>425</v>
      </c>
      <c r="C44" s="160">
        <v>44680.0</v>
      </c>
      <c r="D44" s="160">
        <v>44690.0</v>
      </c>
      <c r="E44" s="162" t="str">
        <f t="shared" si="25"/>
        <v>#NAME?</v>
      </c>
      <c r="F44" s="80">
        <v>22.0</v>
      </c>
      <c r="G44" s="47">
        <f t="shared" si="77"/>
        <v>0.02497162316</v>
      </c>
      <c r="H44" s="39">
        <f t="shared" si="70"/>
        <v>0.2485811578</v>
      </c>
      <c r="I44" s="169" t="str">
        <f t="shared" si="61"/>
        <v>#REF!</v>
      </c>
      <c r="J44" s="169" t="str">
        <f t="shared" si="78"/>
        <v>#REF!</v>
      </c>
      <c r="K44" s="262" t="str">
        <f t="shared" si="76"/>
        <v>#REF!</v>
      </c>
      <c r="L44" s="179" t="str">
        <f t="shared" si="62"/>
        <v>#REF!</v>
      </c>
      <c r="M44" s="179" t="str">
        <f t="shared" si="72"/>
        <v>#REF!</v>
      </c>
      <c r="N44" s="47">
        <f t="shared" si="63"/>
        <v>0.02497162316</v>
      </c>
      <c r="O44" s="47">
        <f t="shared" si="73"/>
        <v>0.247446084</v>
      </c>
      <c r="P44" s="47" t="str">
        <f t="shared" si="6"/>
        <v>#REF!</v>
      </c>
      <c r="Q44" s="188">
        <f t="shared" si="64"/>
        <v>0</v>
      </c>
      <c r="R44" s="189">
        <v>0.0</v>
      </c>
      <c r="S44" s="190" t="s">
        <v>64</v>
      </c>
      <c r="T44" s="190">
        <f t="shared" si="65"/>
        <v>0.68</v>
      </c>
      <c r="U44" s="189">
        <f t="shared" si="66"/>
        <v>0</v>
      </c>
      <c r="V44" s="198" t="str">
        <f t="shared" si="67"/>
        <v>#REF!</v>
      </c>
      <c r="W44" s="202" t="str">
        <f>'CD R Documentación'!O45+'CD R Documentación'!T45+'CD R Documentación'!Y45+'CD R Documentación'!AD45+'CD R Documentación'!AI45+'CD R Documentación'!AN45+#REF!</f>
        <v>#REF!</v>
      </c>
      <c r="X44" s="85" t="str">
        <f>'CD R Documentación'!R45+'CD R Documentación'!W45+'CD R Documentación'!AB45+'CD R Documentación'!AG45+'CD R Documentación'!AL45+'CD R Documentación'!AQ45+#REF!</f>
        <v>#REF!</v>
      </c>
      <c r="Y44" s="203">
        <f t="shared" si="68"/>
        <v>1</v>
      </c>
      <c r="Z44" s="204">
        <v>22.0</v>
      </c>
      <c r="AA44" s="204">
        <f>'CD R Investigación'!S45+'CD R Investigación'!X45+'CD R Investigación'!AC45+'CD R Investigación'!AH45+'CD R Investigación'!AM45+'CD R Investigación'!AR45+'CD R Investigación'!AW45+'CD R Investigación'!BB45</f>
        <v>0</v>
      </c>
      <c r="AB44" s="205" t="str">
        <f t="shared" si="69"/>
        <v>#REF!</v>
      </c>
      <c r="AC44" s="207" t="str">
        <f>'CD R Desarrollo'!P45+'CD R Desarrollo'!U45+'CD R Desarrollo'!Z45+'CD R Desarrollo'!AE45+'CD R Desarrollo'!AJ45+'CD R Desarrollo'!AO45+#REF!+#REF!</f>
        <v>#REF!</v>
      </c>
      <c r="AD44" s="207" t="str">
        <f>'CD R Desarrollo'!S45+'CD R Desarrollo'!X45+'CD R Desarrollo'!AC45+'CD R Desarrollo'!AH45+'CD R Desarrollo'!AM45+'CD R Desarrollo'!AR45+#REF!+#REF!</f>
        <v>#REF!</v>
      </c>
      <c r="AE44" s="211">
        <v>1.0</v>
      </c>
      <c r="AF44" s="210">
        <f>'PL Cronograma detallado'!L146*AE44</f>
        <v>75.1</v>
      </c>
      <c r="AG44" s="211" t="str">
        <f>AF44/'PL Cronograma detallado'!M$257</f>
        <v>#DIV/0!</v>
      </c>
      <c r="AH44" s="341" t="str">
        <f t="shared" si="74"/>
        <v>#DIV/0!</v>
      </c>
    </row>
    <row r="45" ht="15.75" customHeight="1">
      <c r="A45" s="157" t="s">
        <v>432</v>
      </c>
      <c r="B45" s="159" t="s">
        <v>433</v>
      </c>
      <c r="C45" s="160">
        <v>44680.0</v>
      </c>
      <c r="D45" s="160">
        <v>44690.0</v>
      </c>
      <c r="E45" s="162" t="str">
        <f t="shared" si="25"/>
        <v>#NAME?</v>
      </c>
      <c r="F45" s="80">
        <v>30.0</v>
      </c>
      <c r="G45" s="47">
        <f t="shared" si="77"/>
        <v>0.03405221339</v>
      </c>
      <c r="H45" s="39">
        <f t="shared" si="70"/>
        <v>0.2826333712</v>
      </c>
      <c r="I45" s="169" t="str">
        <f t="shared" si="61"/>
        <v>#REF!</v>
      </c>
      <c r="J45" s="169" t="str">
        <f t="shared" si="78"/>
        <v>#REF!</v>
      </c>
      <c r="K45" s="262" t="str">
        <f t="shared" si="76"/>
        <v>#REF!</v>
      </c>
      <c r="L45" s="179" t="str">
        <f t="shared" si="62"/>
        <v>#REF!</v>
      </c>
      <c r="M45" s="179" t="str">
        <f t="shared" si="72"/>
        <v>#REF!</v>
      </c>
      <c r="N45" s="47">
        <f t="shared" si="63"/>
        <v>0.03405221339</v>
      </c>
      <c r="O45" s="47">
        <f t="shared" si="73"/>
        <v>0.2814982974</v>
      </c>
      <c r="P45" s="47" t="str">
        <f t="shared" si="6"/>
        <v>#REF!</v>
      </c>
      <c r="Q45" s="188">
        <f t="shared" si="64"/>
        <v>0</v>
      </c>
      <c r="R45" s="189">
        <v>0.0</v>
      </c>
      <c r="S45" s="190" t="s">
        <v>64</v>
      </c>
      <c r="T45" s="190">
        <f t="shared" si="65"/>
        <v>0.68</v>
      </c>
      <c r="U45" s="189">
        <f t="shared" si="66"/>
        <v>0</v>
      </c>
      <c r="V45" s="198" t="str">
        <f t="shared" si="67"/>
        <v>#REF!</v>
      </c>
      <c r="W45" s="202" t="str">
        <f>'CD R Documentación'!O46+'CD R Documentación'!T46+'CD R Documentación'!Y46+'CD R Documentación'!AD46+'CD R Documentación'!AI46+'CD R Documentación'!AN46+#REF!</f>
        <v>#REF!</v>
      </c>
      <c r="X45" s="85" t="str">
        <f>'CD R Documentación'!R46+'CD R Documentación'!W46+'CD R Documentación'!AB46+'CD R Documentación'!AG46+'CD R Documentación'!AL46+'CD R Documentación'!AQ46+#REF!</f>
        <v>#REF!</v>
      </c>
      <c r="Y45" s="203">
        <v>0.3</v>
      </c>
      <c r="Z45" s="204">
        <f>'CD R Investigación'!P46+'CD R Investigación'!U46+'CD R Investigación'!Z46+'CD R Investigación'!AE46+'CD R Investigación'!AJ46+'CD R Investigación'!AO46+'CD R Investigación'!AT46+'CD R Investigación'!AY46</f>
        <v>12</v>
      </c>
      <c r="AA45" s="204">
        <f>'CD R Investigación'!S46+'CD R Investigación'!X46+'CD R Investigación'!AC46+'CD R Investigación'!AH46+'CD R Investigación'!AM46+'CD R Investigación'!AR46+'CD R Investigación'!AW46+'CD R Investigación'!BB46</f>
        <v>5.28</v>
      </c>
      <c r="AB45" s="205" t="str">
        <f t="shared" si="69"/>
        <v>#REF!</v>
      </c>
      <c r="AC45" s="207" t="str">
        <f>'CD R Desarrollo'!P46+'CD R Desarrollo'!U46+'CD R Desarrollo'!Z46+'CD R Desarrollo'!AE46+'CD R Desarrollo'!AJ46+'CD R Desarrollo'!AO46+#REF!+#REF!</f>
        <v>#REF!</v>
      </c>
      <c r="AD45" s="207" t="str">
        <f>'CD R Desarrollo'!S46+'CD R Desarrollo'!X46+'CD R Desarrollo'!AC46+'CD R Desarrollo'!AH46+'CD R Desarrollo'!AM46+'CD R Desarrollo'!AR46+#REF!+#REF!</f>
        <v>#REF!</v>
      </c>
      <c r="AE45" s="211">
        <v>1.0</v>
      </c>
      <c r="AF45" s="210">
        <f>'PL Cronograma detallado'!L166*AE45</f>
        <v>12.99</v>
      </c>
      <c r="AG45" s="211" t="str">
        <f>AF45/'PL Cronograma detallado'!M$257</f>
        <v>#DIV/0!</v>
      </c>
      <c r="AH45" s="341" t="str">
        <f t="shared" si="74"/>
        <v>#DIV/0!</v>
      </c>
    </row>
    <row r="46" ht="15.75" customHeight="1">
      <c r="A46" s="157" t="s">
        <v>444</v>
      </c>
      <c r="B46" s="159" t="s">
        <v>384</v>
      </c>
      <c r="C46" s="160">
        <v>44682.0</v>
      </c>
      <c r="D46" s="160">
        <v>44682.0</v>
      </c>
      <c r="E46" s="162" t="str">
        <f t="shared" si="25"/>
        <v>#NAME?</v>
      </c>
      <c r="F46" s="80">
        <v>1.0</v>
      </c>
      <c r="G46" s="47">
        <f t="shared" si="77"/>
        <v>0.00113507378</v>
      </c>
      <c r="H46" s="39">
        <f t="shared" si="70"/>
        <v>0.2837684449</v>
      </c>
      <c r="I46" s="169">
        <f t="shared" si="61"/>
        <v>4</v>
      </c>
      <c r="J46" s="261" t="str">
        <f t="shared" si="78"/>
        <v>#REF!</v>
      </c>
      <c r="K46" s="262" t="str">
        <f t="shared" si="76"/>
        <v>#REF!</v>
      </c>
      <c r="L46" s="179" t="str">
        <f t="shared" si="62"/>
        <v>#REF!</v>
      </c>
      <c r="M46" s="179" t="str">
        <f t="shared" si="72"/>
        <v>#REF!</v>
      </c>
      <c r="N46" s="47">
        <f t="shared" si="63"/>
        <v>0.00113507378</v>
      </c>
      <c r="O46" s="47">
        <f t="shared" si="73"/>
        <v>0.2826333712</v>
      </c>
      <c r="P46" s="47" t="str">
        <f t="shared" si="6"/>
        <v>#REF!</v>
      </c>
      <c r="Q46" s="188">
        <f t="shared" si="64"/>
        <v>1</v>
      </c>
      <c r="R46" s="189">
        <v>1.0</v>
      </c>
      <c r="S46" s="190" t="s">
        <v>64</v>
      </c>
      <c r="T46" s="190">
        <f t="shared" si="65"/>
        <v>0.68</v>
      </c>
      <c r="U46" s="189">
        <f t="shared" si="66"/>
        <v>0.68</v>
      </c>
      <c r="V46" s="198">
        <f t="shared" si="67"/>
        <v>1</v>
      </c>
      <c r="W46" s="202">
        <v>1.0</v>
      </c>
      <c r="X46" s="85" t="str">
        <f>'CD R Documentación'!R47+'CD R Documentación'!W47+'CD R Documentación'!AB47+'CD R Documentación'!AG47+'CD R Documentación'!AL47+'CD R Documentación'!AQ47+#REF!</f>
        <v>#REF!</v>
      </c>
      <c r="Y46" s="203">
        <f>Z46/F46</f>
        <v>1</v>
      </c>
      <c r="Z46" s="204">
        <v>1.0</v>
      </c>
      <c r="AA46" s="204">
        <f>'CD R Investigación'!S47+'CD R Investigación'!X47+'CD R Investigación'!AC47+'CD R Investigación'!AH47+'CD R Investigación'!AM47+'CD R Investigación'!AR47+'CD R Investigación'!AW47+'CD R Investigación'!BB47</f>
        <v>0</v>
      </c>
      <c r="AB46" s="205">
        <f t="shared" si="69"/>
        <v>1</v>
      </c>
      <c r="AC46" s="207">
        <v>1.0</v>
      </c>
      <c r="AD46" s="207" t="str">
        <f>'CD R Desarrollo'!S47+'CD R Desarrollo'!X47+'CD R Desarrollo'!AC47+'CD R Desarrollo'!AH47+'CD R Desarrollo'!AM47+'CD R Desarrollo'!AR47+#REF!+#REF!</f>
        <v>#REF!</v>
      </c>
      <c r="AE46" s="211">
        <v>1.0</v>
      </c>
      <c r="AF46" s="210">
        <f>'PL Cronograma detallado'!L167*AE46</f>
        <v>5.75</v>
      </c>
      <c r="AG46" s="211" t="str">
        <f>AF46/'PL Cronograma detallado'!M$257</f>
        <v>#DIV/0!</v>
      </c>
      <c r="AH46" s="341" t="str">
        <f t="shared" si="74"/>
        <v>#DIV/0!</v>
      </c>
    </row>
    <row r="47" ht="15.75" customHeight="1">
      <c r="A47" s="157" t="s">
        <v>451</v>
      </c>
      <c r="B47" s="338" t="s">
        <v>452</v>
      </c>
      <c r="C47" s="160">
        <v>44683.0</v>
      </c>
      <c r="D47" s="160">
        <v>44688.0</v>
      </c>
      <c r="E47" s="162" t="str">
        <f t="shared" si="25"/>
        <v>#NAME?</v>
      </c>
      <c r="F47" s="80">
        <v>12.0</v>
      </c>
      <c r="G47" s="47">
        <f t="shared" si="77"/>
        <v>0.01362088536</v>
      </c>
      <c r="H47" s="39">
        <f t="shared" si="70"/>
        <v>0.2973893303</v>
      </c>
      <c r="I47" s="169" t="str">
        <f t="shared" si="61"/>
        <v>#REF!</v>
      </c>
      <c r="J47" s="321" t="str">
        <f t="shared" si="78"/>
        <v>#REF!</v>
      </c>
      <c r="K47" s="322" t="str">
        <f t="shared" si="76"/>
        <v>#REF!</v>
      </c>
      <c r="L47" s="179" t="str">
        <f t="shared" si="62"/>
        <v>#REF!</v>
      </c>
      <c r="M47" s="179" t="str">
        <f t="shared" si="72"/>
        <v>#REF!</v>
      </c>
      <c r="N47" s="47">
        <f t="shared" si="63"/>
        <v>0.01362088536</v>
      </c>
      <c r="O47" s="47">
        <f t="shared" si="73"/>
        <v>0.2962542565</v>
      </c>
      <c r="P47" s="47" t="str">
        <f t="shared" si="6"/>
        <v>#REF!</v>
      </c>
      <c r="Q47" s="188">
        <f t="shared" si="64"/>
        <v>0</v>
      </c>
      <c r="R47" s="189">
        <v>0.0</v>
      </c>
      <c r="S47" s="190" t="s">
        <v>64</v>
      </c>
      <c r="T47" s="190">
        <f t="shared" si="65"/>
        <v>0.68</v>
      </c>
      <c r="U47" s="189">
        <f t="shared" si="66"/>
        <v>0</v>
      </c>
      <c r="V47" s="198" t="str">
        <f t="shared" si="67"/>
        <v>#REF!</v>
      </c>
      <c r="W47" s="202" t="str">
        <f>'CD R Documentación'!O48+'CD R Documentación'!T48+'CD R Documentación'!Y48+'CD R Documentación'!AD48+'CD R Documentación'!AI48+'CD R Documentación'!AN48+#REF!</f>
        <v>#REF!</v>
      </c>
      <c r="X47" s="85" t="str">
        <f>'CD R Documentación'!R48+'CD R Documentación'!W48+'CD R Documentación'!AB48+'CD R Documentación'!AG48+'CD R Documentación'!AL48+'CD R Documentación'!AQ48+#REF!</f>
        <v>#REF!</v>
      </c>
      <c r="Y47" s="203">
        <v>1.0</v>
      </c>
      <c r="Z47" s="87">
        <v>7.5</v>
      </c>
      <c r="AA47" s="204">
        <f>'CD R Investigación'!S48+'CD R Investigación'!X48+'CD R Investigación'!AC48+'CD R Investigación'!AH48+'CD R Investigación'!AM48+'CD R Investigación'!AR48+'CD R Investigación'!AW48+'CD R Investigación'!BB48</f>
        <v>3.52</v>
      </c>
      <c r="AB47" s="205" t="str">
        <f t="shared" si="69"/>
        <v>#REF!</v>
      </c>
      <c r="AC47" s="207" t="str">
        <f>'CD R Desarrollo'!P48+'CD R Desarrollo'!U48+'CD R Desarrollo'!Z48+'CD R Desarrollo'!AE48+'CD R Desarrollo'!AJ48+'CD R Desarrollo'!AO48+#REF!+#REF!</f>
        <v>#REF!</v>
      </c>
      <c r="AD47" s="207" t="str">
        <f>'CD R Desarrollo'!S48+'CD R Desarrollo'!X48+'CD R Desarrollo'!AC48+'CD R Desarrollo'!AH48+'CD R Desarrollo'!AM48+'CD R Desarrollo'!AR48+#REF!+#REF!</f>
        <v>#REF!</v>
      </c>
      <c r="AE47" s="211">
        <v>1.0</v>
      </c>
      <c r="AF47" s="210">
        <f>'PL Cronograma detallado'!L169*AE47</f>
        <v>5.31</v>
      </c>
      <c r="AG47" s="211" t="str">
        <f>AF47/'PL Cronograma detallado'!M$257</f>
        <v>#DIV/0!</v>
      </c>
      <c r="AH47" s="341" t="str">
        <f t="shared" si="74"/>
        <v>#DIV/0!</v>
      </c>
    </row>
    <row r="48" ht="15.75" customHeight="1">
      <c r="A48" s="157" t="s">
        <v>457</v>
      </c>
      <c r="B48" s="338" t="s">
        <v>458</v>
      </c>
      <c r="C48" s="160">
        <v>44683.0</v>
      </c>
      <c r="D48" s="160">
        <v>44694.0</v>
      </c>
      <c r="E48" s="162" t="str">
        <f t="shared" si="25"/>
        <v>#NAME?</v>
      </c>
      <c r="F48" s="80">
        <v>16.0</v>
      </c>
      <c r="G48" s="47">
        <f t="shared" si="77"/>
        <v>0.01816118048</v>
      </c>
      <c r="H48" s="39">
        <f t="shared" si="70"/>
        <v>0.3155505108</v>
      </c>
      <c r="I48" s="169" t="str">
        <f t="shared" si="61"/>
        <v>#REF!</v>
      </c>
      <c r="J48" s="321" t="str">
        <f t="shared" si="78"/>
        <v>#REF!</v>
      </c>
      <c r="K48" s="322" t="str">
        <f t="shared" si="76"/>
        <v>#REF!</v>
      </c>
      <c r="L48" s="179" t="str">
        <f t="shared" si="62"/>
        <v>#REF!</v>
      </c>
      <c r="M48" s="179" t="str">
        <f t="shared" si="72"/>
        <v>#REF!</v>
      </c>
      <c r="N48" s="47">
        <f t="shared" si="63"/>
        <v>0.01816118048</v>
      </c>
      <c r="O48" s="47">
        <f t="shared" si="73"/>
        <v>0.314415437</v>
      </c>
      <c r="P48" s="342" t="str">
        <f t="shared" si="6"/>
        <v>#REF!</v>
      </c>
      <c r="Q48" s="188">
        <f t="shared" si="64"/>
        <v>0</v>
      </c>
      <c r="R48" s="189">
        <v>0.0</v>
      </c>
      <c r="S48" s="190" t="s">
        <v>64</v>
      </c>
      <c r="T48" s="190">
        <f t="shared" si="65"/>
        <v>0.68</v>
      </c>
      <c r="U48" s="189">
        <f t="shared" si="66"/>
        <v>0</v>
      </c>
      <c r="V48" s="198" t="str">
        <f t="shared" si="67"/>
        <v>#REF!</v>
      </c>
      <c r="W48" s="202" t="str">
        <f>'CD R Documentación'!O49+'CD R Documentación'!T49+'CD R Documentación'!Y49+'CD R Documentación'!AD49+'CD R Documentación'!AI49+'CD R Documentación'!AN49+#REF!</f>
        <v>#REF!</v>
      </c>
      <c r="X48" s="85" t="str">
        <f>'CD R Documentación'!R49+'CD R Documentación'!W49+'CD R Documentación'!AB49+'CD R Documentación'!AG49+'CD R Documentación'!AL49+'CD R Documentación'!AQ49+#REF!</f>
        <v>#REF!</v>
      </c>
      <c r="Y48" s="203">
        <f t="shared" ref="Y48:Y104" si="79">Z48/F48</f>
        <v>0.375</v>
      </c>
      <c r="Z48" s="204">
        <f>'CD R Investigación'!P49+'CD R Investigación'!U49+'CD R Investigación'!Z49+'CD R Investigación'!AE49+'CD R Investigación'!AJ49+'CD R Investigación'!AO49+'CD R Investigación'!AT49+'CD R Investigación'!AY49</f>
        <v>6</v>
      </c>
      <c r="AA48" s="204">
        <f>'CD R Investigación'!S49+'CD R Investigación'!X49+'CD R Investigación'!AC49+'CD R Investigación'!AH49+'CD R Investigación'!AM49+'CD R Investigación'!AR49+'CD R Investigación'!AW49+'CD R Investigación'!BB49</f>
        <v>2.64</v>
      </c>
      <c r="AB48" s="205" t="str">
        <f t="shared" si="69"/>
        <v>#REF!</v>
      </c>
      <c r="AC48" s="207" t="str">
        <f>'CD R Desarrollo'!P49+'CD R Desarrollo'!U49+'CD R Desarrollo'!Z49+'CD R Desarrollo'!AE49+'CD R Desarrollo'!AJ49+'CD R Desarrollo'!AO49+#REF!+#REF!</f>
        <v>#REF!</v>
      </c>
      <c r="AD48" s="207" t="str">
        <f>'CD R Desarrollo'!S49+'CD R Desarrollo'!X49+'CD R Desarrollo'!AC49+'CD R Desarrollo'!AH49+'CD R Desarrollo'!AM49+'CD R Desarrollo'!AR49+#REF!+#REF!</f>
        <v>#REF!</v>
      </c>
      <c r="AE48" s="211">
        <v>1.0</v>
      </c>
      <c r="AF48" s="210">
        <f>'PL Cronograma detallado'!L170*AE48</f>
        <v>11.61</v>
      </c>
      <c r="AG48" s="211" t="str">
        <f>AF48/'PL Cronograma detallado'!M$257</f>
        <v>#DIV/0!</v>
      </c>
      <c r="AH48" s="211" t="str">
        <f t="shared" si="74"/>
        <v>#DIV/0!</v>
      </c>
    </row>
    <row r="49" ht="15.75" customHeight="1">
      <c r="A49" s="157" t="s">
        <v>467</v>
      </c>
      <c r="B49" s="159" t="s">
        <v>448</v>
      </c>
      <c r="C49" s="160">
        <v>44689.0</v>
      </c>
      <c r="D49" s="160">
        <v>44689.0</v>
      </c>
      <c r="E49" s="162" t="str">
        <f t="shared" si="25"/>
        <v>#NAME?</v>
      </c>
      <c r="F49" s="80">
        <v>1.0</v>
      </c>
      <c r="G49" s="47">
        <f t="shared" si="77"/>
        <v>0.00113507378</v>
      </c>
      <c r="H49" s="39">
        <f t="shared" si="70"/>
        <v>0.3166855846</v>
      </c>
      <c r="I49" s="169">
        <f t="shared" si="61"/>
        <v>4</v>
      </c>
      <c r="J49" s="169" t="str">
        <f t="shared" si="78"/>
        <v>#REF!</v>
      </c>
      <c r="K49" s="262" t="str">
        <f t="shared" si="76"/>
        <v>#REF!</v>
      </c>
      <c r="L49" s="179" t="str">
        <f t="shared" si="62"/>
        <v>#REF!</v>
      </c>
      <c r="M49" s="179" t="str">
        <f t="shared" si="72"/>
        <v>#REF!</v>
      </c>
      <c r="N49" s="47">
        <f t="shared" si="63"/>
        <v>0.00113507378</v>
      </c>
      <c r="O49" s="47">
        <f t="shared" si="73"/>
        <v>0.3155505108</v>
      </c>
      <c r="P49" s="323" t="str">
        <f t="shared" si="6"/>
        <v>#REF!</v>
      </c>
      <c r="Q49" s="188">
        <f t="shared" si="64"/>
        <v>1</v>
      </c>
      <c r="R49" s="189">
        <v>1.0</v>
      </c>
      <c r="S49" s="190" t="s">
        <v>64</v>
      </c>
      <c r="T49" s="190">
        <f t="shared" si="65"/>
        <v>0.68</v>
      </c>
      <c r="U49" s="189">
        <f t="shared" si="66"/>
        <v>0.68</v>
      </c>
      <c r="V49" s="198">
        <f t="shared" si="67"/>
        <v>1</v>
      </c>
      <c r="W49" s="202">
        <v>1.0</v>
      </c>
      <c r="X49" s="85" t="str">
        <f>'CD R Documentación'!R50+'CD R Documentación'!W50+'CD R Documentación'!AB50+'CD R Documentación'!AG50+'CD R Documentación'!AL50+'CD R Documentación'!AQ50+#REF!</f>
        <v>#REF!</v>
      </c>
      <c r="Y49" s="203">
        <f t="shared" si="79"/>
        <v>1</v>
      </c>
      <c r="Z49" s="204">
        <v>1.0</v>
      </c>
      <c r="AA49" s="204">
        <f>'CD R Investigación'!S50+'CD R Investigación'!X50+'CD R Investigación'!AC50+'CD R Investigación'!AH50+'CD R Investigación'!AM50+'CD R Investigación'!AR50+'CD R Investigación'!AW50+'CD R Investigación'!BB50</f>
        <v>5.28</v>
      </c>
      <c r="AB49" s="205">
        <f t="shared" si="69"/>
        <v>1</v>
      </c>
      <c r="AC49" s="207">
        <v>1.0</v>
      </c>
      <c r="AD49" s="207" t="str">
        <f>'CD R Desarrollo'!S50+'CD R Desarrollo'!X50+'CD R Desarrollo'!AC50+'CD R Desarrollo'!AH50+'CD R Desarrollo'!AM50+'CD R Desarrollo'!AR50+#REF!+#REF!</f>
        <v>#REF!</v>
      </c>
      <c r="AE49" s="211">
        <v>1.0</v>
      </c>
      <c r="AF49" s="210">
        <f>'PL Cronograma detallado'!L172*AE49</f>
        <v>5.11</v>
      </c>
      <c r="AG49" s="211" t="str">
        <f>AF49/'PL Cronograma detallado'!M$257</f>
        <v>#DIV/0!</v>
      </c>
      <c r="AH49" s="211" t="str">
        <f t="shared" si="74"/>
        <v>#DIV/0!</v>
      </c>
    </row>
    <row r="50" ht="15.75" customHeight="1">
      <c r="A50" s="93" t="s">
        <v>254</v>
      </c>
      <c r="B50" s="94" t="s">
        <v>476</v>
      </c>
      <c r="C50" s="95">
        <v>44695.0</v>
      </c>
      <c r="D50" s="95">
        <v>44751.0</v>
      </c>
      <c r="E50" s="106" t="str">
        <f t="shared" si="25"/>
        <v>#NAME?</v>
      </c>
      <c r="F50" s="108">
        <f t="shared" ref="F50:G50" si="80">SUM(F51,F54,F57,F64,F74)</f>
        <v>409</v>
      </c>
      <c r="G50" s="111">
        <f t="shared" si="80"/>
        <v>0.4642451759</v>
      </c>
      <c r="H50" s="108"/>
      <c r="I50" s="114" t="str">
        <f>SUM(I51,I54,I57,I64,I74)</f>
        <v>#REF!</v>
      </c>
      <c r="J50" s="270" t="str">
        <f>SUM(I50,J20)</f>
        <v>#REF!</v>
      </c>
      <c r="K50" s="111" t="str">
        <f t="shared" si="76"/>
        <v>#REF!</v>
      </c>
      <c r="L50" s="117" t="str">
        <f>SUM(L51,L54,L57,L64,L74)</f>
        <v>#REF!</v>
      </c>
      <c r="M50" s="117" t="str">
        <f t="shared" si="72"/>
        <v>#REF!</v>
      </c>
      <c r="N50" s="111"/>
      <c r="O50" s="111"/>
      <c r="P50" s="111" t="str">
        <f t="shared" si="6"/>
        <v>#REF!</v>
      </c>
      <c r="Q50" s="269">
        <f t="shared" si="64"/>
        <v>0</v>
      </c>
      <c r="R50" s="270">
        <v>0.0</v>
      </c>
      <c r="S50" s="108" t="s">
        <v>64</v>
      </c>
      <c r="T50" s="108">
        <f t="shared" si="65"/>
        <v>0.68</v>
      </c>
      <c r="U50" s="270">
        <f t="shared" si="66"/>
        <v>0</v>
      </c>
      <c r="V50" s="269" t="str">
        <f t="shared" si="67"/>
        <v>#REF!</v>
      </c>
      <c r="W50" s="114" t="str">
        <f>'CD R Documentación'!O51+'CD R Documentación'!T51+'CD R Documentación'!Y51+'CD R Documentación'!AD51+'CD R Documentación'!AI51+'CD R Documentación'!AN51+#REF!</f>
        <v>#REF!</v>
      </c>
      <c r="X50" s="108" t="str">
        <f>'CD R Documentación'!R51+'CD R Documentación'!W51+'CD R Documentación'!AB51+'CD R Documentación'!AG51+'CD R Documentación'!AL51+'CD R Documentación'!AQ51+#REF!</f>
        <v>#REF!</v>
      </c>
      <c r="Y50" s="269">
        <f t="shared" si="79"/>
        <v>0.01466992665</v>
      </c>
      <c r="Z50" s="270">
        <f>'CD R Investigación'!P51+'CD R Investigación'!U51+'CD R Investigación'!Z51+'CD R Investigación'!AE51+'CD R Investigación'!AJ51+'CD R Investigación'!AO51+'CD R Investigación'!AT51+'CD R Investigación'!AY51</f>
        <v>6</v>
      </c>
      <c r="AA50" s="270">
        <f>'CD R Investigación'!S51+'CD R Investigación'!X51+'CD R Investigación'!AC51+'CD R Investigación'!AH51+'CD R Investigación'!AM51+'CD R Investigación'!AR51+'CD R Investigación'!AW51+'CD R Investigación'!BB51</f>
        <v>2.64</v>
      </c>
      <c r="AB50" s="269" t="str">
        <f t="shared" si="69"/>
        <v>#REF!</v>
      </c>
      <c r="AC50" s="270" t="str">
        <f>'CD R Desarrollo'!P51+'CD R Desarrollo'!U51+'CD R Desarrollo'!Z51+'CD R Desarrollo'!AE51+'CD R Desarrollo'!AJ51+'CD R Desarrollo'!AO51+#REF!+#REF!</f>
        <v>#REF!</v>
      </c>
      <c r="AD50" s="270" t="str">
        <f>'CD R Desarrollo'!S51+'CD R Desarrollo'!X51+'CD R Desarrollo'!AC51+'CD R Desarrollo'!AH51+'CD R Desarrollo'!AM51+'CD R Desarrollo'!AR51+#REF!+#REF!</f>
        <v>#REF!</v>
      </c>
      <c r="AE50" s="344"/>
      <c r="AF50" s="344"/>
      <c r="AG50" s="344"/>
      <c r="AH50" s="345"/>
    </row>
    <row r="51" ht="15.75" customHeight="1">
      <c r="A51" s="130" t="s">
        <v>256</v>
      </c>
      <c r="B51" s="132" t="s">
        <v>484</v>
      </c>
      <c r="C51" s="133">
        <v>44695.0</v>
      </c>
      <c r="D51" s="133">
        <v>44701.0</v>
      </c>
      <c r="E51" s="134" t="str">
        <f t="shared" si="25"/>
        <v>#NAME?</v>
      </c>
      <c r="F51" s="136">
        <f t="shared" ref="F51:G51" si="81">SUM(F52:F53)</f>
        <v>11</v>
      </c>
      <c r="G51" s="115">
        <f t="shared" si="81"/>
        <v>0.01248581158</v>
      </c>
      <c r="H51" s="115">
        <f>SUM(G51,H49)</f>
        <v>0.3291713961</v>
      </c>
      <c r="I51" s="139" t="str">
        <f>SUM(I52:I53)</f>
        <v>#REF!</v>
      </c>
      <c r="J51" s="110" t="str">
        <f>SUM(I51,J37)</f>
        <v>#REF!</v>
      </c>
      <c r="K51" s="115" t="str">
        <f t="shared" si="76"/>
        <v>#REF!</v>
      </c>
      <c r="L51" s="143" t="str">
        <f>SUM(L52:L53)</f>
        <v>#REF!</v>
      </c>
      <c r="M51" s="143" t="str">
        <f>SUM(L51,M49)</f>
        <v>#REF!</v>
      </c>
      <c r="N51" s="115"/>
      <c r="O51" s="115"/>
      <c r="P51" s="115" t="str">
        <f t="shared" si="6"/>
        <v>#REF!</v>
      </c>
      <c r="Q51" s="148">
        <f t="shared" si="64"/>
        <v>0</v>
      </c>
      <c r="R51" s="110">
        <v>0.0</v>
      </c>
      <c r="S51" s="136" t="s">
        <v>64</v>
      </c>
      <c r="T51" s="136">
        <f t="shared" si="65"/>
        <v>0.68</v>
      </c>
      <c r="U51" s="110">
        <f t="shared" si="66"/>
        <v>0</v>
      </c>
      <c r="V51" s="148" t="str">
        <f t="shared" si="67"/>
        <v>#REF!</v>
      </c>
      <c r="W51" s="139" t="str">
        <f>'CD R Documentación'!O52+'CD R Documentación'!T52+'CD R Documentación'!Y52+'CD R Documentación'!AD52+'CD R Documentación'!AI52+'CD R Documentación'!AN52+#REF!</f>
        <v>#REF!</v>
      </c>
      <c r="X51" s="136" t="str">
        <f>'CD R Documentación'!R52+'CD R Documentación'!W52+'CD R Documentación'!AB52+'CD R Documentación'!AG52+'CD R Documentación'!AL52+'CD R Documentación'!AQ52+#REF!</f>
        <v>#REF!</v>
      </c>
      <c r="Y51" s="148">
        <f t="shared" si="79"/>
        <v>0</v>
      </c>
      <c r="Z51" s="110">
        <f>'CD R Investigación'!P52+'CD R Investigación'!U52+'CD R Investigación'!Z52+'CD R Investigación'!AE52+'CD R Investigación'!AJ52+'CD R Investigación'!AO52+'CD R Investigación'!AT52+'CD R Investigación'!AY52</f>
        <v>0</v>
      </c>
      <c r="AA51" s="110">
        <f>'CD R Investigación'!S52+'CD R Investigación'!X52+'CD R Investigación'!AC52+'CD R Investigación'!AH52+'CD R Investigación'!AM52+'CD R Investigación'!AR52+'CD R Investigación'!AW52+'CD R Investigación'!BB52</f>
        <v>0</v>
      </c>
      <c r="AB51" s="148" t="str">
        <f t="shared" si="69"/>
        <v>#REF!</v>
      </c>
      <c r="AC51" s="110" t="str">
        <f>'CD R Desarrollo'!P52+'CD R Desarrollo'!U52+'CD R Desarrollo'!Z52+'CD R Desarrollo'!AE52+'CD R Desarrollo'!AJ52+'CD R Desarrollo'!AO52+#REF!+#REF!</f>
        <v>#REF!</v>
      </c>
      <c r="AD51" s="110" t="str">
        <f>'CD R Desarrollo'!S52+'CD R Desarrollo'!X52+'CD R Desarrollo'!AC52+'CD R Desarrollo'!AH52+'CD R Desarrollo'!AM52+'CD R Desarrollo'!AR52+#REF!+#REF!</f>
        <v>#REF!</v>
      </c>
      <c r="AE51" s="155"/>
      <c r="AF51" s="155"/>
      <c r="AG51" s="155"/>
      <c r="AH51" s="339"/>
    </row>
    <row r="52" ht="15.75" customHeight="1">
      <c r="A52" s="157" t="s">
        <v>186</v>
      </c>
      <c r="B52" s="159" t="s">
        <v>492</v>
      </c>
      <c r="C52" s="160">
        <v>44695.0</v>
      </c>
      <c r="D52" s="160">
        <v>44701.0</v>
      </c>
      <c r="E52" s="162" t="str">
        <f t="shared" si="25"/>
        <v>#NAME?</v>
      </c>
      <c r="F52" s="80">
        <v>10.0</v>
      </c>
      <c r="G52" s="47">
        <f t="shared" ref="G52:G53" si="82">F52/F$105</f>
        <v>0.0113507378</v>
      </c>
      <c r="H52" s="39">
        <f>SUM(H49,G52)</f>
        <v>0.3280363224</v>
      </c>
      <c r="I52" s="169" t="str">
        <f t="shared" ref="I52:I53" si="83">SUM(R52,W52,Z52,AC52)</f>
        <v>#REF!</v>
      </c>
      <c r="J52" s="321" t="str">
        <f>SUM(I52,J49)</f>
        <v>#REF!</v>
      </c>
      <c r="K52" s="322" t="str">
        <f t="shared" si="76"/>
        <v>#REF!</v>
      </c>
      <c r="L52" s="179" t="str">
        <f t="shared" ref="L52:L53" si="84">SUM(U52,X52,AA52,AD52)</f>
        <v>#REF!</v>
      </c>
      <c r="M52" s="179" t="str">
        <f>SUM(L52,M49)</f>
        <v>#REF!</v>
      </c>
      <c r="N52" s="262">
        <f t="shared" ref="N52:N53" si="85">G52*AE52</f>
        <v>0.0113507378</v>
      </c>
      <c r="O52" s="262">
        <f>SUM(N52,O49)</f>
        <v>0.3269012486</v>
      </c>
      <c r="P52" s="323" t="str">
        <f t="shared" si="6"/>
        <v>#REF!</v>
      </c>
      <c r="Q52" s="188">
        <f t="shared" si="64"/>
        <v>0</v>
      </c>
      <c r="R52" s="189">
        <v>0.0</v>
      </c>
      <c r="S52" s="190" t="s">
        <v>64</v>
      </c>
      <c r="T52" s="190">
        <f t="shared" si="65"/>
        <v>0.68</v>
      </c>
      <c r="U52" s="189">
        <f t="shared" si="66"/>
        <v>0</v>
      </c>
      <c r="V52" s="198" t="str">
        <f t="shared" si="67"/>
        <v>#REF!</v>
      </c>
      <c r="W52" s="202" t="str">
        <f>'CD R Documentación'!O53+'CD R Documentación'!T53+'CD R Documentación'!Y53+'CD R Documentación'!AD53+'CD R Documentación'!AI53+'CD R Documentación'!AN53+#REF!</f>
        <v>#REF!</v>
      </c>
      <c r="X52" s="85" t="str">
        <f>'CD R Documentación'!R53+'CD R Documentación'!W53+'CD R Documentación'!AB53+'CD R Documentación'!AG53+'CD R Documentación'!AL53+'CD R Documentación'!AQ53+#REF!</f>
        <v>#REF!</v>
      </c>
      <c r="Y52" s="203">
        <f t="shared" si="79"/>
        <v>0.6</v>
      </c>
      <c r="Z52" s="204">
        <f>'CD R Investigación'!P53+'CD R Investigación'!U53+'CD R Investigación'!Z53+'CD R Investigación'!AE53+'CD R Investigación'!AJ53+'CD R Investigación'!AO53+'CD R Investigación'!AT53+'CD R Investigación'!AY53</f>
        <v>6</v>
      </c>
      <c r="AA52" s="204">
        <f>'CD R Investigación'!S53+'CD R Investigación'!X53+'CD R Investigación'!AC53+'CD R Investigación'!AH53+'CD R Investigación'!AM53+'CD R Investigación'!AR53+'CD R Investigación'!AW53+'CD R Investigación'!BB53</f>
        <v>2.64</v>
      </c>
      <c r="AB52" s="205" t="str">
        <f t="shared" si="69"/>
        <v>#REF!</v>
      </c>
      <c r="AC52" s="207" t="str">
        <f>'CD R Desarrollo'!P53+'CD R Desarrollo'!U53+'CD R Desarrollo'!Z53+'CD R Desarrollo'!AE53+'CD R Desarrollo'!AJ53+'CD R Desarrollo'!AO53+#REF!+#REF!</f>
        <v>#REF!</v>
      </c>
      <c r="AD52" s="207" t="str">
        <f>'CD R Desarrollo'!S53+'CD R Desarrollo'!X53+'CD R Desarrollo'!AC53+'CD R Desarrollo'!AH53+'CD R Desarrollo'!AM53+'CD R Desarrollo'!AR53+#REF!+#REF!</f>
        <v>#REF!</v>
      </c>
      <c r="AE52" s="211">
        <v>1.0</v>
      </c>
      <c r="AF52" s="210">
        <f>'PL Cronograma detallado'!L176*AE52</f>
        <v>3.43</v>
      </c>
      <c r="AG52" s="211" t="str">
        <f>AF52/'PL Cronograma detallado'!M$257</f>
        <v>#DIV/0!</v>
      </c>
      <c r="AH52" s="211" t="str">
        <f>SUM(AG52,AH49)</f>
        <v>#DIV/0!</v>
      </c>
    </row>
    <row r="53" ht="15.75" customHeight="1">
      <c r="A53" s="157" t="s">
        <v>188</v>
      </c>
      <c r="B53" s="159" t="s">
        <v>456</v>
      </c>
      <c r="C53" s="160">
        <v>44696.0</v>
      </c>
      <c r="D53" s="160">
        <v>44696.0</v>
      </c>
      <c r="E53" s="162" t="str">
        <f t="shared" si="25"/>
        <v>#NAME?</v>
      </c>
      <c r="F53" s="80">
        <v>1.0</v>
      </c>
      <c r="G53" s="47">
        <f t="shared" si="82"/>
        <v>0.00113507378</v>
      </c>
      <c r="H53" s="39">
        <f>SUM(H52,G53)</f>
        <v>0.3291713961</v>
      </c>
      <c r="I53" s="169" t="str">
        <f t="shared" si="83"/>
        <v>#REF!</v>
      </c>
      <c r="J53" s="329" t="str">
        <f>SUM(I53,J52)</f>
        <v>#REF!</v>
      </c>
      <c r="K53" s="322" t="str">
        <f t="shared" si="76"/>
        <v>#REF!</v>
      </c>
      <c r="L53" s="179" t="str">
        <f t="shared" si="84"/>
        <v>#REF!</v>
      </c>
      <c r="M53" s="179" t="str">
        <f t="shared" ref="M53:M54" si="87">SUM(L53,M52)</f>
        <v>#REF!</v>
      </c>
      <c r="N53" s="262">
        <f t="shared" si="85"/>
        <v>0.00113507378</v>
      </c>
      <c r="O53" s="47">
        <f>SUM(N53,O52)</f>
        <v>0.3280363224</v>
      </c>
      <c r="P53" s="47" t="str">
        <f t="shared" si="6"/>
        <v>#REF!</v>
      </c>
      <c r="Q53" s="188">
        <f t="shared" si="64"/>
        <v>1</v>
      </c>
      <c r="R53" s="189">
        <v>1.0</v>
      </c>
      <c r="S53" s="190" t="s">
        <v>64</v>
      </c>
      <c r="T53" s="190">
        <f t="shared" si="65"/>
        <v>0.68</v>
      </c>
      <c r="U53" s="189">
        <f t="shared" si="66"/>
        <v>0.68</v>
      </c>
      <c r="V53" s="198" t="str">
        <f t="shared" si="67"/>
        <v>#REF!</v>
      </c>
      <c r="W53" s="202" t="str">
        <f>'CD R Documentación'!O54+'CD R Documentación'!T54+'CD R Documentación'!Y54+'CD R Documentación'!AD54+'CD R Documentación'!AI54+'CD R Documentación'!AN54+#REF!</f>
        <v>#REF!</v>
      </c>
      <c r="X53" s="85" t="str">
        <f>'CD R Documentación'!R54+'CD R Documentación'!W54+'CD R Documentación'!AB54+'CD R Documentación'!AG54+'CD R Documentación'!AL54+'CD R Documentación'!AQ54+#REF!</f>
        <v>#REF!</v>
      </c>
      <c r="Y53" s="203">
        <f t="shared" si="79"/>
        <v>12</v>
      </c>
      <c r="Z53" s="204">
        <f>'CD R Investigación'!P54+'CD R Investigación'!U54+'CD R Investigación'!Z54+'CD R Investigación'!AE54+'CD R Investigación'!AJ54+'CD R Investigación'!AO54+'CD R Investigación'!AT54+'CD R Investigación'!AY54</f>
        <v>12</v>
      </c>
      <c r="AA53" s="204">
        <f>'CD R Investigación'!S54+'CD R Investigación'!X54+'CD R Investigación'!AC54+'CD R Investigación'!AH54+'CD R Investigación'!AM54+'CD R Investigación'!AR54+'CD R Investigación'!AW54+'CD R Investigación'!BB54</f>
        <v>5.28</v>
      </c>
      <c r="AB53" s="205" t="str">
        <f t="shared" si="69"/>
        <v>#REF!</v>
      </c>
      <c r="AC53" s="207" t="str">
        <f>'CD R Desarrollo'!P54+'CD R Desarrollo'!U54+'CD R Desarrollo'!Z54+'CD R Desarrollo'!AE54+'CD R Desarrollo'!AJ54+'CD R Desarrollo'!AO54+#REF!+#REF!</f>
        <v>#REF!</v>
      </c>
      <c r="AD53" s="207" t="str">
        <f>'CD R Desarrollo'!S54+'CD R Desarrollo'!X54+'CD R Desarrollo'!AC54+'CD R Desarrollo'!AH54+'CD R Desarrollo'!AM54+'CD R Desarrollo'!AR54+#REF!+#REF!</f>
        <v>#REF!</v>
      </c>
      <c r="AE53" s="211">
        <v>1.0</v>
      </c>
      <c r="AF53" s="210">
        <f>'PL Cronograma detallado'!L178*AE53</f>
        <v>1.88</v>
      </c>
      <c r="AG53" s="211" t="str">
        <f>AF53/'PL Cronograma detallado'!M$257</f>
        <v>#DIV/0!</v>
      </c>
      <c r="AH53" s="211" t="str">
        <f>SUM(AG53,AH52)</f>
        <v>#DIV/0!</v>
      </c>
    </row>
    <row r="54" ht="15.75" customHeight="1">
      <c r="A54" s="130" t="s">
        <v>267</v>
      </c>
      <c r="B54" s="132" t="s">
        <v>512</v>
      </c>
      <c r="C54" s="133">
        <v>44697.0</v>
      </c>
      <c r="D54" s="133">
        <v>44719.0</v>
      </c>
      <c r="E54" s="134" t="str">
        <f t="shared" si="25"/>
        <v>#NAME?</v>
      </c>
      <c r="F54" s="136">
        <f t="shared" ref="F54:G54" si="86">SUM(F55:F56)</f>
        <v>42</v>
      </c>
      <c r="G54" s="115">
        <f t="shared" si="86"/>
        <v>0.04767309875</v>
      </c>
      <c r="H54" s="115">
        <f>SUM(G54,H53)</f>
        <v>0.3768444949</v>
      </c>
      <c r="I54" s="139" t="str">
        <f>SUM(I55:I56)</f>
        <v>#REF!</v>
      </c>
      <c r="J54" s="139" t="str">
        <f>SUM(I54,J51)</f>
        <v>#REF!</v>
      </c>
      <c r="K54" s="115" t="str">
        <f t="shared" si="76"/>
        <v>#REF!</v>
      </c>
      <c r="L54" s="143" t="str">
        <f>SUM(L55:L56)</f>
        <v>#REF!</v>
      </c>
      <c r="M54" s="143" t="str">
        <f t="shared" si="87"/>
        <v>#REF!</v>
      </c>
      <c r="N54" s="115"/>
      <c r="O54" s="115"/>
      <c r="P54" s="115" t="str">
        <f t="shared" si="6"/>
        <v>#REF!</v>
      </c>
      <c r="Q54" s="148">
        <f t="shared" si="64"/>
        <v>0</v>
      </c>
      <c r="R54" s="110">
        <v>0.0</v>
      </c>
      <c r="S54" s="136" t="s">
        <v>64</v>
      </c>
      <c r="T54" s="136">
        <f t="shared" si="65"/>
        <v>0.68</v>
      </c>
      <c r="U54" s="110">
        <f t="shared" si="66"/>
        <v>0</v>
      </c>
      <c r="V54" s="148" t="str">
        <f t="shared" si="67"/>
        <v>#REF!</v>
      </c>
      <c r="W54" s="139" t="str">
        <f>'CD R Documentación'!O55+'CD R Documentación'!T55+'CD R Documentación'!Y55+'CD R Documentación'!AD55+'CD R Documentación'!AI55+'CD R Documentación'!AN55+#REF!</f>
        <v>#REF!</v>
      </c>
      <c r="X54" s="136" t="str">
        <f>'CD R Documentación'!R55+'CD R Documentación'!W55+'CD R Documentación'!AB55+'CD R Documentación'!AG55+'CD R Documentación'!AL55+'CD R Documentación'!AQ55+#REF!</f>
        <v>#REF!</v>
      </c>
      <c r="Y54" s="148">
        <f t="shared" si="79"/>
        <v>0.2857142857</v>
      </c>
      <c r="Z54" s="110">
        <f>'CD R Investigación'!P55+'CD R Investigación'!U55+'CD R Investigación'!Z55+'CD R Investigación'!AE55+'CD R Investigación'!AJ55+'CD R Investigación'!AO55+'CD R Investigación'!AT55+'CD R Investigación'!AY55</f>
        <v>12</v>
      </c>
      <c r="AA54" s="110">
        <f>'CD R Investigación'!S55+'CD R Investigación'!X55+'CD R Investigación'!AC55+'CD R Investigación'!AH55+'CD R Investigación'!AM55+'CD R Investigación'!AR55+'CD R Investigación'!AW55+'CD R Investigación'!BB55</f>
        <v>5.28</v>
      </c>
      <c r="AB54" s="148" t="str">
        <f t="shared" si="69"/>
        <v>#REF!</v>
      </c>
      <c r="AC54" s="110" t="str">
        <f>'CD R Desarrollo'!P55+'CD R Desarrollo'!U55+'CD R Desarrollo'!Z55+'CD R Desarrollo'!AE55+'CD R Desarrollo'!AJ55+'CD R Desarrollo'!AO55+#REF!+#REF!</f>
        <v>#REF!</v>
      </c>
      <c r="AD54" s="110" t="str">
        <f>'CD R Desarrollo'!S55+'CD R Desarrollo'!X55+'CD R Desarrollo'!AC55+'CD R Desarrollo'!AH55+'CD R Desarrollo'!AM55+'CD R Desarrollo'!AR55+#REF!+#REF!</f>
        <v>#REF!</v>
      </c>
      <c r="AE54" s="155"/>
      <c r="AF54" s="155"/>
      <c r="AG54" s="155"/>
      <c r="AH54" s="339"/>
    </row>
    <row r="55" ht="15.75" customHeight="1">
      <c r="A55" s="157" t="s">
        <v>191</v>
      </c>
      <c r="B55" s="159" t="s">
        <v>520</v>
      </c>
      <c r="C55" s="160">
        <v>44696.0</v>
      </c>
      <c r="D55" s="160">
        <v>44709.0</v>
      </c>
      <c r="E55" s="162" t="str">
        <f t="shared" si="25"/>
        <v>#NAME?</v>
      </c>
      <c r="F55" s="80">
        <v>30.0</v>
      </c>
      <c r="G55" s="47">
        <f t="shared" ref="G55:G56" si="88">F55/F$105</f>
        <v>0.03405221339</v>
      </c>
      <c r="H55" s="39">
        <f>SUM(H53,G55)</f>
        <v>0.3632236095</v>
      </c>
      <c r="I55" s="169" t="str">
        <f t="shared" ref="I55:I56" si="89">SUM(R55,W55,Z55,AC55)</f>
        <v>#REF!</v>
      </c>
      <c r="J55" s="321" t="str">
        <f>SUM(I55,J53)</f>
        <v>#REF!</v>
      </c>
      <c r="K55" s="322" t="str">
        <f t="shared" si="76"/>
        <v>#REF!</v>
      </c>
      <c r="L55" s="179" t="str">
        <f t="shared" ref="L55:L56" si="90">SUM(U55,X55,AA55,AD55)</f>
        <v>#REF!</v>
      </c>
      <c r="M55" s="179" t="str">
        <f>SUM(L55,M53)</f>
        <v>#REF!</v>
      </c>
      <c r="N55" s="47">
        <f t="shared" ref="N55:N56" si="91">G55*AE55</f>
        <v>0.03405221339</v>
      </c>
      <c r="O55" s="47">
        <f>SUM(N55,O53)</f>
        <v>0.3620885358</v>
      </c>
      <c r="P55" s="47" t="str">
        <f t="shared" si="6"/>
        <v>#REF!</v>
      </c>
      <c r="Q55" s="188">
        <f t="shared" si="64"/>
        <v>0</v>
      </c>
      <c r="R55" s="189">
        <v>0.0</v>
      </c>
      <c r="S55" s="190" t="s">
        <v>64</v>
      </c>
      <c r="T55" s="190">
        <f t="shared" si="65"/>
        <v>0.68</v>
      </c>
      <c r="U55" s="189">
        <f t="shared" si="66"/>
        <v>0</v>
      </c>
      <c r="V55" s="198" t="str">
        <f t="shared" si="67"/>
        <v>#REF!</v>
      </c>
      <c r="W55" s="202" t="str">
        <f>'CD R Documentación'!O56+'CD R Documentación'!T56+'CD R Documentación'!Y56+'CD R Documentación'!AD56+'CD R Documentación'!AI56+'CD R Documentación'!AN56+#REF!</f>
        <v>#REF!</v>
      </c>
      <c r="X55" s="85" t="str">
        <f>'CD R Documentación'!R56+'CD R Documentación'!W56+'CD R Documentación'!AB56+'CD R Documentación'!AG56+'CD R Documentación'!AL56+'CD R Documentación'!AQ56+#REF!</f>
        <v>#REF!</v>
      </c>
      <c r="Y55" s="203">
        <f t="shared" si="79"/>
        <v>0</v>
      </c>
      <c r="Z55" s="204">
        <f>'CD R Investigación'!P56+'CD R Investigación'!U56+'CD R Investigación'!Z56+'CD R Investigación'!AE56+'CD R Investigación'!AJ56+'CD R Investigación'!AO56+'CD R Investigación'!AT56+'CD R Investigación'!AY56</f>
        <v>0</v>
      </c>
      <c r="AA55" s="204">
        <f>'CD R Investigación'!S56+'CD R Investigación'!X56+'CD R Investigación'!AC56+'CD R Investigación'!AH56+'CD R Investigación'!AM56+'CD R Investigación'!AR56+'CD R Investigación'!AW56+'CD R Investigación'!BB56</f>
        <v>0</v>
      </c>
      <c r="AB55" s="205" t="str">
        <f t="shared" si="69"/>
        <v>#REF!</v>
      </c>
      <c r="AC55" s="207" t="str">
        <f>'CD R Desarrollo'!P56+'CD R Desarrollo'!U56+'CD R Desarrollo'!Z56+'CD R Desarrollo'!AE56+'CD R Desarrollo'!AJ56+'CD R Desarrollo'!AO56+#REF!+#REF!</f>
        <v>#REF!</v>
      </c>
      <c r="AD55" s="207" t="str">
        <f>'CD R Desarrollo'!S56+'CD R Desarrollo'!X56+'CD R Desarrollo'!AC56+'CD R Desarrollo'!AH56+'CD R Desarrollo'!AM56+'CD R Desarrollo'!AR56+#REF!+#REF!</f>
        <v>#REF!</v>
      </c>
      <c r="AE55" s="211">
        <v>1.0</v>
      </c>
      <c r="AF55" s="210">
        <f>'PL Cronograma detallado'!L181*AE55</f>
        <v>5.06</v>
      </c>
      <c r="AG55" s="211" t="str">
        <f>AF55/'PL Cronograma detallado'!M$257</f>
        <v>#DIV/0!</v>
      </c>
      <c r="AH55" s="211" t="str">
        <f>SUM(AG55,AH53)</f>
        <v>#DIV/0!</v>
      </c>
    </row>
    <row r="56" ht="15.75" customHeight="1">
      <c r="A56" s="157" t="s">
        <v>193</v>
      </c>
      <c r="B56" s="159" t="s">
        <v>530</v>
      </c>
      <c r="C56" s="160">
        <v>44709.0</v>
      </c>
      <c r="D56" s="160">
        <v>44711.0</v>
      </c>
      <c r="E56" s="162" t="str">
        <f t="shared" si="25"/>
        <v>#NAME?</v>
      </c>
      <c r="F56" s="80">
        <v>12.0</v>
      </c>
      <c r="G56" s="47">
        <f t="shared" si="88"/>
        <v>0.01362088536</v>
      </c>
      <c r="H56" s="39">
        <f>SUM(H55,G56)</f>
        <v>0.3768444949</v>
      </c>
      <c r="I56" s="169" t="str">
        <f t="shared" si="89"/>
        <v>#REF!</v>
      </c>
      <c r="J56" s="321" t="str">
        <f>SUM(I56,J55)</f>
        <v>#REF!</v>
      </c>
      <c r="K56" s="322" t="str">
        <f t="shared" si="76"/>
        <v>#REF!</v>
      </c>
      <c r="L56" s="179" t="str">
        <f t="shared" si="90"/>
        <v>#REF!</v>
      </c>
      <c r="M56" s="179" t="str">
        <f t="shared" ref="M56:M57" si="93">SUM(L56,M55)</f>
        <v>#REF!</v>
      </c>
      <c r="N56" s="47">
        <f t="shared" si="91"/>
        <v>0.01362088536</v>
      </c>
      <c r="O56" s="47">
        <f>SUM(N56,O55)</f>
        <v>0.3757094211</v>
      </c>
      <c r="P56" s="323" t="str">
        <f t="shared" si="6"/>
        <v>#REF!</v>
      </c>
      <c r="Q56" s="188">
        <f t="shared" si="64"/>
        <v>0.08333333333</v>
      </c>
      <c r="R56" s="189">
        <v>1.0</v>
      </c>
      <c r="S56" s="190" t="s">
        <v>64</v>
      </c>
      <c r="T56" s="190">
        <f t="shared" si="65"/>
        <v>0.68</v>
      </c>
      <c r="U56" s="189">
        <f t="shared" si="66"/>
        <v>0.68</v>
      </c>
      <c r="V56" s="198" t="str">
        <f t="shared" si="67"/>
        <v>#REF!</v>
      </c>
      <c r="W56" s="202" t="str">
        <f>'CD R Documentación'!O57+'CD R Documentación'!T57+'CD R Documentación'!Y57+'CD R Documentación'!AD57+'CD R Documentación'!AI57+'CD R Documentación'!AN57+#REF!</f>
        <v>#REF!</v>
      </c>
      <c r="X56" s="85" t="str">
        <f>'CD R Documentación'!R57+'CD R Documentación'!W57+'CD R Documentación'!AB57+'CD R Documentación'!AG57+'CD R Documentación'!AL57+'CD R Documentación'!AQ57+#REF!</f>
        <v>#REF!</v>
      </c>
      <c r="Y56" s="203">
        <f t="shared" si="79"/>
        <v>0</v>
      </c>
      <c r="Z56" s="204">
        <f>'CD R Investigación'!P57+'CD R Investigación'!U57+'CD R Investigación'!Z57+'CD R Investigación'!AE57+'CD R Investigación'!AJ57+'CD R Investigación'!AO57+'CD R Investigación'!AT57+'CD R Investigación'!AY57</f>
        <v>0</v>
      </c>
      <c r="AA56" s="204">
        <f>'CD R Investigación'!S57+'CD R Investigación'!X57+'CD R Investigación'!AC57+'CD R Investigación'!AH57+'CD R Investigación'!AM57+'CD R Investigación'!AR57+'CD R Investigación'!AW57+'CD R Investigación'!BB57</f>
        <v>0</v>
      </c>
      <c r="AB56" s="205" t="str">
        <f t="shared" si="69"/>
        <v>#REF!</v>
      </c>
      <c r="AC56" s="207" t="str">
        <f>'CD R Desarrollo'!P57+'CD R Desarrollo'!U57+'CD R Desarrollo'!Z57+'CD R Desarrollo'!AE57+'CD R Desarrollo'!AJ57+'CD R Desarrollo'!AO57+#REF!+#REF!</f>
        <v>#REF!</v>
      </c>
      <c r="AD56" s="207" t="str">
        <f>'CD R Desarrollo'!S57+'CD R Desarrollo'!X57+'CD R Desarrollo'!AC57+'CD R Desarrollo'!AH57+'CD R Desarrollo'!AM57+'CD R Desarrollo'!AR57+#REF!+#REF!</f>
        <v>#REF!</v>
      </c>
      <c r="AE56" s="211">
        <v>1.0</v>
      </c>
      <c r="AF56" s="210">
        <f>'PL Cronograma detallado'!L184*AE56</f>
        <v>2.49</v>
      </c>
      <c r="AG56" s="211" t="str">
        <f>AF56/'PL Cronograma detallado'!M$257</f>
        <v>#DIV/0!</v>
      </c>
      <c r="AH56" s="211" t="str">
        <f>SUM(AG56,AH55)</f>
        <v>#DIV/0!</v>
      </c>
    </row>
    <row r="57" ht="15.75" customHeight="1">
      <c r="A57" s="130" t="s">
        <v>295</v>
      </c>
      <c r="B57" s="132" t="s">
        <v>539</v>
      </c>
      <c r="C57" s="133">
        <v>44697.0</v>
      </c>
      <c r="D57" s="133">
        <v>44711.0</v>
      </c>
      <c r="E57" s="134" t="str">
        <f t="shared" si="25"/>
        <v>#NAME?</v>
      </c>
      <c r="F57" s="136">
        <f t="shared" ref="F57:G57" si="92">SUM(F58:F63)</f>
        <v>60</v>
      </c>
      <c r="G57" s="115">
        <f t="shared" si="92"/>
        <v>0.06810442679</v>
      </c>
      <c r="H57" s="115">
        <f>SUM(G57,H56)</f>
        <v>0.4449489217</v>
      </c>
      <c r="I57" s="139" t="str">
        <f>SUM(I58:I63)</f>
        <v>#REF!</v>
      </c>
      <c r="J57" s="139" t="str">
        <f>SUM(I57,J54)</f>
        <v>#REF!</v>
      </c>
      <c r="K57" s="115" t="str">
        <f t="shared" si="76"/>
        <v>#REF!</v>
      </c>
      <c r="L57" s="143" t="str">
        <f>SUM(L58:L63)</f>
        <v>#REF!</v>
      </c>
      <c r="M57" s="143" t="str">
        <f t="shared" si="93"/>
        <v>#REF!</v>
      </c>
      <c r="N57" s="115"/>
      <c r="O57" s="115" t="str">
        <f>AH57</f>
        <v/>
      </c>
      <c r="P57" s="115" t="str">
        <f t="shared" si="6"/>
        <v>#REF!</v>
      </c>
      <c r="Q57" s="148">
        <f t="shared" si="64"/>
        <v>0</v>
      </c>
      <c r="R57" s="110">
        <v>0.0</v>
      </c>
      <c r="S57" s="136" t="s">
        <v>64</v>
      </c>
      <c r="T57" s="136">
        <f t="shared" si="65"/>
        <v>0.68</v>
      </c>
      <c r="U57" s="110">
        <f t="shared" si="66"/>
        <v>0</v>
      </c>
      <c r="V57" s="148" t="str">
        <f t="shared" si="67"/>
        <v>#REF!</v>
      </c>
      <c r="W57" s="139" t="str">
        <f>'CD R Documentación'!O58+'CD R Documentación'!T58+'CD R Documentación'!Y58+'CD R Documentación'!AD58+'CD R Documentación'!AI58+'CD R Documentación'!AN58+#REF!</f>
        <v>#REF!</v>
      </c>
      <c r="X57" s="136" t="str">
        <f>'CD R Documentación'!R58+'CD R Documentación'!W58+'CD R Documentación'!AB58+'CD R Documentación'!AG58+'CD R Documentación'!AL58+'CD R Documentación'!AQ58+#REF!</f>
        <v>#REF!</v>
      </c>
      <c r="Y57" s="148">
        <f t="shared" si="79"/>
        <v>0</v>
      </c>
      <c r="Z57" s="110">
        <f>'CD R Investigación'!P58+'CD R Investigación'!U58+'CD R Investigación'!Z58+'CD R Investigación'!AE58+'CD R Investigación'!AJ58+'CD R Investigación'!AO58+'CD R Investigación'!AT58+'CD R Investigación'!AY58</f>
        <v>0</v>
      </c>
      <c r="AA57" s="110">
        <f>'CD R Investigación'!S58+'CD R Investigación'!X58+'CD R Investigación'!AC58+'CD R Investigación'!AH58+'CD R Investigación'!AM58+'CD R Investigación'!AR58+'CD R Investigación'!AW58+'CD R Investigación'!BB58</f>
        <v>0</v>
      </c>
      <c r="AB57" s="148" t="str">
        <f t="shared" si="69"/>
        <v>#REF!</v>
      </c>
      <c r="AC57" s="110" t="str">
        <f>'CD R Desarrollo'!P58+'CD R Desarrollo'!U58+'CD R Desarrollo'!Z58+'CD R Desarrollo'!AE58+'CD R Desarrollo'!AJ58+'CD R Desarrollo'!AO58+#REF!+#REF!</f>
        <v>#REF!</v>
      </c>
      <c r="AD57" s="110" t="str">
        <f>'CD R Desarrollo'!S58+'CD R Desarrollo'!X58+'CD R Desarrollo'!AC58+'CD R Desarrollo'!AH58+'CD R Desarrollo'!AM58+'CD R Desarrollo'!AR58+#REF!+#REF!</f>
        <v>#REF!</v>
      </c>
      <c r="AE57" s="212"/>
      <c r="AF57" s="155"/>
      <c r="AG57" s="155"/>
      <c r="AH57" s="339"/>
    </row>
    <row r="58" ht="15.75" customHeight="1">
      <c r="A58" s="157" t="s">
        <v>200</v>
      </c>
      <c r="B58" s="159" t="s">
        <v>549</v>
      </c>
      <c r="C58" s="160">
        <v>44697.0</v>
      </c>
      <c r="D58" s="160">
        <v>44709.0</v>
      </c>
      <c r="E58" s="162" t="str">
        <f t="shared" si="25"/>
        <v>#NAME?</v>
      </c>
      <c r="F58" s="80">
        <v>30.0</v>
      </c>
      <c r="G58" s="47">
        <f t="shared" ref="G58:G61" si="94">F58/F$105</f>
        <v>0.03405221339</v>
      </c>
      <c r="H58" s="39">
        <f>SUM(H56,G58)</f>
        <v>0.4108967083</v>
      </c>
      <c r="I58" s="169" t="str">
        <f t="shared" ref="I58:I63" si="95">SUM(R58,W58,Z58,AC58)</f>
        <v>#REF!</v>
      </c>
      <c r="J58" s="321" t="str">
        <f>SUM(I58,J56)</f>
        <v>#REF!</v>
      </c>
      <c r="K58" s="322" t="str">
        <f t="shared" si="76"/>
        <v>#REF!</v>
      </c>
      <c r="L58" s="179" t="str">
        <f t="shared" ref="L58:L63" si="96">SUM(U58,X58,AA58,AD58)</f>
        <v>#REF!</v>
      </c>
      <c r="M58" s="179" t="str">
        <f>SUM(L58,M56)</f>
        <v>#REF!</v>
      </c>
      <c r="N58" s="47">
        <f t="shared" ref="N58:N63" si="97">G58*AE58</f>
        <v>0.03405221339</v>
      </c>
      <c r="O58" s="47">
        <f>SUM(N58,O56)</f>
        <v>0.4097616345</v>
      </c>
      <c r="P58" s="47" t="str">
        <f t="shared" si="6"/>
        <v>#REF!</v>
      </c>
      <c r="Q58" s="188">
        <f t="shared" si="64"/>
        <v>0</v>
      </c>
      <c r="R58" s="189">
        <v>0.0</v>
      </c>
      <c r="S58" s="190" t="s">
        <v>64</v>
      </c>
      <c r="T58" s="190">
        <f t="shared" si="65"/>
        <v>0.68</v>
      </c>
      <c r="U58" s="189">
        <f t="shared" si="66"/>
        <v>0</v>
      </c>
      <c r="V58" s="198" t="str">
        <f t="shared" si="67"/>
        <v>#REF!</v>
      </c>
      <c r="W58" s="202" t="str">
        <f>'CD R Documentación'!O59+'CD R Documentación'!T59+'CD R Documentación'!Y59+'CD R Documentación'!AD59+'CD R Documentación'!AI59+'CD R Documentación'!AN59+#REF!</f>
        <v>#REF!</v>
      </c>
      <c r="X58" s="85" t="str">
        <f>'CD R Documentación'!R59+'CD R Documentación'!W59+'CD R Documentación'!AB59+'CD R Documentación'!AG59+'CD R Documentación'!AL59+'CD R Documentación'!AQ59+#REF!</f>
        <v>#REF!</v>
      </c>
      <c r="Y58" s="203">
        <f t="shared" si="79"/>
        <v>1.266666667</v>
      </c>
      <c r="Z58" s="204">
        <f>'CD R Investigación'!P59+'CD R Investigación'!U59+'CD R Investigación'!Z59+'CD R Investigación'!AE59+'CD R Investigación'!AJ59+'CD R Investigación'!AO59+'CD R Investigación'!AT59+'CD R Investigación'!AY59</f>
        <v>38</v>
      </c>
      <c r="AA58" s="204">
        <f>'CD R Investigación'!S59+'CD R Investigación'!X59+'CD R Investigación'!AC59+'CD R Investigación'!AH59+'CD R Investigación'!AM59+'CD R Investigación'!AR59+'CD R Investigación'!AW59+'CD R Investigación'!BB59</f>
        <v>16.72</v>
      </c>
      <c r="AB58" s="205" t="str">
        <f t="shared" si="69"/>
        <v>#REF!</v>
      </c>
      <c r="AC58" s="207" t="str">
        <f>'CD R Desarrollo'!P59+'CD R Desarrollo'!U59+'CD R Desarrollo'!Z59+'CD R Desarrollo'!AE59+'CD R Desarrollo'!AJ59+'CD R Desarrollo'!AO59+#REF!+#REF!</f>
        <v>#REF!</v>
      </c>
      <c r="AD58" s="207" t="str">
        <f>'CD R Desarrollo'!S59+'CD R Desarrollo'!X59+'CD R Desarrollo'!AC59+'CD R Desarrollo'!AH59+'CD R Desarrollo'!AM59+'CD R Desarrollo'!AR59+#REF!+#REF!</f>
        <v>#REF!</v>
      </c>
      <c r="AE58" s="211">
        <v>1.0</v>
      </c>
      <c r="AF58" s="210">
        <f>'PL Cronograma detallado'!L186*AE58</f>
        <v>63.59</v>
      </c>
      <c r="AG58" s="211" t="str">
        <f>AF58/'PL Cronograma detallado'!M$257</f>
        <v>#DIV/0!</v>
      </c>
      <c r="AH58" s="211" t="str">
        <f>SUM(AG58,AH56)</f>
        <v>#DIV/0!</v>
      </c>
    </row>
    <row r="59" ht="15.75" customHeight="1">
      <c r="A59" s="157" t="s">
        <v>202</v>
      </c>
      <c r="B59" s="159" t="s">
        <v>559</v>
      </c>
      <c r="C59" s="160">
        <v>44703.0</v>
      </c>
      <c r="D59" s="160">
        <v>44703.0</v>
      </c>
      <c r="E59" s="162" t="str">
        <f t="shared" si="25"/>
        <v>#NAME?</v>
      </c>
      <c r="F59" s="80">
        <v>1.0</v>
      </c>
      <c r="G59" s="47">
        <f t="shared" si="94"/>
        <v>0.00113507378</v>
      </c>
      <c r="H59" s="39">
        <f t="shared" ref="H59:H63" si="98">SUM(H58,G59)</f>
        <v>0.4120317821</v>
      </c>
      <c r="I59" s="169" t="str">
        <f t="shared" si="95"/>
        <v>#REF!</v>
      </c>
      <c r="J59" s="321" t="str">
        <f t="shared" ref="J59:J63" si="99">SUM(I59,J58)</f>
        <v>#REF!</v>
      </c>
      <c r="K59" s="322" t="str">
        <f t="shared" si="76"/>
        <v>#REF!</v>
      </c>
      <c r="L59" s="179" t="str">
        <f t="shared" si="96"/>
        <v>#REF!</v>
      </c>
      <c r="M59" s="179" t="str">
        <f t="shared" ref="M59:M64" si="100">SUM(L59,M58)</f>
        <v>#REF!</v>
      </c>
      <c r="N59" s="47">
        <f t="shared" si="97"/>
        <v>0.00113507378</v>
      </c>
      <c r="O59" s="47">
        <f t="shared" ref="O59:O63" si="101">SUM(N59,O58)</f>
        <v>0.4108967083</v>
      </c>
      <c r="P59" s="47" t="str">
        <f t="shared" si="6"/>
        <v>#REF!</v>
      </c>
      <c r="Q59" s="188">
        <f t="shared" si="64"/>
        <v>1</v>
      </c>
      <c r="R59" s="189">
        <v>1.0</v>
      </c>
      <c r="S59" s="190" t="s">
        <v>64</v>
      </c>
      <c r="T59" s="190">
        <f t="shared" si="65"/>
        <v>0.68</v>
      </c>
      <c r="U59" s="189">
        <f t="shared" si="66"/>
        <v>0.68</v>
      </c>
      <c r="V59" s="198" t="str">
        <f t="shared" si="67"/>
        <v>#REF!</v>
      </c>
      <c r="W59" s="202" t="str">
        <f>'CD R Documentación'!O60+'CD R Documentación'!T60+'CD R Documentación'!Y60+'CD R Documentación'!AD60+'CD R Documentación'!AI60+'CD R Documentación'!AN60+#REF!</f>
        <v>#REF!</v>
      </c>
      <c r="X59" s="85" t="str">
        <f>'CD R Documentación'!R60+'CD R Documentación'!W60+'CD R Documentación'!AB60+'CD R Documentación'!AG60+'CD R Documentación'!AL60+'CD R Documentación'!AQ60+#REF!</f>
        <v>#REF!</v>
      </c>
      <c r="Y59" s="203">
        <f t="shared" si="79"/>
        <v>38</v>
      </c>
      <c r="Z59" s="204">
        <f>'CD R Investigación'!P60+'CD R Investigación'!U60+'CD R Investigación'!Z60+'CD R Investigación'!AE60+'CD R Investigación'!AJ60+'CD R Investigación'!AO60+'CD R Investigación'!AT60+'CD R Investigación'!AY60</f>
        <v>38</v>
      </c>
      <c r="AA59" s="204">
        <f>'CD R Investigación'!S60+'CD R Investigación'!X60+'CD R Investigación'!AC60+'CD R Investigación'!AH60+'CD R Investigación'!AM60+'CD R Investigación'!AR60+'CD R Investigación'!AW60+'CD R Investigación'!BB60</f>
        <v>16.72</v>
      </c>
      <c r="AB59" s="205" t="str">
        <f t="shared" si="69"/>
        <v>#REF!</v>
      </c>
      <c r="AC59" s="207" t="str">
        <f>'CD R Desarrollo'!P60+'CD R Desarrollo'!U60+'CD R Desarrollo'!Z60+'CD R Desarrollo'!AE60+'CD R Desarrollo'!AJ60+'CD R Desarrollo'!AO60+#REF!+#REF!</f>
        <v>#REF!</v>
      </c>
      <c r="AD59" s="207" t="str">
        <f>'CD R Desarrollo'!S60+'CD R Desarrollo'!X60+'CD R Desarrollo'!AC60+'CD R Desarrollo'!AH60+'CD R Desarrollo'!AM60+'CD R Desarrollo'!AR60+#REF!+#REF!</f>
        <v>#REF!</v>
      </c>
      <c r="AE59" s="211">
        <v>1.0</v>
      </c>
      <c r="AF59" s="210">
        <f>'PL Cronograma detallado'!L194*AE59</f>
        <v>15.65</v>
      </c>
      <c r="AG59" s="211" t="str">
        <f>AF59/'PL Cronograma detallado'!M$257</f>
        <v>#DIV/0!</v>
      </c>
      <c r="AH59" s="211" t="str">
        <f t="shared" ref="AH59:AH63" si="102">SUM(AG59,AH58)</f>
        <v>#DIV/0!</v>
      </c>
    </row>
    <row r="60" ht="15.75" customHeight="1">
      <c r="A60" s="157" t="s">
        <v>204</v>
      </c>
      <c r="B60" s="159" t="s">
        <v>566</v>
      </c>
      <c r="C60" s="160">
        <v>44709.0</v>
      </c>
      <c r="D60" s="160">
        <v>44711.0</v>
      </c>
      <c r="E60" s="162" t="str">
        <f t="shared" si="25"/>
        <v>#NAME?</v>
      </c>
      <c r="F60" s="80">
        <v>12.0</v>
      </c>
      <c r="G60" s="47">
        <f t="shared" si="94"/>
        <v>0.01362088536</v>
      </c>
      <c r="H60" s="39">
        <f t="shared" si="98"/>
        <v>0.4256526674</v>
      </c>
      <c r="I60" s="169" t="str">
        <f t="shared" si="95"/>
        <v>#REF!</v>
      </c>
      <c r="J60" s="321" t="str">
        <f t="shared" si="99"/>
        <v>#REF!</v>
      </c>
      <c r="K60" s="322" t="str">
        <f t="shared" si="76"/>
        <v>#REF!</v>
      </c>
      <c r="L60" s="179" t="str">
        <f t="shared" si="96"/>
        <v>#REF!</v>
      </c>
      <c r="M60" s="179" t="str">
        <f t="shared" si="100"/>
        <v>#REF!</v>
      </c>
      <c r="N60" s="47">
        <f t="shared" si="97"/>
        <v>0.01362088536</v>
      </c>
      <c r="O60" s="47">
        <f t="shared" si="101"/>
        <v>0.4245175936</v>
      </c>
      <c r="P60" s="323" t="str">
        <f t="shared" si="6"/>
        <v>#REF!</v>
      </c>
      <c r="Q60" s="188">
        <f t="shared" si="64"/>
        <v>0</v>
      </c>
      <c r="R60" s="189">
        <v>0.0</v>
      </c>
      <c r="S60" s="190" t="s">
        <v>64</v>
      </c>
      <c r="T60" s="190">
        <f t="shared" si="65"/>
        <v>0.68</v>
      </c>
      <c r="U60" s="189">
        <f t="shared" si="66"/>
        <v>0</v>
      </c>
      <c r="V60" s="198" t="str">
        <f t="shared" si="67"/>
        <v>#REF!</v>
      </c>
      <c r="W60" s="202" t="str">
        <f>'CD R Documentación'!O61+'CD R Documentación'!T61+'CD R Documentación'!Y61+'CD R Documentación'!AD61+'CD R Documentación'!AI61+'CD R Documentación'!AN61+#REF!</f>
        <v>#REF!</v>
      </c>
      <c r="X60" s="85" t="str">
        <f>'CD R Documentación'!R61+'CD R Documentación'!W61+'CD R Documentación'!AB61+'CD R Documentación'!AG61+'CD R Documentación'!AL61+'CD R Documentación'!AQ61+#REF!</f>
        <v>#REF!</v>
      </c>
      <c r="Y60" s="203">
        <f t="shared" si="79"/>
        <v>0.1666666667</v>
      </c>
      <c r="Z60" s="204">
        <f>'CD R Investigación'!P61+'CD R Investigación'!U61+'CD R Investigación'!Z61+'CD R Investigación'!AE61+'CD R Investigación'!AJ61+'CD R Investigación'!AO61+'CD R Investigación'!AT61+'CD R Investigación'!AY61</f>
        <v>2</v>
      </c>
      <c r="AA60" s="204">
        <f>'CD R Investigación'!S61+'CD R Investigación'!X61+'CD R Investigación'!AC61+'CD R Investigación'!AH61+'CD R Investigación'!AM61+'CD R Investigación'!AR61+'CD R Investigación'!AW61+'CD R Investigación'!BB61</f>
        <v>0.88</v>
      </c>
      <c r="AB60" s="205" t="str">
        <f t="shared" si="69"/>
        <v>#REF!</v>
      </c>
      <c r="AC60" s="207" t="str">
        <f>'CD R Desarrollo'!P61+'CD R Desarrollo'!U61+'CD R Desarrollo'!Z61+'CD R Desarrollo'!AE61+'CD R Desarrollo'!AJ61+'CD R Desarrollo'!AO61+#REF!+#REF!</f>
        <v>#REF!</v>
      </c>
      <c r="AD60" s="207" t="str">
        <f>'CD R Desarrollo'!S61+'CD R Desarrollo'!X61+'CD R Desarrollo'!AC61+'CD R Desarrollo'!AH61+'CD R Desarrollo'!AM61+'CD R Desarrollo'!AR61+#REF!+#REF!</f>
        <v>#REF!</v>
      </c>
      <c r="AE60" s="211">
        <v>1.0</v>
      </c>
      <c r="AF60" s="210">
        <f>'PL Cronograma detallado'!L195*AE60</f>
        <v>6.86</v>
      </c>
      <c r="AG60" s="211" t="str">
        <f>AF60/'PL Cronograma detallado'!M$257</f>
        <v>#DIV/0!</v>
      </c>
      <c r="AH60" s="211" t="str">
        <f t="shared" si="102"/>
        <v>#DIV/0!</v>
      </c>
    </row>
    <row r="61" ht="15.75" customHeight="1">
      <c r="A61" s="157" t="s">
        <v>300</v>
      </c>
      <c r="B61" s="159" t="s">
        <v>522</v>
      </c>
      <c r="C61" s="160">
        <v>44710.0</v>
      </c>
      <c r="D61" s="160">
        <v>44710.0</v>
      </c>
      <c r="E61" s="162" t="str">
        <f t="shared" si="25"/>
        <v>#NAME?</v>
      </c>
      <c r="F61" s="80">
        <v>1.0</v>
      </c>
      <c r="G61" s="47">
        <f t="shared" si="94"/>
        <v>0.00113507378</v>
      </c>
      <c r="H61" s="39">
        <f t="shared" si="98"/>
        <v>0.4267877412</v>
      </c>
      <c r="I61" s="169" t="str">
        <f t="shared" si="95"/>
        <v>#REF!</v>
      </c>
      <c r="J61" s="329" t="str">
        <f t="shared" si="99"/>
        <v>#REF!</v>
      </c>
      <c r="K61" s="322" t="str">
        <f t="shared" si="76"/>
        <v>#REF!</v>
      </c>
      <c r="L61" s="179" t="str">
        <f t="shared" si="96"/>
        <v>#REF!</v>
      </c>
      <c r="M61" s="179" t="str">
        <f t="shared" si="100"/>
        <v>#REF!</v>
      </c>
      <c r="N61" s="47">
        <f t="shared" si="97"/>
        <v>0.00113507378</v>
      </c>
      <c r="O61" s="47">
        <f t="shared" si="101"/>
        <v>0.4256526674</v>
      </c>
      <c r="P61" s="354" t="str">
        <f t="shared" si="6"/>
        <v>#REF!</v>
      </c>
      <c r="Q61" s="188">
        <f t="shared" si="64"/>
        <v>1</v>
      </c>
      <c r="R61" s="189">
        <v>1.0</v>
      </c>
      <c r="S61" s="190" t="s">
        <v>64</v>
      </c>
      <c r="T61" s="190">
        <f t="shared" si="65"/>
        <v>0.68</v>
      </c>
      <c r="U61" s="189">
        <f t="shared" si="66"/>
        <v>0.68</v>
      </c>
      <c r="V61" s="198" t="str">
        <f t="shared" si="67"/>
        <v>#REF!</v>
      </c>
      <c r="W61" s="202" t="str">
        <f>'CD R Documentación'!O62+'CD R Documentación'!T62+'CD R Documentación'!Y62+'CD R Documentación'!AD62+'CD R Documentación'!AI62+'CD R Documentación'!AN62+#REF!</f>
        <v>#REF!</v>
      </c>
      <c r="X61" s="85" t="str">
        <f>'CD R Documentación'!R62+'CD R Documentación'!W62+'CD R Documentación'!AB62+'CD R Documentación'!AG62+'CD R Documentación'!AL62+'CD R Documentación'!AQ62+#REF!</f>
        <v>#REF!</v>
      </c>
      <c r="Y61" s="203">
        <f t="shared" si="79"/>
        <v>0</v>
      </c>
      <c r="Z61" s="204">
        <f>'CD R Investigación'!P62+'CD R Investigación'!U62+'CD R Investigación'!Z62+'CD R Investigación'!AE62+'CD R Investigación'!AJ62+'CD R Investigación'!AO62+'CD R Investigación'!AT62+'CD R Investigación'!AY62</f>
        <v>0</v>
      </c>
      <c r="AA61" s="204">
        <f>'CD R Investigación'!S62+'CD R Investigación'!X62+'CD R Investigación'!AC62+'CD R Investigación'!AH62+'CD R Investigación'!AM62+'CD R Investigación'!AR62+'CD R Investigación'!AW62+'CD R Investigación'!BB62</f>
        <v>0</v>
      </c>
      <c r="AB61" s="205" t="str">
        <f t="shared" si="69"/>
        <v>#REF!</v>
      </c>
      <c r="AC61" s="207" t="str">
        <f>'CD R Desarrollo'!P62+'CD R Desarrollo'!U62+'CD R Desarrollo'!Z62+'CD R Desarrollo'!AE62+'CD R Desarrollo'!AJ62+'CD R Desarrollo'!AO62+#REF!+#REF!</f>
        <v>#REF!</v>
      </c>
      <c r="AD61" s="207" t="str">
        <f>'CD R Desarrollo'!S62+'CD R Desarrollo'!X62+'CD R Desarrollo'!AC62+'CD R Desarrollo'!AH62+'CD R Desarrollo'!AM62+'CD R Desarrollo'!AR62+#REF!+#REF!</f>
        <v>#REF!</v>
      </c>
      <c r="AE61" s="211">
        <v>1.0</v>
      </c>
      <c r="AF61" s="210">
        <f>'PL Cronograma detallado'!L197*AE61</f>
        <v>6.86</v>
      </c>
      <c r="AG61" s="211" t="str">
        <f>AF61/'PL Cronograma detallado'!M$257</f>
        <v>#DIV/0!</v>
      </c>
      <c r="AH61" s="211" t="str">
        <f t="shared" si="102"/>
        <v>#DIV/0!</v>
      </c>
    </row>
    <row r="62" ht="15.75" customHeight="1">
      <c r="A62" s="250" t="s">
        <v>302</v>
      </c>
      <c r="B62" s="251" t="s">
        <v>582</v>
      </c>
      <c r="C62" s="252">
        <v>44704.0</v>
      </c>
      <c r="D62" s="252">
        <v>44711.0</v>
      </c>
      <c r="E62" s="125" t="str">
        <f t="shared" si="25"/>
        <v>#NAME?</v>
      </c>
      <c r="F62" s="253">
        <v>15.0</v>
      </c>
      <c r="G62" s="138">
        <f>(F62/F105)</f>
        <v>0.0170261067</v>
      </c>
      <c r="H62" s="138">
        <f t="shared" si="98"/>
        <v>0.4438138479</v>
      </c>
      <c r="I62" s="255" t="str">
        <f t="shared" si="95"/>
        <v>#REF!</v>
      </c>
      <c r="J62" s="255" t="str">
        <f t="shared" si="99"/>
        <v>#REF!</v>
      </c>
      <c r="K62" s="138" t="str">
        <f t="shared" si="76"/>
        <v>#REF!</v>
      </c>
      <c r="L62" s="257" t="str">
        <f t="shared" si="96"/>
        <v>#REF!</v>
      </c>
      <c r="M62" s="257" t="str">
        <f t="shared" si="100"/>
        <v>#REF!</v>
      </c>
      <c r="N62" s="138">
        <f t="shared" si="97"/>
        <v>0.0170261067</v>
      </c>
      <c r="O62" s="138">
        <f t="shared" si="101"/>
        <v>0.4426787741</v>
      </c>
      <c r="P62" s="138" t="str">
        <f t="shared" si="6"/>
        <v>#REF!</v>
      </c>
      <c r="Q62" s="258">
        <f t="shared" si="64"/>
        <v>0.2666666667</v>
      </c>
      <c r="R62" s="256">
        <v>4.0</v>
      </c>
      <c r="S62" s="253" t="s">
        <v>64</v>
      </c>
      <c r="T62" s="253">
        <f t="shared" si="65"/>
        <v>0.68</v>
      </c>
      <c r="U62" s="256">
        <f t="shared" si="66"/>
        <v>2.72</v>
      </c>
      <c r="V62" s="258" t="str">
        <f t="shared" si="67"/>
        <v>#REF!</v>
      </c>
      <c r="W62" s="255" t="str">
        <f>'CD R Documentación'!O63+'CD R Documentación'!T63+'CD R Documentación'!Y63+'CD R Documentación'!AD63+'CD R Documentación'!AI63+'CD R Documentación'!AN63+#REF!</f>
        <v>#REF!</v>
      </c>
      <c r="X62" s="253" t="str">
        <f>'CD R Documentación'!R63+'CD R Documentación'!W63+'CD R Documentación'!AB63+'CD R Documentación'!AG63+'CD R Documentación'!AL63+'CD R Documentación'!AQ63+#REF!</f>
        <v>#REF!</v>
      </c>
      <c r="Y62" s="258">
        <f t="shared" si="79"/>
        <v>1.333333333</v>
      </c>
      <c r="Z62" s="256">
        <f>'CD R Investigación'!P63+'CD R Investigación'!U63+'CD R Investigación'!Z63+'CD R Investigación'!AE63+'CD R Investigación'!AJ63+'CD R Investigación'!AO63+'CD R Investigación'!AT63+'CD R Investigación'!AY63</f>
        <v>20</v>
      </c>
      <c r="AA62" s="256">
        <f>'CD R Investigación'!S63+'CD R Investigación'!X63+'CD R Investigación'!AC63+'CD R Investigación'!AH63+'CD R Investigación'!AM63+'CD R Investigación'!AR63+'CD R Investigación'!AW63+'CD R Investigación'!BB63</f>
        <v>8.8</v>
      </c>
      <c r="AB62" s="258" t="str">
        <f t="shared" si="69"/>
        <v>#REF!</v>
      </c>
      <c r="AC62" s="256" t="str">
        <f>'CD R Desarrollo'!P63+'CD R Desarrollo'!U63+'CD R Desarrollo'!Z63+'CD R Desarrollo'!AE63+'CD R Desarrollo'!AJ63+'CD R Desarrollo'!AO63+#REF!+#REF!</f>
        <v>#REF!</v>
      </c>
      <c r="AD62" s="256" t="str">
        <f>'CD R Desarrollo'!S63+'CD R Desarrollo'!X63+'CD R Desarrollo'!AC63+'CD R Desarrollo'!AH63+'CD R Desarrollo'!AM63+'CD R Desarrollo'!AR63+#REF!+#REF!</f>
        <v>#REF!</v>
      </c>
      <c r="AE62" s="259">
        <v>1.0</v>
      </c>
      <c r="AF62" s="260">
        <f>'PL Cronograma detallado'!L198*AE62</f>
        <v>15.65</v>
      </c>
      <c r="AG62" s="259" t="str">
        <f>AF62/'PL Cronograma detallado'!M$257</f>
        <v>#DIV/0!</v>
      </c>
      <c r="AH62" s="259" t="str">
        <f t="shared" si="102"/>
        <v>#DIV/0!</v>
      </c>
    </row>
    <row r="63" ht="15.75" customHeight="1">
      <c r="A63" s="310" t="s">
        <v>211</v>
      </c>
      <c r="B63" s="311" t="s">
        <v>593</v>
      </c>
      <c r="C63" s="312">
        <v>44712.0</v>
      </c>
      <c r="D63" s="312">
        <v>44712.0</v>
      </c>
      <c r="E63" s="313" t="str">
        <f t="shared" si="25"/>
        <v>#NAME?</v>
      </c>
      <c r="F63" s="314">
        <v>1.0</v>
      </c>
      <c r="G63" s="282">
        <f>(F63/F105)</f>
        <v>0.00113507378</v>
      </c>
      <c r="H63" s="282">
        <f t="shared" si="98"/>
        <v>0.4449489217</v>
      </c>
      <c r="I63" s="315" t="str">
        <f t="shared" si="95"/>
        <v>#REF!</v>
      </c>
      <c r="J63" s="315" t="str">
        <f t="shared" si="99"/>
        <v>#REF!</v>
      </c>
      <c r="K63" s="282" t="str">
        <f t="shared" si="76"/>
        <v>#REF!</v>
      </c>
      <c r="L63" s="317" t="str">
        <f t="shared" si="96"/>
        <v>#REF!</v>
      </c>
      <c r="M63" s="317" t="str">
        <f t="shared" si="100"/>
        <v>#REF!</v>
      </c>
      <c r="N63" s="282">
        <f t="shared" si="97"/>
        <v>0.00113507378</v>
      </c>
      <c r="O63" s="282">
        <f t="shared" si="101"/>
        <v>0.4438138479</v>
      </c>
      <c r="P63" s="282" t="str">
        <f t="shared" si="6"/>
        <v>#REF!</v>
      </c>
      <c r="Q63" s="318">
        <f t="shared" si="64"/>
        <v>1</v>
      </c>
      <c r="R63" s="316">
        <v>1.0</v>
      </c>
      <c r="S63" s="314" t="s">
        <v>64</v>
      </c>
      <c r="T63" s="314">
        <f t="shared" si="65"/>
        <v>0.68</v>
      </c>
      <c r="U63" s="316">
        <f t="shared" si="66"/>
        <v>0.68</v>
      </c>
      <c r="V63" s="318" t="str">
        <f t="shared" si="67"/>
        <v>#REF!</v>
      </c>
      <c r="W63" s="315" t="str">
        <f>'CD R Documentación'!O64+'CD R Documentación'!T64+'CD R Documentación'!Y64+'CD R Documentación'!AD64+'CD R Documentación'!AI64+'CD R Documentación'!AN64+#REF!</f>
        <v>#REF!</v>
      </c>
      <c r="X63" s="314" t="str">
        <f>'CD R Documentación'!R64+'CD R Documentación'!W64+'CD R Documentación'!AB64+'CD R Documentación'!AG64+'CD R Documentación'!AL64+'CD R Documentación'!AQ64+#REF!</f>
        <v>#REF!</v>
      </c>
      <c r="Y63" s="318">
        <f t="shared" si="79"/>
        <v>20</v>
      </c>
      <c r="Z63" s="316">
        <f>'CD R Investigación'!P64+'CD R Investigación'!U64+'CD R Investigación'!Z64+'CD R Investigación'!AE64+'CD R Investigación'!AJ64+'CD R Investigación'!AO64+'CD R Investigación'!AT64+'CD R Investigación'!AY64</f>
        <v>20</v>
      </c>
      <c r="AA63" s="316">
        <f>'CD R Investigación'!S64+'CD R Investigación'!X64+'CD R Investigación'!AC64+'CD R Investigación'!AH64+'CD R Investigación'!AM64+'CD R Investigación'!AR64+'CD R Investigación'!AW64+'CD R Investigación'!BB64</f>
        <v>8.8</v>
      </c>
      <c r="AB63" s="318" t="str">
        <f t="shared" si="69"/>
        <v>#REF!</v>
      </c>
      <c r="AC63" s="316" t="str">
        <f>'CD R Desarrollo'!P64+'CD R Desarrollo'!U64+'CD R Desarrollo'!Z64+'CD R Desarrollo'!AE64+'CD R Desarrollo'!AJ64+'CD R Desarrollo'!AO64+#REF!+#REF!</f>
        <v>#REF!</v>
      </c>
      <c r="AD63" s="316" t="str">
        <f>'CD R Desarrollo'!S64+'CD R Desarrollo'!X64+'CD R Desarrollo'!AC64+'CD R Desarrollo'!AH64+'CD R Desarrollo'!AM64+'CD R Desarrollo'!AR64+#REF!+#REF!</f>
        <v>#REF!</v>
      </c>
      <c r="AE63" s="319">
        <v>1.0</v>
      </c>
      <c r="AF63" s="320">
        <f>'PL Cronograma detallado'!L200*AE63</f>
        <v>6.86</v>
      </c>
      <c r="AG63" s="319" t="str">
        <f>AF63/'PL Cronograma detallado'!M$257</f>
        <v>#DIV/0!</v>
      </c>
      <c r="AH63" s="319" t="str">
        <f t="shared" si="102"/>
        <v>#DIV/0!</v>
      </c>
    </row>
    <row r="64" ht="15.75" customHeight="1">
      <c r="A64" s="130" t="s">
        <v>319</v>
      </c>
      <c r="B64" s="132" t="s">
        <v>598</v>
      </c>
      <c r="C64" s="133">
        <v>44713.0</v>
      </c>
      <c r="D64" s="133">
        <v>44725.0</v>
      </c>
      <c r="E64" s="134" t="str">
        <f t="shared" si="25"/>
        <v>#NAME?</v>
      </c>
      <c r="F64" s="136">
        <f t="shared" ref="F64:G64" si="103">SUM(F65:F73)</f>
        <v>124</v>
      </c>
      <c r="G64" s="115">
        <f t="shared" si="103"/>
        <v>0.1407491487</v>
      </c>
      <c r="H64" s="115">
        <f>SUM(G64,H63)</f>
        <v>0.5856980704</v>
      </c>
      <c r="I64" s="139" t="str">
        <f>SUM(I65:I73)</f>
        <v>#REF!</v>
      </c>
      <c r="J64" s="139" t="str">
        <f>SUM(I64,J57)</f>
        <v>#REF!</v>
      </c>
      <c r="K64" s="115" t="str">
        <f t="shared" si="76"/>
        <v>#REF!</v>
      </c>
      <c r="L64" s="143" t="str">
        <f>SUM(L65:L73)</f>
        <v>#REF!</v>
      </c>
      <c r="M64" s="143" t="str">
        <f t="shared" si="100"/>
        <v>#REF!</v>
      </c>
      <c r="N64" s="115"/>
      <c r="O64" s="115" t="str">
        <f>AH64</f>
        <v/>
      </c>
      <c r="P64" s="115" t="str">
        <f t="shared" si="6"/>
        <v>#REF!</v>
      </c>
      <c r="Q64" s="148">
        <f t="shared" si="64"/>
        <v>0</v>
      </c>
      <c r="R64" s="110">
        <v>0.0</v>
      </c>
      <c r="S64" s="136" t="s">
        <v>64</v>
      </c>
      <c r="T64" s="136">
        <f t="shared" si="65"/>
        <v>0.68</v>
      </c>
      <c r="U64" s="110">
        <f t="shared" si="66"/>
        <v>0</v>
      </c>
      <c r="V64" s="148" t="str">
        <f t="shared" si="67"/>
        <v>#REF!</v>
      </c>
      <c r="W64" s="139" t="str">
        <f>'CD R Documentación'!O65+'CD R Documentación'!T65+'CD R Documentación'!Y65+'CD R Documentación'!AD65+'CD R Documentación'!AI65+'CD R Documentación'!AN65+#REF!</f>
        <v>#REF!</v>
      </c>
      <c r="X64" s="136" t="str">
        <f>'CD R Documentación'!R65+'CD R Documentación'!W65+'CD R Documentación'!AB65+'CD R Documentación'!AG65+'CD R Documentación'!AL65+'CD R Documentación'!AQ65+#REF!</f>
        <v>#REF!</v>
      </c>
      <c r="Y64" s="148">
        <f t="shared" si="79"/>
        <v>0.02419354839</v>
      </c>
      <c r="Z64" s="110">
        <f>'CD R Investigación'!P65+'CD R Investigación'!U65+'CD R Investigación'!Z65+'CD R Investigación'!AE65+'CD R Investigación'!AJ65+'CD R Investigación'!AO65+'CD R Investigación'!AT65+'CD R Investigación'!AY65</f>
        <v>3</v>
      </c>
      <c r="AA64" s="110">
        <f>'CD R Investigación'!S65+'CD R Investigación'!X65+'CD R Investigación'!AC65+'CD R Investigación'!AH65+'CD R Investigación'!AM65+'CD R Investigación'!AR65+'CD R Investigación'!AW65+'CD R Investigación'!BB65</f>
        <v>1.32</v>
      </c>
      <c r="AB64" s="148" t="str">
        <f t="shared" si="69"/>
        <v>#REF!</v>
      </c>
      <c r="AC64" s="110" t="str">
        <f>'CD R Desarrollo'!P65+'CD R Desarrollo'!U65+'CD R Desarrollo'!Z65+'CD R Desarrollo'!AE65+'CD R Desarrollo'!AJ65+'CD R Desarrollo'!AO65+#REF!+#REF!</f>
        <v>#REF!</v>
      </c>
      <c r="AD64" s="110" t="str">
        <f>'CD R Desarrollo'!S65+'CD R Desarrollo'!X65+'CD R Desarrollo'!AC65+'CD R Desarrollo'!AH65+'CD R Desarrollo'!AM65+'CD R Desarrollo'!AR65+#REF!+#REF!</f>
        <v>#REF!</v>
      </c>
      <c r="AE64" s="155"/>
      <c r="AF64" s="155"/>
      <c r="AG64" s="155"/>
      <c r="AH64" s="339"/>
    </row>
    <row r="65" ht="15.75" customHeight="1">
      <c r="A65" s="292" t="s">
        <v>326</v>
      </c>
      <c r="B65" s="356" t="s">
        <v>609</v>
      </c>
      <c r="C65" s="357">
        <v>44713.0</v>
      </c>
      <c r="D65" s="357">
        <v>44716.0</v>
      </c>
      <c r="E65" s="162" t="str">
        <f t="shared" si="25"/>
        <v>#NAME?</v>
      </c>
      <c r="F65" s="28">
        <v>12.0</v>
      </c>
      <c r="G65" s="214">
        <f t="shared" ref="G65:G72" si="104">F65/F$105</f>
        <v>0.01362088536</v>
      </c>
      <c r="H65" s="39">
        <f>SUM(H63,G65)</f>
        <v>0.458569807</v>
      </c>
      <c r="I65" s="169" t="str">
        <f t="shared" ref="I65:I73" si="105">SUM(R65,W65,Z65,AC65)</f>
        <v>#REF!</v>
      </c>
      <c r="J65" s="321" t="str">
        <f>SUM(I65,J63)</f>
        <v>#REF!</v>
      </c>
      <c r="K65" s="322" t="str">
        <f t="shared" si="76"/>
        <v>#REF!</v>
      </c>
      <c r="L65" s="179" t="str">
        <f t="shared" ref="L65:L73" si="106">SUM(U65,X65,AA65,AD65)</f>
        <v>#REF!</v>
      </c>
      <c r="M65" s="179" t="str">
        <f>SUM(L65,M63)</f>
        <v>#REF!</v>
      </c>
      <c r="N65" s="47">
        <f t="shared" ref="N65:N73" si="107">G65*AE65</f>
        <v>0.01362088536</v>
      </c>
      <c r="O65" s="47">
        <f>SUM(N65,O63)</f>
        <v>0.4574347333</v>
      </c>
      <c r="P65" s="47" t="str">
        <f t="shared" si="6"/>
        <v>#REF!</v>
      </c>
      <c r="Q65" s="188">
        <f t="shared" si="64"/>
        <v>0</v>
      </c>
      <c r="R65" s="189">
        <v>0.0</v>
      </c>
      <c r="S65" s="190" t="s">
        <v>64</v>
      </c>
      <c r="T65" s="190">
        <f t="shared" si="65"/>
        <v>0.68</v>
      </c>
      <c r="U65" s="189">
        <f t="shared" si="66"/>
        <v>0</v>
      </c>
      <c r="V65" s="198" t="str">
        <f t="shared" si="67"/>
        <v>#REF!</v>
      </c>
      <c r="W65" s="202" t="str">
        <f>'CD R Documentación'!O66+'CD R Documentación'!T66+'CD R Documentación'!Y66+'CD R Documentación'!AD66+'CD R Documentación'!AI66+'CD R Documentación'!AN66+#REF!</f>
        <v>#REF!</v>
      </c>
      <c r="X65" s="85" t="str">
        <f>'CD R Documentación'!R66+'CD R Documentación'!W66+'CD R Documentación'!AB66+'CD R Documentación'!AG66+'CD R Documentación'!AL66+'CD R Documentación'!AQ66+#REF!</f>
        <v>#REF!</v>
      </c>
      <c r="Y65" s="203">
        <f t="shared" si="79"/>
        <v>0</v>
      </c>
      <c r="Z65" s="204">
        <f>'CD R Investigación'!P66+'CD R Investigación'!U66+'CD R Investigación'!Z66+'CD R Investigación'!AE66+'CD R Investigación'!AJ66+'CD R Investigación'!AO66+'CD R Investigación'!AT66+'CD R Investigación'!AY66</f>
        <v>0</v>
      </c>
      <c r="AA65" s="204">
        <f>'CD R Investigación'!S66+'CD R Investigación'!X66+'CD R Investigación'!AC66+'CD R Investigación'!AH66+'CD R Investigación'!AM66+'CD R Investigación'!AR66+'CD R Investigación'!AW66+'CD R Investigación'!BB66</f>
        <v>0</v>
      </c>
      <c r="AB65" s="205" t="str">
        <f t="shared" si="69"/>
        <v>#REF!</v>
      </c>
      <c r="AC65" s="207" t="str">
        <f>'CD R Desarrollo'!P66+'CD R Desarrollo'!U66+'CD R Desarrollo'!Z66+'CD R Desarrollo'!AE66+'CD R Desarrollo'!AJ66+'CD R Desarrollo'!AO66+#REF!+#REF!</f>
        <v>#REF!</v>
      </c>
      <c r="AD65" s="207" t="str">
        <f>'CD R Desarrollo'!S66+'CD R Desarrollo'!X66+'CD R Desarrollo'!AC66+'CD R Desarrollo'!AH66+'CD R Desarrollo'!AM66+'CD R Desarrollo'!AR66+#REF!+#REF!</f>
        <v>#REF!</v>
      </c>
      <c r="AE65" s="211">
        <v>1.0</v>
      </c>
      <c r="AF65" s="210">
        <f>'PL Cronograma detallado'!L202*AE65</f>
        <v>9.4</v>
      </c>
      <c r="AG65" s="211" t="str">
        <f>AF65/'PL Cronograma detallado'!M$257</f>
        <v>#DIV/0!</v>
      </c>
      <c r="AH65" s="211" t="str">
        <f>SUM(AG65,AH63)</f>
        <v>#DIV/0!</v>
      </c>
    </row>
    <row r="66" ht="15.75" customHeight="1">
      <c r="A66" s="292" t="s">
        <v>329</v>
      </c>
      <c r="B66" s="356" t="s">
        <v>616</v>
      </c>
      <c r="C66" s="357">
        <v>44713.0</v>
      </c>
      <c r="D66" s="357">
        <v>44719.0</v>
      </c>
      <c r="E66" s="162" t="str">
        <f t="shared" si="25"/>
        <v>#NAME?</v>
      </c>
      <c r="F66" s="28">
        <v>14.0</v>
      </c>
      <c r="G66" s="214">
        <f t="shared" si="104"/>
        <v>0.01589103292</v>
      </c>
      <c r="H66" s="39">
        <f t="shared" ref="H66:H73" si="108">SUM(H65,G66)</f>
        <v>0.47446084</v>
      </c>
      <c r="I66" s="169" t="str">
        <f t="shared" si="105"/>
        <v>#REF!</v>
      </c>
      <c r="J66" s="329" t="str">
        <f t="shared" ref="J66:J73" si="109">SUM(I66,J65)</f>
        <v>#REF!</v>
      </c>
      <c r="K66" s="322" t="str">
        <f t="shared" si="76"/>
        <v>#REF!</v>
      </c>
      <c r="L66" s="179" t="str">
        <f t="shared" si="106"/>
        <v>#REF!</v>
      </c>
      <c r="M66" s="179" t="str">
        <f t="shared" ref="M66:M74" si="110">SUM(L66,M65)</f>
        <v>#REF!</v>
      </c>
      <c r="N66" s="47">
        <f t="shared" si="107"/>
        <v>0.01589103292</v>
      </c>
      <c r="O66" s="47">
        <f t="shared" ref="O66:O73" si="111">SUM(N66,O65)</f>
        <v>0.4733257662</v>
      </c>
      <c r="P66" s="47" t="str">
        <f t="shared" si="6"/>
        <v>#REF!</v>
      </c>
      <c r="Q66" s="188">
        <f t="shared" si="64"/>
        <v>0.1428571429</v>
      </c>
      <c r="R66" s="189">
        <v>2.0</v>
      </c>
      <c r="S66" s="190" t="s">
        <v>64</v>
      </c>
      <c r="T66" s="190">
        <f t="shared" si="65"/>
        <v>0.68</v>
      </c>
      <c r="U66" s="189">
        <f t="shared" si="66"/>
        <v>1.36</v>
      </c>
      <c r="V66" s="198" t="str">
        <f t="shared" si="67"/>
        <v>#REF!</v>
      </c>
      <c r="W66" s="202" t="str">
        <f>'CD R Documentación'!O67+'CD R Documentación'!T67+'CD R Documentación'!Y67+'CD R Documentación'!AD67+'CD R Documentación'!AI67+'CD R Documentación'!AN67+#REF!</f>
        <v>#REF!</v>
      </c>
      <c r="X66" s="85" t="str">
        <f>'CD R Documentación'!R67+'CD R Documentación'!W67+'CD R Documentación'!AB67+'CD R Documentación'!AG67+'CD R Documentación'!AL67+'CD R Documentación'!AQ67+#REF!</f>
        <v>#REF!</v>
      </c>
      <c r="Y66" s="203">
        <f t="shared" si="79"/>
        <v>0.07142857143</v>
      </c>
      <c r="Z66" s="204">
        <f>'CD R Investigación'!P67+'CD R Investigación'!U67+'CD R Investigación'!Z67+'CD R Investigación'!AE67+'CD R Investigación'!AJ67+'CD R Investigación'!AO67+'CD R Investigación'!AT67+'CD R Investigación'!AY67</f>
        <v>1</v>
      </c>
      <c r="AA66" s="204">
        <f>'CD R Investigación'!S67+'CD R Investigación'!X67+'CD R Investigación'!AC67+'CD R Investigación'!AH67+'CD R Investigación'!AM67+'CD R Investigación'!AR67+'CD R Investigación'!AW67+'CD R Investigación'!BB67</f>
        <v>0.44</v>
      </c>
      <c r="AB66" s="205" t="str">
        <f t="shared" si="69"/>
        <v>#REF!</v>
      </c>
      <c r="AC66" s="207" t="str">
        <f>'CD R Desarrollo'!P67+'CD R Desarrollo'!U67+'CD R Desarrollo'!Z67+'CD R Desarrollo'!AE67+'CD R Desarrollo'!AJ67+'CD R Desarrollo'!AO67+#REF!+#REF!</f>
        <v>#REF!</v>
      </c>
      <c r="AD66" s="207" t="str">
        <f>'CD R Desarrollo'!S67+'CD R Desarrollo'!X67+'CD R Desarrollo'!AC67+'CD R Desarrollo'!AH67+'CD R Desarrollo'!AM67+'CD R Desarrollo'!AR67+#REF!+#REF!</f>
        <v>#REF!</v>
      </c>
      <c r="AE66" s="211">
        <v>1.0</v>
      </c>
      <c r="AF66" s="210">
        <f>'PL Cronograma detallado'!L204*AE66</f>
        <v>4.98</v>
      </c>
      <c r="AG66" s="211" t="str">
        <f>AF66/'PL Cronograma detallado'!M$257</f>
        <v>#DIV/0!</v>
      </c>
      <c r="AH66" s="211" t="str">
        <f t="shared" ref="AH66:AH67" si="112">SUM(AG66,AH65)</f>
        <v>#DIV/0!</v>
      </c>
    </row>
    <row r="67" ht="15.75" customHeight="1">
      <c r="A67" s="292" t="s">
        <v>331</v>
      </c>
      <c r="B67" s="159" t="s">
        <v>617</v>
      </c>
      <c r="C67" s="357">
        <v>44713.0</v>
      </c>
      <c r="D67" s="357">
        <v>44719.0</v>
      </c>
      <c r="E67" s="162" t="str">
        <f t="shared" si="25"/>
        <v>#NAME?</v>
      </c>
      <c r="F67" s="28">
        <v>21.0</v>
      </c>
      <c r="G67" s="214">
        <f t="shared" si="104"/>
        <v>0.02383654938</v>
      </c>
      <c r="H67" s="39">
        <f t="shared" si="108"/>
        <v>0.4982973893</v>
      </c>
      <c r="I67" s="169" t="str">
        <f t="shared" si="105"/>
        <v>#REF!</v>
      </c>
      <c r="J67" s="329" t="str">
        <f t="shared" si="109"/>
        <v>#REF!</v>
      </c>
      <c r="K67" s="322" t="str">
        <f t="shared" si="76"/>
        <v>#REF!</v>
      </c>
      <c r="L67" s="179" t="str">
        <f t="shared" si="106"/>
        <v>#REF!</v>
      </c>
      <c r="M67" s="179" t="str">
        <f t="shared" si="110"/>
        <v>#REF!</v>
      </c>
      <c r="N67" s="47">
        <f t="shared" si="107"/>
        <v>0.02383654938</v>
      </c>
      <c r="O67" s="47">
        <f t="shared" si="111"/>
        <v>0.4971623156</v>
      </c>
      <c r="P67" s="354" t="str">
        <f t="shared" si="6"/>
        <v>#REF!</v>
      </c>
      <c r="Q67" s="188">
        <f t="shared" si="64"/>
        <v>0</v>
      </c>
      <c r="R67" s="189">
        <v>0.0</v>
      </c>
      <c r="S67" s="190" t="s">
        <v>64</v>
      </c>
      <c r="T67" s="190">
        <f t="shared" si="65"/>
        <v>0.68</v>
      </c>
      <c r="U67" s="189">
        <f t="shared" si="66"/>
        <v>0</v>
      </c>
      <c r="V67" s="198" t="str">
        <f t="shared" si="67"/>
        <v>#REF!</v>
      </c>
      <c r="W67" s="202" t="str">
        <f>'CD R Documentación'!O68+'CD R Documentación'!T68+'CD R Documentación'!Y68+'CD R Documentación'!AD68+'CD R Documentación'!AI68+'CD R Documentación'!AN68+#REF!</f>
        <v>#REF!</v>
      </c>
      <c r="X67" s="85" t="str">
        <f>'CD R Documentación'!R68+'CD R Documentación'!W68+'CD R Documentación'!AB68+'CD R Documentación'!AG68+'CD R Documentación'!AL68+'CD R Documentación'!AQ68+#REF!</f>
        <v>#REF!</v>
      </c>
      <c r="Y67" s="203">
        <f t="shared" si="79"/>
        <v>0</v>
      </c>
      <c r="Z67" s="204">
        <f>'CD R Investigación'!P68+'CD R Investigación'!U68+'CD R Investigación'!Z68+'CD R Investigación'!AE68+'CD R Investigación'!AJ68+'CD R Investigación'!AO68+'CD R Investigación'!AT68+'CD R Investigación'!AY68</f>
        <v>0</v>
      </c>
      <c r="AA67" s="204">
        <f>'CD R Investigación'!S68+'CD R Investigación'!X68+'CD R Investigación'!AC68+'CD R Investigación'!AH68+'CD R Investigación'!AM68+'CD R Investigación'!AR68+'CD R Investigación'!AW68+'CD R Investigación'!BB68</f>
        <v>0</v>
      </c>
      <c r="AB67" s="205" t="str">
        <f t="shared" si="69"/>
        <v>#REF!</v>
      </c>
      <c r="AC67" s="207" t="str">
        <f>'CD R Desarrollo'!P68+'CD R Desarrollo'!U68+'CD R Desarrollo'!Z68+'CD R Desarrollo'!AE68+'CD R Desarrollo'!AJ68+'CD R Desarrollo'!AO68+#REF!+#REF!</f>
        <v>#REF!</v>
      </c>
      <c r="AD67" s="207" t="str">
        <f>'CD R Desarrollo'!S68+'CD R Desarrollo'!X68+'CD R Desarrollo'!AC68+'CD R Desarrollo'!AH68+'CD R Desarrollo'!AM68+'CD R Desarrollo'!AR68+#REF!+#REF!</f>
        <v>#REF!</v>
      </c>
      <c r="AE67" s="211">
        <v>1.0</v>
      </c>
      <c r="AF67" s="210">
        <f>'PL Cronograma detallado'!L205*AE67</f>
        <v>2.49</v>
      </c>
      <c r="AG67" s="211" t="str">
        <f>AF67/'PL Cronograma detallado'!M$257</f>
        <v>#DIV/0!</v>
      </c>
      <c r="AH67" s="211" t="str">
        <f t="shared" si="112"/>
        <v>#DIV/0!</v>
      </c>
    </row>
    <row r="68" ht="15.75" customHeight="1">
      <c r="A68" s="292" t="s">
        <v>333</v>
      </c>
      <c r="B68" s="356" t="s">
        <v>618</v>
      </c>
      <c r="C68" s="357">
        <v>44715.0</v>
      </c>
      <c r="D68" s="357">
        <v>44725.0</v>
      </c>
      <c r="E68" s="162" t="str">
        <f t="shared" si="25"/>
        <v>#NAME?</v>
      </c>
      <c r="F68" s="28">
        <v>40.0</v>
      </c>
      <c r="G68" s="214">
        <f t="shared" si="104"/>
        <v>0.04540295119</v>
      </c>
      <c r="H68" s="39">
        <f t="shared" si="108"/>
        <v>0.5437003405</v>
      </c>
      <c r="I68" s="169" t="str">
        <f t="shared" si="105"/>
        <v>#REF!</v>
      </c>
      <c r="J68" s="329" t="str">
        <f t="shared" si="109"/>
        <v>#REF!</v>
      </c>
      <c r="K68" s="322" t="str">
        <f t="shared" si="76"/>
        <v>#REF!</v>
      </c>
      <c r="L68" s="179" t="str">
        <f t="shared" si="106"/>
        <v>#REF!</v>
      </c>
      <c r="M68" s="179" t="str">
        <f t="shared" si="110"/>
        <v>#REF!</v>
      </c>
      <c r="N68" s="47">
        <f t="shared" si="107"/>
        <v>0.04540295119</v>
      </c>
      <c r="O68" s="47">
        <f t="shared" si="111"/>
        <v>0.5425652667</v>
      </c>
      <c r="P68" s="47" t="str">
        <f t="shared" si="6"/>
        <v>#REF!</v>
      </c>
      <c r="Q68" s="188">
        <f t="shared" si="64"/>
        <v>0</v>
      </c>
      <c r="R68" s="189">
        <v>0.0</v>
      </c>
      <c r="S68" s="190" t="s">
        <v>64</v>
      </c>
      <c r="T68" s="190">
        <f t="shared" si="65"/>
        <v>0.68</v>
      </c>
      <c r="U68" s="189">
        <f t="shared" si="66"/>
        <v>0</v>
      </c>
      <c r="V68" s="198" t="str">
        <f t="shared" si="67"/>
        <v>#REF!</v>
      </c>
      <c r="W68" s="202" t="str">
        <f>'CD R Documentación'!O70+'CD R Documentación'!T70+'CD R Documentación'!Y70+'CD R Documentación'!AD70+'CD R Documentación'!AI70+'CD R Documentación'!AN70+#REF!</f>
        <v>#REF!</v>
      </c>
      <c r="X68" s="85" t="str">
        <f>'CD R Documentación'!R70+'CD R Documentación'!W70+'CD R Documentación'!AB70+'CD R Documentación'!AG70+'CD R Documentación'!AL70+'CD R Documentación'!AQ70+#REF!</f>
        <v>#REF!</v>
      </c>
      <c r="Y68" s="203">
        <f t="shared" si="79"/>
        <v>0</v>
      </c>
      <c r="Z68" s="204">
        <f>'CD R Investigación'!P70+'CD R Investigación'!U70+'CD R Investigación'!Z70+'CD R Investigación'!AE70+'CD R Investigación'!AJ70+'CD R Investigación'!AO70+'CD R Investigación'!AT70+'CD R Investigación'!AY70</f>
        <v>0</v>
      </c>
      <c r="AA68" s="204">
        <f>'CD R Investigación'!S70+'CD R Investigación'!X70+'CD R Investigación'!AC70+'CD R Investigación'!AH70+'CD R Investigación'!AM70+'CD R Investigación'!AR70+'CD R Investigación'!AW70+'CD R Investigación'!BB70</f>
        <v>0</v>
      </c>
      <c r="AB68" s="205" t="str">
        <f t="shared" si="69"/>
        <v>#REF!</v>
      </c>
      <c r="AC68" s="207" t="str">
        <f>'CD R Desarrollo'!P69+'CD R Desarrollo'!U69+'CD R Desarrollo'!Z69+'CD R Desarrollo'!AE69+'CD R Desarrollo'!AJ69+'CD R Desarrollo'!AO69+#REF!+#REF!</f>
        <v>#REF!</v>
      </c>
      <c r="AD68" s="207" t="str">
        <f>'CD R Desarrollo'!S69+'CD R Desarrollo'!X69+'CD R Desarrollo'!AC69+'CD R Desarrollo'!AH69+'CD R Desarrollo'!AM69+'CD R Desarrollo'!AR69+#REF!+#REF!</f>
        <v>#REF!</v>
      </c>
      <c r="AE68" s="211">
        <v>1.0</v>
      </c>
      <c r="AF68" s="210">
        <f>'PL Cronograma detallado'!L206*AE68</f>
        <v>14.21</v>
      </c>
      <c r="AG68" s="211" t="str">
        <f>AF68/'PL Cronograma detallado'!M$257</f>
        <v>#DIV/0!</v>
      </c>
      <c r="AH68" s="211" t="str">
        <f>SUM(AG68,AH69)</f>
        <v>#DIV/0!</v>
      </c>
    </row>
    <row r="69" ht="15.75" customHeight="1">
      <c r="A69" s="292" t="s">
        <v>336</v>
      </c>
      <c r="B69" s="356" t="s">
        <v>529</v>
      </c>
      <c r="C69" s="357">
        <v>44717.0</v>
      </c>
      <c r="D69" s="357">
        <v>44717.0</v>
      </c>
      <c r="E69" s="162" t="str">
        <f t="shared" si="25"/>
        <v>#NAME?</v>
      </c>
      <c r="F69" s="28">
        <v>1.0</v>
      </c>
      <c r="G69" s="214">
        <f t="shared" si="104"/>
        <v>0.00113507378</v>
      </c>
      <c r="H69" s="39">
        <f t="shared" si="108"/>
        <v>0.5448354143</v>
      </c>
      <c r="I69" s="169" t="str">
        <f t="shared" si="105"/>
        <v>#REF!</v>
      </c>
      <c r="J69" s="329" t="str">
        <f t="shared" si="109"/>
        <v>#REF!</v>
      </c>
      <c r="K69" s="322" t="str">
        <f t="shared" si="76"/>
        <v>#REF!</v>
      </c>
      <c r="L69" s="179" t="str">
        <f t="shared" si="106"/>
        <v>#REF!</v>
      </c>
      <c r="M69" s="179" t="str">
        <f t="shared" si="110"/>
        <v>#REF!</v>
      </c>
      <c r="N69" s="47">
        <f t="shared" si="107"/>
        <v>0.00113507378</v>
      </c>
      <c r="O69" s="47">
        <f t="shared" si="111"/>
        <v>0.5437003405</v>
      </c>
      <c r="P69" s="47" t="str">
        <f t="shared" si="6"/>
        <v>#REF!</v>
      </c>
      <c r="Q69" s="188">
        <f t="shared" si="64"/>
        <v>1</v>
      </c>
      <c r="R69" s="189">
        <v>1.0</v>
      </c>
      <c r="S69" s="190" t="s">
        <v>64</v>
      </c>
      <c r="T69" s="190">
        <f t="shared" si="65"/>
        <v>0.68</v>
      </c>
      <c r="U69" s="189">
        <f t="shared" si="66"/>
        <v>0.68</v>
      </c>
      <c r="V69" s="198" t="str">
        <f t="shared" si="67"/>
        <v>#REF!</v>
      </c>
      <c r="W69" s="202" t="str">
        <f>'CD R Documentación'!O69+'CD R Documentación'!T69+'CD R Documentación'!Y69+'CD R Documentación'!AD69+'CD R Documentación'!AI69+'CD R Documentación'!AN69+#REF!</f>
        <v>#REF!</v>
      </c>
      <c r="X69" s="85" t="str">
        <f>'CD R Documentación'!R69+'CD R Documentación'!W69+'CD R Documentación'!AB69+'CD R Documentación'!AG69+'CD R Documentación'!AL69+'CD R Documentación'!AQ69+#REF!</f>
        <v>#REF!</v>
      </c>
      <c r="Y69" s="203">
        <f t="shared" si="79"/>
        <v>0</v>
      </c>
      <c r="Z69" s="204">
        <f>'CD R Investigación'!P69+'CD R Investigación'!U69+'CD R Investigación'!Z69+'CD R Investigación'!AE69+'CD R Investigación'!AJ69+'CD R Investigación'!AO69+'CD R Investigación'!AT69+'CD R Investigación'!AY69</f>
        <v>0</v>
      </c>
      <c r="AA69" s="204">
        <f>'CD R Investigación'!S69+'CD R Investigación'!X69+'CD R Investigación'!AC69+'CD R Investigación'!AH69+'CD R Investigación'!AM69+'CD R Investigación'!AR69+'CD R Investigación'!AW69+'CD R Investigación'!BB69</f>
        <v>0</v>
      </c>
      <c r="AB69" s="205" t="str">
        <f t="shared" si="69"/>
        <v>#REF!</v>
      </c>
      <c r="AC69" s="207" t="str">
        <f>'CD R Desarrollo'!P70+'CD R Desarrollo'!U70+'CD R Desarrollo'!Z70+'CD R Desarrollo'!AE70+'CD R Desarrollo'!AJ70+'CD R Desarrollo'!AO70+#REF!+#REF!</f>
        <v>#REF!</v>
      </c>
      <c r="AD69" s="207" t="str">
        <f>'CD R Desarrollo'!S69+'CD R Desarrollo'!X69+'CD R Desarrollo'!AC69+'CD R Desarrollo'!AH69+'CD R Desarrollo'!AM69+'CD R Desarrollo'!AR69+#REF!+#REF!</f>
        <v>#REF!</v>
      </c>
      <c r="AE69" s="211">
        <v>1.0</v>
      </c>
      <c r="AF69" s="210">
        <f>'PL Cronograma detallado'!L207*AE69</f>
        <v>2.49</v>
      </c>
      <c r="AG69" s="211" t="str">
        <f>AF69/'PL Cronograma detallado'!M$257</f>
        <v>#DIV/0!</v>
      </c>
      <c r="AH69" s="211" t="str">
        <f t="shared" ref="AH69:AH70" si="113">SUM(AG69,AH67)</f>
        <v>#DIV/0!</v>
      </c>
    </row>
    <row r="70" ht="15.75" customHeight="1">
      <c r="A70" s="292" t="s">
        <v>338</v>
      </c>
      <c r="B70" s="356" t="s">
        <v>619</v>
      </c>
      <c r="C70" s="357">
        <v>44721.0</v>
      </c>
      <c r="D70" s="357">
        <v>44722.0</v>
      </c>
      <c r="E70" s="162" t="str">
        <f t="shared" si="25"/>
        <v>#NAME?</v>
      </c>
      <c r="F70" s="28">
        <v>10.0</v>
      </c>
      <c r="G70" s="214">
        <f t="shared" si="104"/>
        <v>0.0113507378</v>
      </c>
      <c r="H70" s="39">
        <f t="shared" si="108"/>
        <v>0.5561861521</v>
      </c>
      <c r="I70" s="169" t="str">
        <f t="shared" si="105"/>
        <v>#REF!</v>
      </c>
      <c r="J70" s="329" t="str">
        <f t="shared" si="109"/>
        <v>#REF!</v>
      </c>
      <c r="K70" s="322" t="str">
        <f t="shared" si="76"/>
        <v>#REF!</v>
      </c>
      <c r="L70" s="179" t="str">
        <f t="shared" si="106"/>
        <v>#REF!</v>
      </c>
      <c r="M70" s="179" t="str">
        <f t="shared" si="110"/>
        <v>#REF!</v>
      </c>
      <c r="N70" s="47">
        <f t="shared" si="107"/>
        <v>0.0113507378</v>
      </c>
      <c r="O70" s="47">
        <f t="shared" si="111"/>
        <v>0.5550510783</v>
      </c>
      <c r="P70" s="47" t="str">
        <f t="shared" si="6"/>
        <v>#REF!</v>
      </c>
      <c r="Q70" s="188">
        <f t="shared" si="64"/>
        <v>0</v>
      </c>
      <c r="R70" s="189">
        <v>0.0</v>
      </c>
      <c r="S70" s="190" t="s">
        <v>64</v>
      </c>
      <c r="T70" s="190">
        <f t="shared" si="65"/>
        <v>0.68</v>
      </c>
      <c r="U70" s="189">
        <f t="shared" si="66"/>
        <v>0</v>
      </c>
      <c r="V70" s="198" t="str">
        <f t="shared" si="67"/>
        <v>#REF!</v>
      </c>
      <c r="W70" s="202" t="str">
        <f>'CD R Documentación'!O71+'CD R Documentación'!T71+'CD R Documentación'!Y71+'CD R Documentación'!AD71+'CD R Documentación'!AI71+'CD R Documentación'!AN71+#REF!</f>
        <v>#REF!</v>
      </c>
      <c r="X70" s="85" t="str">
        <f>'CD R Documentación'!R71+'CD R Documentación'!W71+'CD R Documentación'!AB71+'CD R Documentación'!AG71+'CD R Documentación'!AL71+'CD R Documentación'!AQ71+#REF!</f>
        <v>#REF!</v>
      </c>
      <c r="Y70" s="203">
        <f t="shared" si="79"/>
        <v>0</v>
      </c>
      <c r="Z70" s="204">
        <f>'CD R Investigación'!P71+'CD R Investigación'!U71+'CD R Investigación'!Z71+'CD R Investigación'!AE71+'CD R Investigación'!AJ71+'CD R Investigación'!AO71+'CD R Investigación'!AT71+'CD R Investigación'!AY71</f>
        <v>0</v>
      </c>
      <c r="AA70" s="204">
        <f>'CD R Investigación'!S71+'CD R Investigación'!X71+'CD R Investigación'!AC71+'CD R Investigación'!AH71+'CD R Investigación'!AM71+'CD R Investigación'!AR71+'CD R Investigación'!AW71+'CD R Investigación'!BB71</f>
        <v>0</v>
      </c>
      <c r="AB70" s="205" t="str">
        <f t="shared" si="69"/>
        <v>#REF!</v>
      </c>
      <c r="AC70" s="207" t="str">
        <f>'CD R Desarrollo'!P71+'CD R Desarrollo'!U71+'CD R Desarrollo'!Z71+'CD R Desarrollo'!AE71+'CD R Desarrollo'!AJ71+'CD R Desarrollo'!AO71+#REF!+#REF!</f>
        <v>#REF!</v>
      </c>
      <c r="AD70" s="207" t="str">
        <f>'CD R Desarrollo'!S71+'CD R Desarrollo'!X71+'CD R Desarrollo'!AC71+'CD R Desarrollo'!AH71+'CD R Desarrollo'!AM71+'CD R Desarrollo'!AR71+#REF!+#REF!</f>
        <v>#REF!</v>
      </c>
      <c r="AE70" s="211">
        <v>1.0</v>
      </c>
      <c r="AF70" s="210">
        <f>'PL Cronograma detallado'!L210*AE70</f>
        <v>7.28</v>
      </c>
      <c r="AG70" s="211" t="str">
        <f>AF70/'PL Cronograma detallado'!M$257</f>
        <v>#DIV/0!</v>
      </c>
      <c r="AH70" s="211" t="str">
        <f t="shared" si="113"/>
        <v>#DIV/0!</v>
      </c>
    </row>
    <row r="71" ht="15.75" customHeight="1">
      <c r="A71" s="292" t="s">
        <v>620</v>
      </c>
      <c r="B71" s="356" t="s">
        <v>538</v>
      </c>
      <c r="C71" s="357">
        <v>44724.0</v>
      </c>
      <c r="D71" s="357">
        <v>44724.0</v>
      </c>
      <c r="E71" s="162" t="str">
        <f t="shared" si="25"/>
        <v>#NAME?</v>
      </c>
      <c r="F71" s="28">
        <v>1.0</v>
      </c>
      <c r="G71" s="214">
        <f t="shared" si="104"/>
        <v>0.00113507378</v>
      </c>
      <c r="H71" s="39">
        <f t="shared" si="108"/>
        <v>0.5573212259</v>
      </c>
      <c r="I71" s="169" t="str">
        <f t="shared" si="105"/>
        <v>#REF!</v>
      </c>
      <c r="J71" s="329" t="str">
        <f t="shared" si="109"/>
        <v>#REF!</v>
      </c>
      <c r="K71" s="322" t="str">
        <f t="shared" si="76"/>
        <v>#REF!</v>
      </c>
      <c r="L71" s="179" t="str">
        <f t="shared" si="106"/>
        <v>#REF!</v>
      </c>
      <c r="M71" s="179" t="str">
        <f t="shared" si="110"/>
        <v>#REF!</v>
      </c>
      <c r="N71" s="47">
        <f t="shared" si="107"/>
        <v>0.00113507378</v>
      </c>
      <c r="O71" s="47">
        <f t="shared" si="111"/>
        <v>0.5561861521</v>
      </c>
      <c r="P71" s="47" t="str">
        <f t="shared" si="6"/>
        <v>#REF!</v>
      </c>
      <c r="Q71" s="188">
        <f t="shared" si="64"/>
        <v>1</v>
      </c>
      <c r="R71" s="189">
        <v>1.0</v>
      </c>
      <c r="S71" s="190" t="s">
        <v>64</v>
      </c>
      <c r="T71" s="190">
        <f t="shared" si="65"/>
        <v>0.68</v>
      </c>
      <c r="U71" s="189">
        <f t="shared" si="66"/>
        <v>0.68</v>
      </c>
      <c r="V71" s="198" t="str">
        <f t="shared" si="67"/>
        <v>#REF!</v>
      </c>
      <c r="W71" s="202" t="str">
        <f>'CD R Documentación'!O72+'CD R Documentación'!T72+'CD R Documentación'!Y72+'CD R Documentación'!AD72+'CD R Documentación'!AI72+'CD R Documentación'!AN72+#REF!</f>
        <v>#REF!</v>
      </c>
      <c r="X71" s="85" t="str">
        <f>'CD R Documentación'!R72+'CD R Documentación'!W72+'CD R Documentación'!AB72+'CD R Documentación'!AG72+'CD R Documentación'!AL72+'CD R Documentación'!AQ72+#REF!</f>
        <v>#REF!</v>
      </c>
      <c r="Y71" s="203">
        <f t="shared" si="79"/>
        <v>0</v>
      </c>
      <c r="Z71" s="204">
        <f>'CD R Investigación'!P72+'CD R Investigación'!U72+'CD R Investigación'!Z72+'CD R Investigación'!AE72+'CD R Investigación'!AJ72+'CD R Investigación'!AO72+'CD R Investigación'!AT72+'CD R Investigación'!AY72</f>
        <v>0</v>
      </c>
      <c r="AA71" s="204">
        <f>'CD R Investigación'!S72+'CD R Investigación'!X72+'CD R Investigación'!AC72+'CD R Investigación'!AH72+'CD R Investigación'!AM72+'CD R Investigación'!AR72+'CD R Investigación'!AW72+'CD R Investigación'!BB72</f>
        <v>0</v>
      </c>
      <c r="AB71" s="205" t="str">
        <f t="shared" si="69"/>
        <v>#REF!</v>
      </c>
      <c r="AC71" s="207" t="str">
        <f>'CD R Desarrollo'!P72+'CD R Desarrollo'!U72+'CD R Desarrollo'!Z72+'CD R Desarrollo'!AE72+'CD R Desarrollo'!AJ72+'CD R Desarrollo'!AO72+#REF!+#REF!</f>
        <v>#REF!</v>
      </c>
      <c r="AD71" s="207" t="str">
        <f>'CD R Desarrollo'!S72+'CD R Desarrollo'!X72+'CD R Desarrollo'!AC72+'CD R Desarrollo'!AH72+'CD R Desarrollo'!AM72+'CD R Desarrollo'!AR72+#REF!+#REF!</f>
        <v>#REF!</v>
      </c>
      <c r="AE71" s="211">
        <v>1.0</v>
      </c>
      <c r="AF71" s="210">
        <f>'PL Cronograma detallado'!L212*AE71</f>
        <v>0</v>
      </c>
      <c r="AG71" s="211" t="str">
        <f>AF71/'PL Cronograma detallado'!M$257</f>
        <v>#DIV/0!</v>
      </c>
      <c r="AH71" s="211" t="str">
        <f t="shared" ref="AH71:AH73" si="114">SUM(AG71,AH70)</f>
        <v>#DIV/0!</v>
      </c>
    </row>
    <row r="72" ht="15.75" customHeight="1">
      <c r="A72" s="250" t="s">
        <v>340</v>
      </c>
      <c r="B72" s="251" t="s">
        <v>621</v>
      </c>
      <c r="C72" s="252">
        <v>44718.0</v>
      </c>
      <c r="D72" s="252">
        <v>44725.0</v>
      </c>
      <c r="E72" s="125" t="str">
        <f t="shared" si="25"/>
        <v>#NAME?</v>
      </c>
      <c r="F72" s="253">
        <v>24.0</v>
      </c>
      <c r="G72" s="254">
        <f t="shared" si="104"/>
        <v>0.02724177072</v>
      </c>
      <c r="H72" s="138">
        <f t="shared" si="108"/>
        <v>0.5845629966</v>
      </c>
      <c r="I72" s="255" t="str">
        <f t="shared" si="105"/>
        <v>#REF!</v>
      </c>
      <c r="J72" s="256" t="str">
        <f t="shared" si="109"/>
        <v>#REF!</v>
      </c>
      <c r="K72" s="138" t="str">
        <f t="shared" si="76"/>
        <v>#REF!</v>
      </c>
      <c r="L72" s="257" t="str">
        <f t="shared" si="106"/>
        <v>#REF!</v>
      </c>
      <c r="M72" s="257" t="str">
        <f t="shared" si="110"/>
        <v>#REF!</v>
      </c>
      <c r="N72" s="138">
        <f t="shared" si="107"/>
        <v>0.02724177072</v>
      </c>
      <c r="O72" s="138">
        <f t="shared" si="111"/>
        <v>0.5834279228</v>
      </c>
      <c r="P72" s="138" t="str">
        <f t="shared" si="6"/>
        <v>#REF!</v>
      </c>
      <c r="Q72" s="258">
        <f t="shared" si="64"/>
        <v>0.1666666667</v>
      </c>
      <c r="R72" s="256">
        <v>4.0</v>
      </c>
      <c r="S72" s="253" t="s">
        <v>64</v>
      </c>
      <c r="T72" s="253">
        <f t="shared" si="65"/>
        <v>0.68</v>
      </c>
      <c r="U72" s="256">
        <f t="shared" si="66"/>
        <v>2.72</v>
      </c>
      <c r="V72" s="258" t="str">
        <f t="shared" si="67"/>
        <v>#REF!</v>
      </c>
      <c r="W72" s="255" t="str">
        <f>'CD R Documentación'!O73+'CD R Documentación'!T73+'CD R Documentación'!Y73+'CD R Documentación'!AD73+'CD R Documentación'!AI73+'CD R Documentación'!AN73+#REF!</f>
        <v>#REF!</v>
      </c>
      <c r="X72" s="253" t="str">
        <f>'CD R Documentación'!R73+'CD R Documentación'!W73+'CD R Documentación'!AB73+'CD R Documentación'!AG73+'CD R Documentación'!AL73+'CD R Documentación'!AQ73+#REF!</f>
        <v>#REF!</v>
      </c>
      <c r="Y72" s="258">
        <f t="shared" si="79"/>
        <v>0</v>
      </c>
      <c r="Z72" s="256">
        <f>'CD R Investigación'!P73+'CD R Investigación'!U73+'CD R Investigación'!Z73+'CD R Investigación'!AE73+'CD R Investigación'!AJ73+'CD R Investigación'!AO73+'CD R Investigación'!AT73+'CD R Investigación'!AY73</f>
        <v>0</v>
      </c>
      <c r="AA72" s="256">
        <f>'CD R Investigación'!S73+'CD R Investigación'!X73+'CD R Investigación'!AC73+'CD R Investigación'!AH73+'CD R Investigación'!AM73+'CD R Investigación'!AR73+'CD R Investigación'!AW73+'CD R Investigación'!BB73</f>
        <v>0</v>
      </c>
      <c r="AB72" s="258" t="str">
        <f t="shared" si="69"/>
        <v>#REF!</v>
      </c>
      <c r="AC72" s="256" t="str">
        <f>'CD R Desarrollo'!P73+'CD R Desarrollo'!U73+'CD R Desarrollo'!Z73+'CD R Desarrollo'!AE73+'CD R Desarrollo'!AJ73+'CD R Desarrollo'!AO73+#REF!+#REF!</f>
        <v>#REF!</v>
      </c>
      <c r="AD72" s="256" t="str">
        <f>'CD R Desarrollo'!S73+'CD R Desarrollo'!X73+'CD R Desarrollo'!AC73+'CD R Desarrollo'!AH73+'CD R Desarrollo'!AM73+'CD R Desarrollo'!AR73+#REF!+#REF!</f>
        <v>#REF!</v>
      </c>
      <c r="AE72" s="259">
        <v>1.0</v>
      </c>
      <c r="AF72" s="260">
        <f>'PL Cronograma detallado'!L213*AE72</f>
        <v>51.68</v>
      </c>
      <c r="AG72" s="259" t="str">
        <f>AF72/'PL Cronograma detallado'!M$257</f>
        <v>#DIV/0!</v>
      </c>
      <c r="AH72" s="259" t="str">
        <f t="shared" si="114"/>
        <v>#DIV/0!</v>
      </c>
    </row>
    <row r="73" ht="15.75" customHeight="1">
      <c r="A73" s="310" t="s">
        <v>276</v>
      </c>
      <c r="B73" s="311" t="s">
        <v>622</v>
      </c>
      <c r="C73" s="312">
        <v>44726.0</v>
      </c>
      <c r="D73" s="312">
        <v>44726.0</v>
      </c>
      <c r="E73" s="313" t="str">
        <f t="shared" si="25"/>
        <v>#NAME?</v>
      </c>
      <c r="F73" s="314">
        <v>1.0</v>
      </c>
      <c r="G73" s="282">
        <f>(F73/F$105)</f>
        <v>0.00113507378</v>
      </c>
      <c r="H73" s="282">
        <f t="shared" si="108"/>
        <v>0.5856980704</v>
      </c>
      <c r="I73" s="315" t="str">
        <f t="shared" si="105"/>
        <v>#REF!</v>
      </c>
      <c r="J73" s="315" t="str">
        <f t="shared" si="109"/>
        <v>#REF!</v>
      </c>
      <c r="K73" s="282" t="str">
        <f t="shared" si="76"/>
        <v>#REF!</v>
      </c>
      <c r="L73" s="317" t="str">
        <f t="shared" si="106"/>
        <v>#REF!</v>
      </c>
      <c r="M73" s="317" t="str">
        <f t="shared" si="110"/>
        <v>#REF!</v>
      </c>
      <c r="N73" s="282">
        <f t="shared" si="107"/>
        <v>0.00113507378</v>
      </c>
      <c r="O73" s="282">
        <f t="shared" si="111"/>
        <v>0.5845629966</v>
      </c>
      <c r="P73" s="282" t="str">
        <f t="shared" si="6"/>
        <v>#REF!</v>
      </c>
      <c r="Q73" s="318">
        <f t="shared" si="64"/>
        <v>1</v>
      </c>
      <c r="R73" s="316">
        <v>1.0</v>
      </c>
      <c r="S73" s="314" t="s">
        <v>64</v>
      </c>
      <c r="T73" s="314">
        <f t="shared" si="65"/>
        <v>0.68</v>
      </c>
      <c r="U73" s="316">
        <f t="shared" si="66"/>
        <v>0.68</v>
      </c>
      <c r="V73" s="318" t="str">
        <f t="shared" si="67"/>
        <v>#REF!</v>
      </c>
      <c r="W73" s="315" t="str">
        <f>'CD R Documentación'!O74+'CD R Documentación'!T74+'CD R Documentación'!Y74+'CD R Documentación'!AD74+'CD R Documentación'!AI74+'CD R Documentación'!AN74+#REF!</f>
        <v>#REF!</v>
      </c>
      <c r="X73" s="314" t="str">
        <f>'CD R Documentación'!R74+'CD R Documentación'!W74+'CD R Documentación'!AB74+'CD R Documentación'!AG74+'CD R Documentación'!AL74+'CD R Documentación'!AQ74+#REF!</f>
        <v>#REF!</v>
      </c>
      <c r="Y73" s="318">
        <f t="shared" si="79"/>
        <v>0</v>
      </c>
      <c r="Z73" s="316">
        <f>'CD R Investigación'!P74+'CD R Investigación'!U74+'CD R Investigación'!Z74+'CD R Investigación'!AE74+'CD R Investigación'!AJ74+'CD R Investigación'!AO74+'CD R Investigación'!AT74+'CD R Investigación'!AY74</f>
        <v>0</v>
      </c>
      <c r="AA73" s="316">
        <f>'CD R Investigación'!S74+'CD R Investigación'!X74+'CD R Investigación'!AC74+'CD R Investigación'!AH74+'CD R Investigación'!AM74+'CD R Investigación'!AR74+'CD R Investigación'!AW74+'CD R Investigación'!BB74</f>
        <v>0</v>
      </c>
      <c r="AB73" s="318" t="str">
        <f t="shared" si="69"/>
        <v>#REF!</v>
      </c>
      <c r="AC73" s="316" t="str">
        <f>'CD R Desarrollo'!P74+'CD R Desarrollo'!U74+'CD R Desarrollo'!Z74+'CD R Desarrollo'!AE74+'CD R Desarrollo'!AJ74+'CD R Desarrollo'!AO74+#REF!+#REF!</f>
        <v>#REF!</v>
      </c>
      <c r="AD73" s="316" t="str">
        <f>'CD R Desarrollo'!S74+'CD R Desarrollo'!X74+'CD R Desarrollo'!AC74+'CD R Desarrollo'!AH74+'CD R Desarrollo'!AM74+'CD R Desarrollo'!AR74+#REF!+#REF!</f>
        <v>#REF!</v>
      </c>
      <c r="AE73" s="319">
        <v>1.0</v>
      </c>
      <c r="AF73" s="320">
        <f>'PL Cronograma detallado'!L214*AE73</f>
        <v>10.41</v>
      </c>
      <c r="AG73" s="319" t="str">
        <f>AF73/'PL Cronograma detallado'!M$257</f>
        <v>#DIV/0!</v>
      </c>
      <c r="AH73" s="319" t="str">
        <f t="shared" si="114"/>
        <v>#DIV/0!</v>
      </c>
    </row>
    <row r="74" ht="15.75" customHeight="1">
      <c r="A74" s="130" t="s">
        <v>352</v>
      </c>
      <c r="B74" s="132" t="s">
        <v>623</v>
      </c>
      <c r="C74" s="133">
        <v>44726.0</v>
      </c>
      <c r="D74" s="133">
        <v>44749.0</v>
      </c>
      <c r="E74" s="134" t="str">
        <f t="shared" si="25"/>
        <v>#NAME?</v>
      </c>
      <c r="F74" s="136">
        <f t="shared" ref="F74:G74" si="115">SUM(F75:F83)</f>
        <v>172</v>
      </c>
      <c r="G74" s="115">
        <f t="shared" si="115"/>
        <v>0.1952326901</v>
      </c>
      <c r="H74" s="115">
        <f>SUM(G74,H73)</f>
        <v>0.7809307605</v>
      </c>
      <c r="I74" s="139" t="str">
        <f>SUM(I75:I83)</f>
        <v>#REF!</v>
      </c>
      <c r="J74" s="139" t="str">
        <f>SUM(I74,J64)</f>
        <v>#REF!</v>
      </c>
      <c r="K74" s="115" t="str">
        <f t="shared" si="76"/>
        <v>#REF!</v>
      </c>
      <c r="L74" s="143" t="str">
        <f>SUM(L75:L83)</f>
        <v>#REF!</v>
      </c>
      <c r="M74" s="143" t="str">
        <f t="shared" si="110"/>
        <v>#REF!</v>
      </c>
      <c r="N74" s="115"/>
      <c r="O74" s="115" t="str">
        <f>AH74</f>
        <v/>
      </c>
      <c r="P74" s="115" t="str">
        <f t="shared" si="6"/>
        <v>#REF!</v>
      </c>
      <c r="Q74" s="148">
        <f t="shared" si="64"/>
        <v>0</v>
      </c>
      <c r="R74" s="110">
        <v>0.0</v>
      </c>
      <c r="S74" s="136" t="s">
        <v>64</v>
      </c>
      <c r="T74" s="136">
        <f t="shared" si="65"/>
        <v>0.68</v>
      </c>
      <c r="U74" s="110">
        <f t="shared" si="66"/>
        <v>0</v>
      </c>
      <c r="V74" s="148" t="str">
        <f t="shared" si="67"/>
        <v>#REF!</v>
      </c>
      <c r="W74" s="139" t="str">
        <f>'CD R Documentación'!O75+'CD R Documentación'!T75+'CD R Documentación'!Y75+'CD R Documentación'!AD75+'CD R Documentación'!AI75+'CD R Documentación'!AN75+#REF!</f>
        <v>#REF!</v>
      </c>
      <c r="X74" s="136" t="str">
        <f>'CD R Documentación'!R75+'CD R Documentación'!W75+'CD R Documentación'!AB75+'CD R Documentación'!AG75+'CD R Documentación'!AL75+'CD R Documentación'!AQ75+#REF!</f>
        <v>#REF!</v>
      </c>
      <c r="Y74" s="148">
        <f t="shared" si="79"/>
        <v>0.01162790698</v>
      </c>
      <c r="Z74" s="110">
        <f>'CD R Investigación'!P75+'CD R Investigación'!U75+'CD R Investigación'!Z75+'CD R Investigación'!AE75+'CD R Investigación'!AJ75+'CD R Investigación'!AO75+'CD R Investigación'!AT75+'CD R Investigación'!AY75</f>
        <v>2</v>
      </c>
      <c r="AA74" s="110">
        <f>'CD R Investigación'!S75+'CD R Investigación'!X75+'CD R Investigación'!AC75+'CD R Investigación'!AH75+'CD R Investigación'!AM75+'CD R Investigación'!AR75+'CD R Investigación'!AW75+'CD R Investigación'!BB75</f>
        <v>0.88</v>
      </c>
      <c r="AB74" s="148" t="str">
        <f t="shared" si="69"/>
        <v>#REF!</v>
      </c>
      <c r="AC74" s="110" t="str">
        <f>'CD R Desarrollo'!P75+'CD R Desarrollo'!U75+'CD R Desarrollo'!Z75+'CD R Desarrollo'!AE75+'CD R Desarrollo'!AJ75+'CD R Desarrollo'!AO75+#REF!+#REF!</f>
        <v>#REF!</v>
      </c>
      <c r="AD74" s="110" t="str">
        <f>'CD R Desarrollo'!S75+'CD R Desarrollo'!X75+'CD R Desarrollo'!AC75+'CD R Desarrollo'!AH75+'CD R Desarrollo'!AM75+'CD R Desarrollo'!AR75+#REF!+#REF!</f>
        <v>#REF!</v>
      </c>
      <c r="AE74" s="155"/>
      <c r="AF74" s="155"/>
      <c r="AG74" s="155"/>
      <c r="AH74" s="339"/>
    </row>
    <row r="75" ht="15.75" customHeight="1">
      <c r="A75" s="292" t="s">
        <v>355</v>
      </c>
      <c r="B75" s="356" t="s">
        <v>624</v>
      </c>
      <c r="C75" s="357">
        <v>44726.0</v>
      </c>
      <c r="D75" s="357">
        <v>44742.0</v>
      </c>
      <c r="E75" s="162" t="str">
        <f t="shared" si="25"/>
        <v>#NAME?</v>
      </c>
      <c r="F75" s="28">
        <v>70.0</v>
      </c>
      <c r="G75" s="47">
        <f t="shared" ref="G75:G82" si="116">F75/F$105</f>
        <v>0.07945516459</v>
      </c>
      <c r="H75" s="39">
        <f>SUM(H73,G75)</f>
        <v>0.665153235</v>
      </c>
      <c r="I75" s="169" t="str">
        <f t="shared" ref="I75:I83" si="117">SUM(R75,W75,Z75,AC75)</f>
        <v>#REF!</v>
      </c>
      <c r="J75" s="329" t="str">
        <f>SUM(I75,J73)</f>
        <v>#REF!</v>
      </c>
      <c r="K75" s="322" t="str">
        <f t="shared" si="76"/>
        <v>#REF!</v>
      </c>
      <c r="L75" s="179" t="str">
        <f t="shared" ref="L75:L83" si="118">SUM(U75,X75,AA75,AD75)</f>
        <v>#REF!</v>
      </c>
      <c r="M75" s="179" t="str">
        <f>SUM(L75,M73)</f>
        <v>#REF!</v>
      </c>
      <c r="N75" s="47">
        <f t="shared" ref="N75:N83" si="119">G75*AE75</f>
        <v>0.07945516459</v>
      </c>
      <c r="O75" s="47">
        <f>SUM(N75,O73)</f>
        <v>0.6640181612</v>
      </c>
      <c r="P75" s="323" t="str">
        <f t="shared" si="6"/>
        <v>#REF!</v>
      </c>
      <c r="Q75" s="188">
        <f t="shared" si="64"/>
        <v>0</v>
      </c>
      <c r="R75" s="189">
        <v>0.0</v>
      </c>
      <c r="S75" s="190" t="s">
        <v>64</v>
      </c>
      <c r="T75" s="190">
        <f t="shared" si="65"/>
        <v>0.68</v>
      </c>
      <c r="U75" s="189">
        <f t="shared" si="66"/>
        <v>0</v>
      </c>
      <c r="V75" s="198" t="str">
        <f t="shared" si="67"/>
        <v>#REF!</v>
      </c>
      <c r="W75" s="202" t="str">
        <f>'CD R Documentación'!O76+'CD R Documentación'!T76+'CD R Documentación'!Y76+'CD R Documentación'!AD76+'CD R Documentación'!AI76+'CD R Documentación'!AN76+#REF!</f>
        <v>#REF!</v>
      </c>
      <c r="X75" s="85" t="str">
        <f>'CD R Documentación'!R76+'CD R Documentación'!W76+'CD R Documentación'!AB76+'CD R Documentación'!AG76+'CD R Documentación'!AL76+'CD R Documentación'!AQ76+#REF!</f>
        <v>#REF!</v>
      </c>
      <c r="Y75" s="203">
        <f t="shared" si="79"/>
        <v>0</v>
      </c>
      <c r="Z75" s="204">
        <f>'CD R Investigación'!P76+'CD R Investigación'!U76+'CD R Investigación'!Z76+'CD R Investigación'!AE76+'CD R Investigación'!AJ76+'CD R Investigación'!AO76+'CD R Investigación'!AT76+'CD R Investigación'!AY76</f>
        <v>0</v>
      </c>
      <c r="AA75" s="204">
        <f>'CD R Investigación'!S76+'CD R Investigación'!X76+'CD R Investigación'!AC76+'CD R Investigación'!AH76+'CD R Investigación'!AM76+'CD R Investigación'!AR76+'CD R Investigación'!AW76+'CD R Investigación'!BB76</f>
        <v>0</v>
      </c>
      <c r="AB75" s="205" t="str">
        <f t="shared" si="69"/>
        <v>#REF!</v>
      </c>
      <c r="AC75" s="207" t="str">
        <f>'CD R Desarrollo'!P76+'CD R Desarrollo'!U76+'CD R Desarrollo'!Z76+'CD R Desarrollo'!AE76+'CD R Desarrollo'!AJ76+'CD R Desarrollo'!AO76+#REF!+#REF!</f>
        <v>#REF!</v>
      </c>
      <c r="AD75" s="207" t="str">
        <f>'CD R Desarrollo'!S76+'CD R Desarrollo'!X76+'CD R Desarrollo'!AC76+'CD R Desarrollo'!AH76+'CD R Desarrollo'!AM76+'CD R Desarrollo'!AR76+#REF!+#REF!</f>
        <v>#REF!</v>
      </c>
      <c r="AE75" s="211">
        <v>1.0</v>
      </c>
      <c r="AF75" s="210">
        <f>'PL Cronograma detallado'!L217*AE75</f>
        <v>3.43</v>
      </c>
      <c r="AG75" s="211" t="str">
        <f>AF75/'PL Cronograma detallado'!M$257</f>
        <v>#DIV/0!</v>
      </c>
      <c r="AH75" s="211" t="str">
        <f>SUM(AG75,AH73)</f>
        <v>#DIV/0!</v>
      </c>
    </row>
    <row r="76" ht="15.75" customHeight="1">
      <c r="A76" s="292" t="s">
        <v>357</v>
      </c>
      <c r="B76" s="266" t="s">
        <v>625</v>
      </c>
      <c r="C76" s="357">
        <v>44727.0</v>
      </c>
      <c r="D76" s="357">
        <v>44730.0</v>
      </c>
      <c r="E76" s="162" t="str">
        <f t="shared" si="25"/>
        <v>#NAME?</v>
      </c>
      <c r="F76" s="28">
        <v>10.0</v>
      </c>
      <c r="G76" s="47">
        <f t="shared" si="116"/>
        <v>0.0113507378</v>
      </c>
      <c r="H76" s="39">
        <f t="shared" ref="H76:H83" si="120">SUM(H75,G76)</f>
        <v>0.6765039728</v>
      </c>
      <c r="I76" s="169" t="str">
        <f t="shared" si="117"/>
        <v>#REF!</v>
      </c>
      <c r="J76" s="329" t="str">
        <f t="shared" ref="J76:J83" si="121">SUM(I76,J75)</f>
        <v>#REF!</v>
      </c>
      <c r="K76" s="322" t="str">
        <f t="shared" si="76"/>
        <v>#REF!</v>
      </c>
      <c r="L76" s="179" t="str">
        <f t="shared" si="118"/>
        <v>#REF!</v>
      </c>
      <c r="M76" s="179" t="str">
        <f t="shared" ref="M76:M78" si="122">SUM(L76,M75)</f>
        <v>#REF!</v>
      </c>
      <c r="N76" s="47">
        <f t="shared" si="119"/>
        <v>0.0113507378</v>
      </c>
      <c r="O76" s="47">
        <f t="shared" ref="O76:O83" si="123">SUM(N76,O75)</f>
        <v>0.675368899</v>
      </c>
      <c r="P76" s="47" t="str">
        <f t="shared" si="6"/>
        <v>#REF!</v>
      </c>
      <c r="Q76" s="188">
        <f t="shared" si="64"/>
        <v>0</v>
      </c>
      <c r="R76" s="189">
        <v>0.0</v>
      </c>
      <c r="S76" s="190" t="s">
        <v>64</v>
      </c>
      <c r="T76" s="190">
        <f t="shared" si="65"/>
        <v>0.68</v>
      </c>
      <c r="U76" s="189">
        <f t="shared" si="66"/>
        <v>0</v>
      </c>
      <c r="V76" s="198" t="str">
        <f t="shared" si="67"/>
        <v>#REF!</v>
      </c>
      <c r="W76" s="202" t="str">
        <f>'CD R Documentación'!O77+'CD R Documentación'!T77+'CD R Documentación'!Y77+'CD R Documentación'!AD77+'CD R Documentación'!AI77+'CD R Documentación'!AN77+#REF!</f>
        <v>#REF!</v>
      </c>
      <c r="X76" s="85" t="str">
        <f>'CD R Documentación'!R77+'CD R Documentación'!W77+'CD R Documentación'!AB77+'CD R Documentación'!AG77+'CD R Documentación'!AL77+'CD R Documentación'!AQ77+#REF!</f>
        <v>#REF!</v>
      </c>
      <c r="Y76" s="203">
        <f t="shared" si="79"/>
        <v>0</v>
      </c>
      <c r="Z76" s="204">
        <f>'CD R Investigación'!P77+'CD R Investigación'!U77+'CD R Investigación'!Z77+'CD R Investigación'!AE77+'CD R Investigación'!AJ77+'CD R Investigación'!AO77+'CD R Investigación'!AT77+'CD R Investigación'!AY77</f>
        <v>0</v>
      </c>
      <c r="AA76" s="204">
        <f>'CD R Investigación'!S77+'CD R Investigación'!X77+'CD R Investigación'!AC77+'CD R Investigación'!AH77+'CD R Investigación'!AM77+'CD R Investigación'!AR77+'CD R Investigación'!AW77+'CD R Investigación'!BB77</f>
        <v>0</v>
      </c>
      <c r="AB76" s="205" t="str">
        <f t="shared" si="69"/>
        <v>#REF!</v>
      </c>
      <c r="AC76" s="207" t="str">
        <f>'CD R Desarrollo'!P77+'CD R Desarrollo'!U77+'CD R Desarrollo'!Z77+'CD R Desarrollo'!AE77+'CD R Desarrollo'!AJ77+'CD R Desarrollo'!AO77+#REF!+#REF!</f>
        <v>#REF!</v>
      </c>
      <c r="AD76" s="207" t="str">
        <f>'CD R Desarrollo'!S77+'CD R Desarrollo'!X77+'CD R Desarrollo'!AC77+'CD R Desarrollo'!AH77+'CD R Desarrollo'!AM77+'CD R Desarrollo'!AR77+#REF!+#REF!</f>
        <v>#REF!</v>
      </c>
      <c r="AE76" s="211">
        <v>1.0</v>
      </c>
      <c r="AF76" s="210">
        <f>'PL Cronograma detallado'!L218*AE76</f>
        <v>12.44</v>
      </c>
      <c r="AG76" s="211" t="str">
        <f>AF76/'PL Cronograma detallado'!M$257</f>
        <v>#DIV/0!</v>
      </c>
      <c r="AH76" s="211" t="str">
        <f t="shared" ref="AH76:AH78" si="124">SUM(AG76,AH75)</f>
        <v>#DIV/0!</v>
      </c>
    </row>
    <row r="77" ht="15.75" customHeight="1">
      <c r="A77" s="292" t="s">
        <v>361</v>
      </c>
      <c r="B77" s="356" t="s">
        <v>565</v>
      </c>
      <c r="C77" s="357">
        <v>44731.0</v>
      </c>
      <c r="D77" s="357">
        <v>44731.0</v>
      </c>
      <c r="E77" s="162" t="str">
        <f t="shared" si="25"/>
        <v>#NAME?</v>
      </c>
      <c r="F77" s="28">
        <v>1.0</v>
      </c>
      <c r="G77" s="47">
        <f t="shared" si="116"/>
        <v>0.00113507378</v>
      </c>
      <c r="H77" s="39">
        <f t="shared" si="120"/>
        <v>0.6776390465</v>
      </c>
      <c r="I77" s="169" t="str">
        <f t="shared" si="117"/>
        <v>#REF!</v>
      </c>
      <c r="J77" s="321" t="str">
        <f t="shared" si="121"/>
        <v>#REF!</v>
      </c>
      <c r="K77" s="322" t="str">
        <f t="shared" si="76"/>
        <v>#REF!</v>
      </c>
      <c r="L77" s="179" t="str">
        <f t="shared" si="118"/>
        <v>#REF!</v>
      </c>
      <c r="M77" s="179" t="str">
        <f t="shared" si="122"/>
        <v>#REF!</v>
      </c>
      <c r="N77" s="47">
        <f t="shared" si="119"/>
        <v>0.00113507378</v>
      </c>
      <c r="O77" s="47">
        <f t="shared" si="123"/>
        <v>0.6765039728</v>
      </c>
      <c r="P77" s="47" t="str">
        <f t="shared" si="6"/>
        <v>#REF!</v>
      </c>
      <c r="Q77" s="188">
        <f t="shared" si="64"/>
        <v>1</v>
      </c>
      <c r="R77" s="189">
        <v>1.0</v>
      </c>
      <c r="S77" s="190" t="s">
        <v>64</v>
      </c>
      <c r="T77" s="190">
        <f t="shared" si="65"/>
        <v>0.68</v>
      </c>
      <c r="U77" s="189">
        <f t="shared" si="66"/>
        <v>0.68</v>
      </c>
      <c r="V77" s="198" t="str">
        <f t="shared" si="67"/>
        <v>#REF!</v>
      </c>
      <c r="W77" s="202" t="str">
        <f>'CD R Documentación'!O78+'CD R Documentación'!T78+'CD R Documentación'!Y78+'CD R Documentación'!AD78+'CD R Documentación'!AI78+'CD R Documentación'!AN78+#REF!</f>
        <v>#REF!</v>
      </c>
      <c r="X77" s="85" t="str">
        <f>'CD R Documentación'!R78+'CD R Documentación'!W78+'CD R Documentación'!AB78+'CD R Documentación'!AG78+'CD R Documentación'!AL78+'CD R Documentación'!AQ78+#REF!</f>
        <v>#REF!</v>
      </c>
      <c r="Y77" s="203">
        <f t="shared" si="79"/>
        <v>0</v>
      </c>
      <c r="Z77" s="204">
        <f>'CD R Investigación'!P78+'CD R Investigación'!U78+'CD R Investigación'!Z78+'CD R Investigación'!AE78+'CD R Investigación'!AJ78+'CD R Investigación'!AO78+'CD R Investigación'!AT78+'CD R Investigación'!AY78</f>
        <v>0</v>
      </c>
      <c r="AA77" s="204">
        <f>'CD R Investigación'!S78+'CD R Investigación'!X78+'CD R Investigación'!AC78+'CD R Investigación'!AH78+'CD R Investigación'!AM78+'CD R Investigación'!AR78+'CD R Investigación'!AW78+'CD R Investigación'!BB78</f>
        <v>0</v>
      </c>
      <c r="AB77" s="205" t="str">
        <f t="shared" si="69"/>
        <v>#REF!</v>
      </c>
      <c r="AC77" s="207" t="str">
        <f>'CD R Desarrollo'!P78+'CD R Desarrollo'!U78+'CD R Desarrollo'!Z78+'CD R Desarrollo'!AE78+'CD R Desarrollo'!AJ78+'CD R Desarrollo'!AO78+#REF!+#REF!</f>
        <v>#REF!</v>
      </c>
      <c r="AD77" s="207" t="str">
        <f>'CD R Desarrollo'!S78+'CD R Desarrollo'!X78+'CD R Desarrollo'!AC78+'CD R Desarrollo'!AH78+'CD R Desarrollo'!AM78+'CD R Desarrollo'!AR78+#REF!+#REF!</f>
        <v>#REF!</v>
      </c>
      <c r="AE77" s="211">
        <v>1.0</v>
      </c>
      <c r="AF77" s="210">
        <f>'PL Cronograma detallado'!L219*AE77</f>
        <v>4.41</v>
      </c>
      <c r="AG77" s="211" t="str">
        <f>AF77/'PL Cronograma detallado'!M$257</f>
        <v>#DIV/0!</v>
      </c>
      <c r="AH77" s="211" t="str">
        <f t="shared" si="124"/>
        <v>#DIV/0!</v>
      </c>
    </row>
    <row r="78" ht="15.75" customHeight="1">
      <c r="A78" s="292" t="s">
        <v>363</v>
      </c>
      <c r="B78" s="356" t="s">
        <v>626</v>
      </c>
      <c r="C78" s="357">
        <v>44732.0</v>
      </c>
      <c r="D78" s="357">
        <v>44744.0</v>
      </c>
      <c r="E78" s="162" t="str">
        <f t="shared" si="25"/>
        <v>#NAME?</v>
      </c>
      <c r="F78" s="28">
        <v>25.0</v>
      </c>
      <c r="G78" s="47">
        <f t="shared" si="116"/>
        <v>0.02837684449</v>
      </c>
      <c r="H78" s="39">
        <f t="shared" si="120"/>
        <v>0.706015891</v>
      </c>
      <c r="I78" s="169" t="str">
        <f t="shared" si="117"/>
        <v>#REF!</v>
      </c>
      <c r="J78" s="321" t="str">
        <f t="shared" si="121"/>
        <v>#REF!</v>
      </c>
      <c r="K78" s="322" t="str">
        <f t="shared" si="76"/>
        <v>#REF!</v>
      </c>
      <c r="L78" s="179" t="str">
        <f t="shared" si="118"/>
        <v>#REF!</v>
      </c>
      <c r="M78" s="179" t="str">
        <f t="shared" si="122"/>
        <v>#REF!</v>
      </c>
      <c r="N78" s="47">
        <f t="shared" si="119"/>
        <v>0.02837684449</v>
      </c>
      <c r="O78" s="47">
        <f t="shared" si="123"/>
        <v>0.7048808173</v>
      </c>
      <c r="P78" s="47" t="str">
        <f t="shared" si="6"/>
        <v>#REF!</v>
      </c>
      <c r="Q78" s="188">
        <f t="shared" si="64"/>
        <v>0</v>
      </c>
      <c r="R78" s="189">
        <v>0.0</v>
      </c>
      <c r="S78" s="190" t="s">
        <v>64</v>
      </c>
      <c r="T78" s="190">
        <f t="shared" si="65"/>
        <v>0.68</v>
      </c>
      <c r="U78" s="189">
        <f t="shared" si="66"/>
        <v>0</v>
      </c>
      <c r="V78" s="198" t="str">
        <f t="shared" si="67"/>
        <v>#REF!</v>
      </c>
      <c r="W78" s="202" t="str">
        <f>'CD R Documentación'!O79+'CD R Documentación'!T79+'CD R Documentación'!Y79+'CD R Documentación'!AD79+'CD R Documentación'!AI79+'CD R Documentación'!AN79+#REF!</f>
        <v>#REF!</v>
      </c>
      <c r="X78" s="85" t="str">
        <f>'CD R Documentación'!R79+'CD R Documentación'!W79+'CD R Documentación'!AB79+'CD R Documentación'!AG79+'CD R Documentación'!AL79+'CD R Documentación'!AQ79+#REF!</f>
        <v>#REF!</v>
      </c>
      <c r="Y78" s="203">
        <f t="shared" si="79"/>
        <v>0</v>
      </c>
      <c r="Z78" s="204">
        <f>'CD R Investigación'!P79+'CD R Investigación'!U79+'CD R Investigación'!Z79+'CD R Investigación'!AE79+'CD R Investigación'!AJ79+'CD R Investigación'!AO79+'CD R Investigación'!AT79+'CD R Investigación'!AY79</f>
        <v>0</v>
      </c>
      <c r="AA78" s="204">
        <f>'CD R Investigación'!S79+'CD R Investigación'!X79+'CD R Investigación'!AC79+'CD R Investigación'!AH79+'CD R Investigación'!AM79+'CD R Investigación'!AR79+'CD R Investigación'!AW79+'CD R Investigación'!BB79</f>
        <v>0</v>
      </c>
      <c r="AB78" s="205" t="str">
        <f t="shared" si="69"/>
        <v>#REF!</v>
      </c>
      <c r="AC78" s="207" t="str">
        <f>'CD R Desarrollo'!P79+'CD R Desarrollo'!U79+'CD R Desarrollo'!Z79+'CD R Desarrollo'!AE79+'CD R Desarrollo'!AJ79+'CD R Desarrollo'!AO79+#REF!+#REF!</f>
        <v>#REF!</v>
      </c>
      <c r="AD78" s="207" t="str">
        <f>'CD R Desarrollo'!S79+'CD R Desarrollo'!X79+'CD R Desarrollo'!AC79+'CD R Desarrollo'!AH79+'CD R Desarrollo'!AM79+'CD R Desarrollo'!AR79+#REF!+#REF!</f>
        <v>#REF!</v>
      </c>
      <c r="AE78" s="211">
        <v>1.0</v>
      </c>
      <c r="AF78" s="210">
        <f>'PL Cronograma detallado'!L222*AE78</f>
        <v>3.65</v>
      </c>
      <c r="AG78" s="211" t="str">
        <f>AF78/'PL Cronograma detallado'!M$257</f>
        <v>#DIV/0!</v>
      </c>
      <c r="AH78" s="211" t="str">
        <f t="shared" si="124"/>
        <v>#DIV/0!</v>
      </c>
    </row>
    <row r="79" ht="15.75" customHeight="1">
      <c r="A79" s="292" t="s">
        <v>627</v>
      </c>
      <c r="B79" s="356" t="s">
        <v>577</v>
      </c>
      <c r="C79" s="357">
        <v>44738.0</v>
      </c>
      <c r="D79" s="357">
        <v>44738.0</v>
      </c>
      <c r="E79" s="162" t="str">
        <f t="shared" si="25"/>
        <v>#NAME?</v>
      </c>
      <c r="F79" s="28">
        <v>1.0</v>
      </c>
      <c r="G79" s="47">
        <f t="shared" si="116"/>
        <v>0.00113507378</v>
      </c>
      <c r="H79" s="39">
        <f t="shared" si="120"/>
        <v>0.7071509648</v>
      </c>
      <c r="I79" s="169" t="str">
        <f t="shared" si="117"/>
        <v>#REF!</v>
      </c>
      <c r="J79" s="321" t="str">
        <f t="shared" si="121"/>
        <v>#REF!</v>
      </c>
      <c r="K79" s="322" t="str">
        <f t="shared" si="76"/>
        <v>#REF!</v>
      </c>
      <c r="L79" s="179" t="str">
        <f t="shared" si="118"/>
        <v>#REF!</v>
      </c>
      <c r="M79" s="179" t="str">
        <f>SUM(L79,M80)</f>
        <v>#REF!</v>
      </c>
      <c r="N79" s="47">
        <f t="shared" si="119"/>
        <v>0.00113507378</v>
      </c>
      <c r="O79" s="47">
        <f t="shared" si="123"/>
        <v>0.706015891</v>
      </c>
      <c r="P79" s="47" t="str">
        <f t="shared" si="6"/>
        <v>#REF!</v>
      </c>
      <c r="Q79" s="188">
        <f t="shared" si="64"/>
        <v>1</v>
      </c>
      <c r="R79" s="189">
        <v>1.0</v>
      </c>
      <c r="S79" s="190" t="s">
        <v>64</v>
      </c>
      <c r="T79" s="190">
        <f t="shared" si="65"/>
        <v>0.68</v>
      </c>
      <c r="U79" s="189">
        <f t="shared" si="66"/>
        <v>0.68</v>
      </c>
      <c r="V79" s="198" t="str">
        <f t="shared" si="67"/>
        <v>#REF!</v>
      </c>
      <c r="W79" s="202" t="str">
        <f>'CD R Documentación'!O80+'CD R Documentación'!T80+'CD R Documentación'!Y80+'CD R Documentación'!AD80+'CD R Documentación'!AI80+'CD R Documentación'!AN80+#REF!</f>
        <v>#REF!</v>
      </c>
      <c r="X79" s="85" t="str">
        <f>'CD R Documentación'!R80+'CD R Documentación'!W80+'CD R Documentación'!AB80+'CD R Documentación'!AG80+'CD R Documentación'!AL80+'CD R Documentación'!AQ80+#REF!</f>
        <v>#REF!</v>
      </c>
      <c r="Y79" s="203">
        <f t="shared" si="79"/>
        <v>0</v>
      </c>
      <c r="Z79" s="204">
        <f>'CD R Investigación'!P80+'CD R Investigación'!U80+'CD R Investigación'!Z80+'CD R Investigación'!AE80+'CD R Investigación'!AJ80+'CD R Investigación'!AO80+'CD R Investigación'!AT80+'CD R Investigación'!AY80</f>
        <v>0</v>
      </c>
      <c r="AA79" s="204">
        <f>'CD R Investigación'!S80+'CD R Investigación'!X80+'CD R Investigación'!AC80+'CD R Investigación'!AH80+'CD R Investigación'!AM80+'CD R Investigación'!AR80+'CD R Investigación'!AW80+'CD R Investigación'!BB80</f>
        <v>0</v>
      </c>
      <c r="AB79" s="205" t="str">
        <f t="shared" si="69"/>
        <v>#REF!</v>
      </c>
      <c r="AC79" s="207" t="str">
        <f>'CD R Desarrollo'!P80+'CD R Desarrollo'!U80+'CD R Desarrollo'!Z80+'CD R Desarrollo'!AE80+'CD R Desarrollo'!AJ80+'CD R Desarrollo'!AO80+#REF!+#REF!</f>
        <v>#REF!</v>
      </c>
      <c r="AD79" s="207" t="str">
        <f>'CD R Desarrollo'!S80+'CD R Desarrollo'!X80+'CD R Desarrollo'!AC80+'CD R Desarrollo'!AH80+'CD R Desarrollo'!AM80+'CD R Desarrollo'!AR80+#REF!+#REF!</f>
        <v>#REF!</v>
      </c>
      <c r="AE79" s="211">
        <v>1.0</v>
      </c>
      <c r="AF79" s="210">
        <f>'PL Cronograma detallado'!L229*AE79</f>
        <v>5.8</v>
      </c>
      <c r="AG79" s="211" t="str">
        <f>AF79/'PL Cronograma detallado'!M$257</f>
        <v>#DIV/0!</v>
      </c>
      <c r="AH79" s="211" t="str">
        <f>SUM(AG79,AH80)</f>
        <v>#DIV/0!</v>
      </c>
    </row>
    <row r="80" ht="15.75" customHeight="1">
      <c r="A80" s="292" t="s">
        <v>628</v>
      </c>
      <c r="B80" s="356" t="s">
        <v>629</v>
      </c>
      <c r="C80" s="357">
        <v>44739.0</v>
      </c>
      <c r="D80" s="357">
        <v>44744.0</v>
      </c>
      <c r="E80" s="162" t="str">
        <f t="shared" si="25"/>
        <v>#NAME?</v>
      </c>
      <c r="F80" s="28">
        <v>30.0</v>
      </c>
      <c r="G80" s="47">
        <f t="shared" si="116"/>
        <v>0.03405221339</v>
      </c>
      <c r="H80" s="39">
        <f t="shared" si="120"/>
        <v>0.7412031782</v>
      </c>
      <c r="I80" s="169" t="str">
        <f t="shared" si="117"/>
        <v>#REF!</v>
      </c>
      <c r="J80" s="321" t="str">
        <f t="shared" si="121"/>
        <v>#REF!</v>
      </c>
      <c r="K80" s="322" t="str">
        <f t="shared" si="76"/>
        <v>#REF!</v>
      </c>
      <c r="L80" s="179" t="str">
        <f t="shared" si="118"/>
        <v>#REF!</v>
      </c>
      <c r="M80" s="179" t="str">
        <f t="shared" ref="M80:M81" si="125">SUM(L80,M78)</f>
        <v>#REF!</v>
      </c>
      <c r="N80" s="47">
        <f t="shared" si="119"/>
        <v>0.03405221339</v>
      </c>
      <c r="O80" s="47">
        <f t="shared" si="123"/>
        <v>0.7400681044</v>
      </c>
      <c r="P80" s="47" t="str">
        <f t="shared" si="6"/>
        <v>#REF!</v>
      </c>
      <c r="Q80" s="188">
        <f t="shared" si="64"/>
        <v>0</v>
      </c>
      <c r="R80" s="189">
        <v>0.0</v>
      </c>
      <c r="S80" s="190" t="s">
        <v>64</v>
      </c>
      <c r="T80" s="190">
        <f t="shared" si="65"/>
        <v>0.68</v>
      </c>
      <c r="U80" s="189">
        <f t="shared" si="66"/>
        <v>0</v>
      </c>
      <c r="V80" s="198" t="str">
        <f t="shared" si="67"/>
        <v>#REF!</v>
      </c>
      <c r="W80" s="202" t="str">
        <f>'CD R Documentación'!O81+'CD R Documentación'!T81+'CD R Documentación'!Y81+'CD R Documentación'!AD81+'CD R Documentación'!AI81+'CD R Documentación'!AN81+#REF!</f>
        <v>#REF!</v>
      </c>
      <c r="X80" s="85" t="str">
        <f>'CD R Documentación'!R81+'CD R Documentación'!W81+'CD R Documentación'!AB81+'CD R Documentación'!AG81+'CD R Documentación'!AL81+'CD R Documentación'!AQ81+#REF!</f>
        <v>#REF!</v>
      </c>
      <c r="Y80" s="203">
        <f t="shared" si="79"/>
        <v>0</v>
      </c>
      <c r="Z80" s="204">
        <f>'CD R Investigación'!P81+'CD R Investigación'!U81+'CD R Investigación'!Z81+'CD R Investigación'!AE81+'CD R Investigación'!AJ81+'CD R Investigación'!AO81+'CD R Investigación'!AT81+'CD R Investigación'!AY81</f>
        <v>0</v>
      </c>
      <c r="AA80" s="204">
        <f>'CD R Investigación'!S81+'CD R Investigación'!X81+'CD R Investigación'!AC81+'CD R Investigación'!AH81+'CD R Investigación'!AM81+'CD R Investigación'!AR81+'CD R Investigación'!AW81+'CD R Investigación'!BB81</f>
        <v>0</v>
      </c>
      <c r="AB80" s="205" t="str">
        <f t="shared" si="69"/>
        <v>#REF!</v>
      </c>
      <c r="AC80" s="207" t="str">
        <f>'CD R Desarrollo'!P81+'CD R Desarrollo'!U81+'CD R Desarrollo'!Z81+'CD R Desarrollo'!AE81+'CD R Desarrollo'!AJ81+'CD R Desarrollo'!AO81+#REF!+#REF!</f>
        <v>#REF!</v>
      </c>
      <c r="AD80" s="207" t="str">
        <f>'CD R Desarrollo'!S81+'CD R Desarrollo'!X81+'CD R Desarrollo'!AC81+'CD R Desarrollo'!AH81+'CD R Desarrollo'!AM81+'CD R Desarrollo'!AR81+#REF!+#REF!</f>
        <v>#REF!</v>
      </c>
      <c r="AE80" s="211">
        <v>1.0</v>
      </c>
      <c r="AF80" s="210">
        <f>'PL Cronograma detallado'!L230*AE80</f>
        <v>3.31</v>
      </c>
      <c r="AG80" s="211" t="str">
        <f>AF80/'PL Cronograma detallado'!M$257</f>
        <v>#DIV/0!</v>
      </c>
      <c r="AH80" s="211" t="str">
        <f t="shared" ref="AH80:AH81" si="126">SUM(AG80,AH78)</f>
        <v>#DIV/0!</v>
      </c>
    </row>
    <row r="81" ht="15.75" customHeight="1">
      <c r="A81" s="292" t="s">
        <v>630</v>
      </c>
      <c r="B81" s="356" t="s">
        <v>631</v>
      </c>
      <c r="C81" s="357">
        <v>44739.0</v>
      </c>
      <c r="D81" s="368">
        <v>44744.0</v>
      </c>
      <c r="E81" s="162" t="str">
        <f t="shared" si="25"/>
        <v>#NAME?</v>
      </c>
      <c r="F81" s="28">
        <v>10.0</v>
      </c>
      <c r="G81" s="47">
        <f t="shared" si="116"/>
        <v>0.0113507378</v>
      </c>
      <c r="H81" s="39">
        <f t="shared" si="120"/>
        <v>0.752553916</v>
      </c>
      <c r="I81" s="169" t="str">
        <f t="shared" si="117"/>
        <v>#REF!</v>
      </c>
      <c r="J81" s="321" t="str">
        <f t="shared" si="121"/>
        <v>#REF!</v>
      </c>
      <c r="K81" s="322" t="str">
        <f t="shared" si="76"/>
        <v>#REF!</v>
      </c>
      <c r="L81" s="179" t="str">
        <f t="shared" si="118"/>
        <v>#REF!</v>
      </c>
      <c r="M81" s="179" t="str">
        <f t="shared" si="125"/>
        <v>#REF!</v>
      </c>
      <c r="N81" s="47">
        <f t="shared" si="119"/>
        <v>0.0113507378</v>
      </c>
      <c r="O81" s="47">
        <f t="shared" si="123"/>
        <v>0.7514188422</v>
      </c>
      <c r="P81" s="47" t="str">
        <f t="shared" si="6"/>
        <v>#REF!</v>
      </c>
      <c r="Q81" s="188">
        <f t="shared" si="64"/>
        <v>0</v>
      </c>
      <c r="R81" s="189">
        <v>0.0</v>
      </c>
      <c r="S81" s="190" t="s">
        <v>64</v>
      </c>
      <c r="T81" s="190">
        <f t="shared" si="65"/>
        <v>0.68</v>
      </c>
      <c r="U81" s="189">
        <f t="shared" si="66"/>
        <v>0</v>
      </c>
      <c r="V81" s="198" t="str">
        <f t="shared" si="67"/>
        <v>#REF!</v>
      </c>
      <c r="W81" s="202" t="str">
        <f>'CD R Documentación'!O82+'CD R Documentación'!T82+'CD R Documentación'!Y82+'CD R Documentación'!AD82+'CD R Documentación'!AI82+'CD R Documentación'!AN82+#REF!</f>
        <v>#REF!</v>
      </c>
      <c r="X81" s="85" t="str">
        <f>'CD R Documentación'!R82+'CD R Documentación'!W82+'CD R Documentación'!AB82+'CD R Documentación'!AG82+'CD R Documentación'!AL82+'CD R Documentación'!AQ82+#REF!</f>
        <v>#REF!</v>
      </c>
      <c r="Y81" s="203">
        <f t="shared" si="79"/>
        <v>0.3</v>
      </c>
      <c r="Z81" s="204">
        <f>'CD R Investigación'!P82+'CD R Investigación'!U82+'CD R Investigación'!Z82+'CD R Investigación'!AE82+'CD R Investigación'!AJ82+'CD R Investigación'!AO82+'CD R Investigación'!AT82+'CD R Investigación'!AY82</f>
        <v>3</v>
      </c>
      <c r="AA81" s="204">
        <f>'CD R Investigación'!S82+'CD R Investigación'!X82+'CD R Investigación'!AC82+'CD R Investigación'!AH82+'CD R Investigación'!AM82+'CD R Investigación'!AR82+'CD R Investigación'!AW82+'CD R Investigación'!BB82</f>
        <v>1.32</v>
      </c>
      <c r="AB81" s="205" t="str">
        <f t="shared" si="69"/>
        <v>#REF!</v>
      </c>
      <c r="AC81" s="207" t="str">
        <f>'CD R Desarrollo'!P82+'CD R Desarrollo'!U82+'CD R Desarrollo'!Z82+'CD R Desarrollo'!AE82+'CD R Desarrollo'!AJ82+'CD R Desarrollo'!AO82+#REF!+#REF!</f>
        <v>#REF!</v>
      </c>
      <c r="AD81" s="207" t="str">
        <f>'CD R Desarrollo'!S82+'CD R Desarrollo'!X82+'CD R Desarrollo'!AC82+'CD R Desarrollo'!AH82+'CD R Desarrollo'!AM82+'CD R Desarrollo'!AR82+#REF!+#REF!</f>
        <v>#REF!</v>
      </c>
      <c r="AE81" s="211">
        <v>1.0</v>
      </c>
      <c r="AF81" s="210">
        <f>'PL Cronograma detallado'!L231*AE81</f>
        <v>2.49</v>
      </c>
      <c r="AG81" s="211" t="str">
        <f>AF81/'PL Cronograma detallado'!M$257</f>
        <v>#DIV/0!</v>
      </c>
      <c r="AH81" s="211" t="str">
        <f t="shared" si="126"/>
        <v>#DIV/0!</v>
      </c>
    </row>
    <row r="82" ht="15.75" customHeight="1">
      <c r="A82" s="250" t="s">
        <v>365</v>
      </c>
      <c r="B82" s="251" t="s">
        <v>642</v>
      </c>
      <c r="C82" s="252">
        <v>44732.0</v>
      </c>
      <c r="D82" s="252">
        <v>44740.0</v>
      </c>
      <c r="E82" s="125" t="str">
        <f t="shared" si="25"/>
        <v>#NAME?</v>
      </c>
      <c r="F82" s="253">
        <v>24.0</v>
      </c>
      <c r="G82" s="254">
        <f t="shared" si="116"/>
        <v>0.02724177072</v>
      </c>
      <c r="H82" s="138">
        <f t="shared" si="120"/>
        <v>0.7797956867</v>
      </c>
      <c r="I82" s="255" t="str">
        <f t="shared" si="117"/>
        <v>#REF!</v>
      </c>
      <c r="J82" s="256" t="str">
        <f t="shared" si="121"/>
        <v>#REF!</v>
      </c>
      <c r="K82" s="138" t="str">
        <f t="shared" si="76"/>
        <v>#REF!</v>
      </c>
      <c r="L82" s="257" t="str">
        <f t="shared" si="118"/>
        <v>#REF!</v>
      </c>
      <c r="M82" s="257" t="str">
        <f t="shared" ref="M82:M83" si="127">SUM(L82,M81)</f>
        <v>#REF!</v>
      </c>
      <c r="N82" s="138">
        <f t="shared" si="119"/>
        <v>0.02724177072</v>
      </c>
      <c r="O82" s="138">
        <f t="shared" si="123"/>
        <v>0.7786606129</v>
      </c>
      <c r="P82" s="138" t="str">
        <f t="shared" si="6"/>
        <v>#REF!</v>
      </c>
      <c r="Q82" s="258">
        <f t="shared" si="64"/>
        <v>0.125</v>
      </c>
      <c r="R82" s="256">
        <v>3.0</v>
      </c>
      <c r="S82" s="253" t="s">
        <v>64</v>
      </c>
      <c r="T82" s="253">
        <f t="shared" si="65"/>
        <v>0.68</v>
      </c>
      <c r="U82" s="256">
        <f t="shared" si="66"/>
        <v>2.04</v>
      </c>
      <c r="V82" s="258" t="str">
        <f t="shared" si="67"/>
        <v>#REF!</v>
      </c>
      <c r="W82" s="255" t="str">
        <f>'CD R Documentación'!O83+'CD R Documentación'!T83+'CD R Documentación'!Y83+'CD R Documentación'!AD83+'CD R Documentación'!AI83+'CD R Documentación'!AN83+#REF!</f>
        <v>#REF!</v>
      </c>
      <c r="X82" s="253" t="str">
        <f>'CD R Documentación'!R83+'CD R Documentación'!W83+'CD R Documentación'!AB83+'CD R Documentación'!AG83+'CD R Documentación'!AL83+'CD R Documentación'!AQ83+#REF!</f>
        <v>#REF!</v>
      </c>
      <c r="Y82" s="258">
        <f t="shared" si="79"/>
        <v>0.3333333333</v>
      </c>
      <c r="Z82" s="256">
        <f>'CD R Investigación'!P83+'CD R Investigación'!U83+'CD R Investigación'!Z83+'CD R Investigación'!AE83+'CD R Investigación'!AJ83+'CD R Investigación'!AO83+'CD R Investigación'!AT83+'CD R Investigación'!AY83</f>
        <v>8</v>
      </c>
      <c r="AA82" s="256">
        <f>'CD R Investigación'!S83+'CD R Investigación'!X83+'CD R Investigación'!AC83+'CD R Investigación'!AH83+'CD R Investigación'!AM83+'CD R Investigación'!AR83+'CD R Investigación'!AW83+'CD R Investigación'!BB83</f>
        <v>3.52</v>
      </c>
      <c r="AB82" s="258" t="str">
        <f t="shared" si="69"/>
        <v>#REF!</v>
      </c>
      <c r="AC82" s="256" t="str">
        <f>'CD R Desarrollo'!P83+'CD R Desarrollo'!U83+'CD R Desarrollo'!Z83+'CD R Desarrollo'!AE83+'CD R Desarrollo'!AJ83+'CD R Desarrollo'!AO83+#REF!+#REF!</f>
        <v>#REF!</v>
      </c>
      <c r="AD82" s="256" t="str">
        <f>'CD R Desarrollo'!S83+'CD R Desarrollo'!X83+'CD R Desarrollo'!AC83+'CD R Desarrollo'!AH83+'CD R Desarrollo'!AM83+'CD R Desarrollo'!AR83+#REF!+#REF!</f>
        <v>#REF!</v>
      </c>
      <c r="AE82" s="259">
        <v>1.0</v>
      </c>
      <c r="AF82" s="260">
        <f>'PL Cronograma detallado'!L232*AE82</f>
        <v>15.2</v>
      </c>
      <c r="AG82" s="259" t="str">
        <f>AF82/'PL Cronograma detallado'!M$257</f>
        <v>#DIV/0!</v>
      </c>
      <c r="AH82" s="259" t="str">
        <f t="shared" ref="AH82:AH83" si="128">SUM(AG82,AH81)</f>
        <v>#DIV/0!</v>
      </c>
    </row>
    <row r="83" ht="15.75" customHeight="1">
      <c r="A83" s="310" t="s">
        <v>281</v>
      </c>
      <c r="B83" s="311" t="s">
        <v>652</v>
      </c>
      <c r="C83" s="312">
        <v>44740.0</v>
      </c>
      <c r="D83" s="312">
        <v>44740.0</v>
      </c>
      <c r="E83" s="313" t="str">
        <f t="shared" si="25"/>
        <v>#NAME?</v>
      </c>
      <c r="F83" s="314">
        <v>1.0</v>
      </c>
      <c r="G83" s="282">
        <f>(F83/F$105)</f>
        <v>0.00113507378</v>
      </c>
      <c r="H83" s="282">
        <f t="shared" si="120"/>
        <v>0.7809307605</v>
      </c>
      <c r="I83" s="315" t="str">
        <f t="shared" si="117"/>
        <v>#REF!</v>
      </c>
      <c r="J83" s="315" t="str">
        <f t="shared" si="121"/>
        <v>#REF!</v>
      </c>
      <c r="K83" s="282" t="str">
        <f t="shared" si="76"/>
        <v>#REF!</v>
      </c>
      <c r="L83" s="317" t="str">
        <f t="shared" si="118"/>
        <v>#REF!</v>
      </c>
      <c r="M83" s="317" t="str">
        <f t="shared" si="127"/>
        <v>#REF!</v>
      </c>
      <c r="N83" s="282">
        <f t="shared" si="119"/>
        <v>0.00113507378</v>
      </c>
      <c r="O83" s="282">
        <f t="shared" si="123"/>
        <v>0.7797956867</v>
      </c>
      <c r="P83" s="282" t="str">
        <f t="shared" si="6"/>
        <v>#REF!</v>
      </c>
      <c r="Q83" s="318">
        <f t="shared" si="64"/>
        <v>1</v>
      </c>
      <c r="R83" s="316">
        <v>1.0</v>
      </c>
      <c r="S83" s="314" t="s">
        <v>64</v>
      </c>
      <c r="T83" s="314">
        <f t="shared" si="65"/>
        <v>0.68</v>
      </c>
      <c r="U83" s="316">
        <f t="shared" si="66"/>
        <v>0.68</v>
      </c>
      <c r="V83" s="318" t="str">
        <f t="shared" si="67"/>
        <v>#REF!</v>
      </c>
      <c r="W83" s="315" t="str">
        <f>'CD R Documentación'!O84+'CD R Documentación'!T84+'CD R Documentación'!Y84+'CD R Documentación'!AD84+'CD R Documentación'!AI84+'CD R Documentación'!AN84+#REF!</f>
        <v>#REF!</v>
      </c>
      <c r="X83" s="314" t="str">
        <f>'CD R Documentación'!R84+'CD R Documentación'!W84+'CD R Documentación'!AB84+'CD R Documentación'!AG84+'CD R Documentación'!AL84+'CD R Documentación'!AQ84+#REF!</f>
        <v>#REF!</v>
      </c>
      <c r="Y83" s="318">
        <f t="shared" si="79"/>
        <v>3</v>
      </c>
      <c r="Z83" s="316">
        <f>'CD R Investigación'!P84+'CD R Investigación'!U84+'CD R Investigación'!Z84+'CD R Investigación'!AE84+'CD R Investigación'!AJ84+'CD R Investigación'!AO84+'CD R Investigación'!AT84+'CD R Investigación'!AY84</f>
        <v>3</v>
      </c>
      <c r="AA83" s="316">
        <f>'CD R Investigación'!S84+'CD R Investigación'!X84+'CD R Investigación'!AC84+'CD R Investigación'!AH84+'CD R Investigación'!AM84+'CD R Investigación'!AR84+'CD R Investigación'!AW84+'CD R Investigación'!BB84</f>
        <v>1.32</v>
      </c>
      <c r="AB83" s="318" t="str">
        <f t="shared" si="69"/>
        <v>#REF!</v>
      </c>
      <c r="AC83" s="316" t="str">
        <f>'CD R Desarrollo'!P84+'CD R Desarrollo'!U84+'CD R Desarrollo'!Z84+'CD R Desarrollo'!AE84+'CD R Desarrollo'!AJ84+'CD R Desarrollo'!AO84+#REF!+#REF!</f>
        <v>#REF!</v>
      </c>
      <c r="AD83" s="316" t="str">
        <f>'CD R Desarrollo'!S84+'CD R Desarrollo'!X84+'CD R Desarrollo'!AC84+'CD R Desarrollo'!AH84+'CD R Desarrollo'!AM84+'CD R Desarrollo'!AR84+#REF!+#REF!</f>
        <v>#REF!</v>
      </c>
      <c r="AE83" s="319">
        <v>1.0</v>
      </c>
      <c r="AF83" s="320">
        <f>'PL Cronograma detallado'!L234*AE83</f>
        <v>5.06</v>
      </c>
      <c r="AG83" s="319" t="str">
        <f>AF83/'PL Cronograma detallado'!M$257</f>
        <v>#DIV/0!</v>
      </c>
      <c r="AH83" s="319" t="str">
        <f t="shared" si="128"/>
        <v>#DIV/0!</v>
      </c>
    </row>
    <row r="84" ht="15.75" customHeight="1">
      <c r="A84" s="93" t="s">
        <v>397</v>
      </c>
      <c r="B84" s="94" t="s">
        <v>653</v>
      </c>
      <c r="C84" s="95">
        <v>44744.0</v>
      </c>
      <c r="D84" s="95">
        <v>44754.0</v>
      </c>
      <c r="E84" s="106" t="str">
        <f t="shared" si="25"/>
        <v>#NAME?</v>
      </c>
      <c r="F84" s="108">
        <f>F85</f>
        <v>52</v>
      </c>
      <c r="G84" s="111">
        <f>SUM(G85)</f>
        <v>0.05902383655</v>
      </c>
      <c r="H84" s="108"/>
      <c r="I84" s="114" t="str">
        <f>SUM(I85)</f>
        <v>#REF!</v>
      </c>
      <c r="J84" s="114" t="str">
        <f>SUM(I84,J50)</f>
        <v>#REF!</v>
      </c>
      <c r="K84" s="111" t="str">
        <f t="shared" si="76"/>
        <v>#REF!</v>
      </c>
      <c r="L84" s="117" t="str">
        <f>SUM(L85)</f>
        <v>#REF!</v>
      </c>
      <c r="M84" s="117" t="str">
        <f>SUM(L84,M81)</f>
        <v>#REF!</v>
      </c>
      <c r="N84" s="111"/>
      <c r="O84" s="111" t="str">
        <f t="shared" ref="O84:O85" si="130">AH84</f>
        <v/>
      </c>
      <c r="P84" s="111" t="str">
        <f t="shared" si="6"/>
        <v>#REF!</v>
      </c>
      <c r="Q84" s="269">
        <f t="shared" si="64"/>
        <v>0</v>
      </c>
      <c r="R84" s="270">
        <v>0.0</v>
      </c>
      <c r="S84" s="108" t="s">
        <v>64</v>
      </c>
      <c r="T84" s="108">
        <f t="shared" si="65"/>
        <v>0.68</v>
      </c>
      <c r="U84" s="270">
        <f t="shared" si="66"/>
        <v>0</v>
      </c>
      <c r="V84" s="269" t="str">
        <f t="shared" si="67"/>
        <v>#REF!</v>
      </c>
      <c r="W84" s="114" t="str">
        <f>'CD R Documentación'!O85+'CD R Documentación'!T85+'CD R Documentación'!Y85+'CD R Documentación'!AD85+'CD R Documentación'!AI85+'CD R Documentación'!AN85+#REF!</f>
        <v>#REF!</v>
      </c>
      <c r="X84" s="108" t="str">
        <f>'CD R Documentación'!R85+'CD R Documentación'!W85+'CD R Documentación'!AB85+'CD R Documentación'!AG85+'CD R Documentación'!AL85+'CD R Documentación'!AQ85+#REF!</f>
        <v>#REF!</v>
      </c>
      <c r="Y84" s="269">
        <f t="shared" si="79"/>
        <v>0.7307692308</v>
      </c>
      <c r="Z84" s="270">
        <f>'CD R Investigación'!P85+'CD R Investigación'!U85+'CD R Investigación'!Z85+'CD R Investigación'!AE85+'CD R Investigación'!AJ85+'CD R Investigación'!AO85+'CD R Investigación'!AT85+'CD R Investigación'!AY85</f>
        <v>38</v>
      </c>
      <c r="AA84" s="270">
        <f>'CD R Investigación'!S85+'CD R Investigación'!X85+'CD R Investigación'!AC85+'CD R Investigación'!AH85+'CD R Investigación'!AM85+'CD R Investigación'!AR85+'CD R Investigación'!AW85+'CD R Investigación'!BB85</f>
        <v>16.72</v>
      </c>
      <c r="AB84" s="269" t="str">
        <f t="shared" si="69"/>
        <v>#REF!</v>
      </c>
      <c r="AC84" s="270" t="str">
        <f>'CD R Desarrollo'!P85+'CD R Desarrollo'!U85+'CD R Desarrollo'!Z85+'CD R Desarrollo'!AE85+'CD R Desarrollo'!AJ85+'CD R Desarrollo'!AO85+#REF!+#REF!</f>
        <v>#REF!</v>
      </c>
      <c r="AD84" s="270" t="str">
        <f>'CD R Desarrollo'!S85+'CD R Desarrollo'!X85+'CD R Desarrollo'!AC85+'CD R Desarrollo'!AH85+'CD R Desarrollo'!AM85+'CD R Desarrollo'!AR85+#REF!+#REF!</f>
        <v>#REF!</v>
      </c>
      <c r="AE84" s="344"/>
      <c r="AF84" s="344"/>
      <c r="AG84" s="344"/>
      <c r="AH84" s="345"/>
    </row>
    <row r="85" ht="15.75" customHeight="1">
      <c r="A85" s="130" t="s">
        <v>399</v>
      </c>
      <c r="B85" s="132" t="s">
        <v>654</v>
      </c>
      <c r="C85" s="133">
        <v>44744.0</v>
      </c>
      <c r="D85" s="133">
        <v>44754.0</v>
      </c>
      <c r="E85" s="134" t="str">
        <f t="shared" si="25"/>
        <v>#NAME?</v>
      </c>
      <c r="F85" s="136">
        <f t="shared" ref="F85:G85" si="129">SUM(F86:F91)</f>
        <v>52</v>
      </c>
      <c r="G85" s="115">
        <f t="shared" si="129"/>
        <v>0.05902383655</v>
      </c>
      <c r="H85" s="115">
        <f>SUM(G85,H83)</f>
        <v>0.839954597</v>
      </c>
      <c r="I85" s="139" t="str">
        <f>SUM(I86:I91)</f>
        <v>#REF!</v>
      </c>
      <c r="J85" s="139" t="str">
        <f>SUM(I85,J74)</f>
        <v>#REF!</v>
      </c>
      <c r="K85" s="115" t="str">
        <f t="shared" si="76"/>
        <v>#REF!</v>
      </c>
      <c r="L85" s="143" t="str">
        <f>SUM(L86:L91)</f>
        <v>#REF!</v>
      </c>
      <c r="M85" s="143" t="str">
        <f>SUM(L85,M84)</f>
        <v>#REF!</v>
      </c>
      <c r="N85" s="115"/>
      <c r="O85" s="115" t="str">
        <f t="shared" si="130"/>
        <v/>
      </c>
      <c r="P85" s="115" t="str">
        <f t="shared" si="6"/>
        <v>#REF!</v>
      </c>
      <c r="Q85" s="148">
        <f t="shared" si="64"/>
        <v>0</v>
      </c>
      <c r="R85" s="110">
        <v>0.0</v>
      </c>
      <c r="S85" s="136" t="s">
        <v>64</v>
      </c>
      <c r="T85" s="136">
        <f t="shared" si="65"/>
        <v>0.68</v>
      </c>
      <c r="U85" s="110">
        <f t="shared" si="66"/>
        <v>0</v>
      </c>
      <c r="V85" s="148" t="str">
        <f t="shared" si="67"/>
        <v>#REF!</v>
      </c>
      <c r="W85" s="139" t="str">
        <f>'CD R Documentación'!O86+'CD R Documentación'!T86+'CD R Documentación'!Y86+'CD R Documentación'!AD86+'CD R Documentación'!AI86+'CD R Documentación'!AN86+#REF!</f>
        <v>#REF!</v>
      </c>
      <c r="X85" s="136" t="str">
        <f>'CD R Documentación'!R86+'CD R Documentación'!W86+'CD R Documentación'!AB86+'CD R Documentación'!AG86+'CD R Documentación'!AL86+'CD R Documentación'!AQ86+#REF!</f>
        <v>#REF!</v>
      </c>
      <c r="Y85" s="148">
        <f t="shared" si="79"/>
        <v>0</v>
      </c>
      <c r="Z85" s="110">
        <f>'CD R Investigación'!P86+'CD R Investigación'!U86+'CD R Investigación'!Z86+'CD R Investigación'!AE86+'CD R Investigación'!AJ86+'CD R Investigación'!AO86+'CD R Investigación'!AT86+'CD R Investigación'!AY86</f>
        <v>0</v>
      </c>
      <c r="AA85" s="110">
        <f>'CD R Investigación'!S86+'CD R Investigación'!X86+'CD R Investigación'!AC86+'CD R Investigación'!AH86+'CD R Investigación'!AM86+'CD R Investigación'!AR86+'CD R Investigación'!AW86+'CD R Investigación'!BB86</f>
        <v>0</v>
      </c>
      <c r="AB85" s="148" t="str">
        <f t="shared" si="69"/>
        <v>#REF!</v>
      </c>
      <c r="AC85" s="110" t="str">
        <f>'CD R Desarrollo'!P86+'CD R Desarrollo'!U86+'CD R Desarrollo'!Z86+'CD R Desarrollo'!AE86+'CD R Desarrollo'!AJ86+'CD R Desarrollo'!AO86+#REF!+#REF!</f>
        <v>#REF!</v>
      </c>
      <c r="AD85" s="110" t="str">
        <f>'CD R Desarrollo'!S86+'CD R Desarrollo'!X86+'CD R Desarrollo'!AC86+'CD R Desarrollo'!AH86+'CD R Desarrollo'!AM86+'CD R Desarrollo'!AR86+#REF!+#REF!</f>
        <v>#REF!</v>
      </c>
      <c r="AE85" s="155"/>
      <c r="AF85" s="155"/>
      <c r="AG85" s="155"/>
      <c r="AH85" s="339"/>
    </row>
    <row r="86" ht="15.75" customHeight="1">
      <c r="A86" s="157" t="s">
        <v>401</v>
      </c>
      <c r="B86" s="159" t="s">
        <v>655</v>
      </c>
      <c r="C86" s="160">
        <v>44744.0</v>
      </c>
      <c r="D86" s="357">
        <v>44751.0</v>
      </c>
      <c r="E86" s="162" t="str">
        <f t="shared" si="25"/>
        <v>#NAME?</v>
      </c>
      <c r="F86" s="80">
        <v>20.0</v>
      </c>
      <c r="G86" s="47">
        <f t="shared" ref="G86:G91" si="131">F86/F$105</f>
        <v>0.0227014756</v>
      </c>
      <c r="H86" s="39">
        <f>SUM(H83,G86)</f>
        <v>0.8036322361</v>
      </c>
      <c r="I86" s="169" t="str">
        <f t="shared" ref="I86:I91" si="132">SUM(R86,W86,Z86,AC86)</f>
        <v>#REF!</v>
      </c>
      <c r="J86" s="321" t="str">
        <f>SUM(I86,J83)</f>
        <v>#REF!</v>
      </c>
      <c r="K86" s="322" t="str">
        <f t="shared" si="76"/>
        <v>#REF!</v>
      </c>
      <c r="L86" s="179" t="str">
        <f t="shared" ref="L86:L91" si="133">SUM(U86,X86,AA86,AD86)</f>
        <v>#REF!</v>
      </c>
      <c r="M86" s="179" t="str">
        <f>SUM(L86,M83)</f>
        <v>#REF!</v>
      </c>
      <c r="N86" s="47">
        <f t="shared" ref="N86:N91" si="134">G86*AE86</f>
        <v>0.0227014756</v>
      </c>
      <c r="O86" s="39">
        <f>SUM(N86,O83)</f>
        <v>0.8024971623</v>
      </c>
      <c r="P86" s="47" t="str">
        <f t="shared" si="6"/>
        <v>#REF!</v>
      </c>
      <c r="Q86" s="188">
        <f t="shared" si="64"/>
        <v>0</v>
      </c>
      <c r="R86" s="189">
        <v>0.0</v>
      </c>
      <c r="S86" s="190" t="s">
        <v>64</v>
      </c>
      <c r="T86" s="190">
        <f t="shared" si="65"/>
        <v>0.68</v>
      </c>
      <c r="U86" s="189">
        <f t="shared" si="66"/>
        <v>0</v>
      </c>
      <c r="V86" s="198" t="str">
        <f t="shared" si="67"/>
        <v>#REF!</v>
      </c>
      <c r="W86" s="202" t="str">
        <f>'CD R Documentación'!O87+'CD R Documentación'!T87+'CD R Documentación'!Y87+'CD R Documentación'!AD87+'CD R Documentación'!AI87+'CD R Documentación'!AN87+#REF!</f>
        <v>#REF!</v>
      </c>
      <c r="X86" s="85" t="str">
        <f>'CD R Documentación'!R87+'CD R Documentación'!W87+'CD R Documentación'!AB87+'CD R Documentación'!AG87+'CD R Documentación'!AL87+'CD R Documentación'!AQ87+#REF!</f>
        <v>#REF!</v>
      </c>
      <c r="Y86" s="203">
        <f t="shared" si="79"/>
        <v>0.6</v>
      </c>
      <c r="Z86" s="204">
        <f>'CD R Investigación'!P87+'CD R Investigación'!U87+'CD R Investigación'!Z87+'CD R Investigación'!AE87+'CD R Investigación'!AJ87+'CD R Investigación'!AO87+'CD R Investigación'!AT87+'CD R Investigación'!AY87</f>
        <v>12</v>
      </c>
      <c r="AA86" s="204">
        <f>'CD R Investigación'!S87+'CD R Investigación'!X87+'CD R Investigación'!AC87+'CD R Investigación'!AH87+'CD R Investigación'!AM87+'CD R Investigación'!AR87+'CD R Investigación'!AW87+'CD R Investigación'!BB87</f>
        <v>5.28</v>
      </c>
      <c r="AB86" s="205" t="str">
        <f t="shared" si="69"/>
        <v>#REF!</v>
      </c>
      <c r="AC86" s="207" t="str">
        <f>'CD R Desarrollo'!P87+'CD R Desarrollo'!U87+'CD R Desarrollo'!Z87+'CD R Desarrollo'!AE87+'CD R Desarrollo'!AJ87+'CD R Desarrollo'!AO87+#REF!+#REF!</f>
        <v>#REF!</v>
      </c>
      <c r="AD86" s="207" t="str">
        <f>'CD R Desarrollo'!S87+'CD R Desarrollo'!X87+'CD R Desarrollo'!AC87+'CD R Desarrollo'!AH87+'CD R Desarrollo'!AM87+'CD R Desarrollo'!AR87+#REF!+#REF!</f>
        <v>#REF!</v>
      </c>
      <c r="AE86" s="211">
        <v>1.0</v>
      </c>
      <c r="AF86" s="210">
        <f>'PL Cronograma detallado'!L239*AE86</f>
        <v>589.52</v>
      </c>
      <c r="AG86" s="211" t="str">
        <f>AF86/'PL Cronograma detallado'!M$257</f>
        <v>#DIV/0!</v>
      </c>
      <c r="AH86" s="211" t="str">
        <f>SUM(AG86,AH81)</f>
        <v>#DIV/0!</v>
      </c>
    </row>
    <row r="87" ht="15.75" customHeight="1">
      <c r="A87" s="157" t="s">
        <v>403</v>
      </c>
      <c r="B87" s="159" t="s">
        <v>656</v>
      </c>
      <c r="C87" s="160">
        <v>44745.0</v>
      </c>
      <c r="D87" s="160">
        <v>44745.0</v>
      </c>
      <c r="E87" s="162" t="str">
        <f t="shared" si="25"/>
        <v>#NAME?</v>
      </c>
      <c r="F87" s="80">
        <v>1.0</v>
      </c>
      <c r="G87" s="47">
        <f t="shared" si="131"/>
        <v>0.00113507378</v>
      </c>
      <c r="H87" s="39">
        <f t="shared" ref="H87:H91" si="138">SUM(H86,G87)</f>
        <v>0.8047673099</v>
      </c>
      <c r="I87" s="169" t="str">
        <f t="shared" si="132"/>
        <v>#REF!</v>
      </c>
      <c r="J87" s="329" t="str">
        <f t="shared" ref="J87:J91" si="139">SUM(I87,J86)</f>
        <v>#REF!</v>
      </c>
      <c r="K87" s="322" t="str">
        <f t="shared" si="76"/>
        <v>#REF!</v>
      </c>
      <c r="L87" s="179" t="str">
        <f t="shared" si="133"/>
        <v>#REF!</v>
      </c>
      <c r="M87" s="179" t="str">
        <f t="shared" ref="M87:M92" si="140">SUM(L87,M86)</f>
        <v>#REF!</v>
      </c>
      <c r="N87" s="47">
        <f t="shared" si="134"/>
        <v>0.00113507378</v>
      </c>
      <c r="O87" s="47">
        <f t="shared" ref="O87:O91" si="141">SUM(N87,O86)</f>
        <v>0.8036322361</v>
      </c>
      <c r="P87" s="47" t="str">
        <f t="shared" si="6"/>
        <v>#REF!</v>
      </c>
      <c r="Q87" s="188">
        <f t="shared" si="64"/>
        <v>1</v>
      </c>
      <c r="R87" s="189">
        <v>1.0</v>
      </c>
      <c r="S87" s="190" t="s">
        <v>64</v>
      </c>
      <c r="T87" s="190">
        <f t="shared" si="65"/>
        <v>0.68</v>
      </c>
      <c r="U87" s="189">
        <f t="shared" si="66"/>
        <v>0.68</v>
      </c>
      <c r="V87" s="198" t="str">
        <f t="shared" si="67"/>
        <v>#REF!</v>
      </c>
      <c r="W87" s="202" t="str">
        <f t="shared" ref="W87:X87" si="135">#REF!+#REF!+#REF!+#REF!+#REF!+#REF!+#REF!</f>
        <v>#REF!</v>
      </c>
      <c r="X87" s="85" t="str">
        <f t="shared" si="135"/>
        <v>#REF!</v>
      </c>
      <c r="Y87" s="203" t="str">
        <f t="shared" si="79"/>
        <v>#REF!</v>
      </c>
      <c r="Z87" s="204" t="str">
        <f t="shared" ref="Z87:AA87" si="136">#REF!+#REF!+#REF!+#REF!+#REF!+#REF!+#REF!+#REF!</f>
        <v>#REF!</v>
      </c>
      <c r="AA87" s="204" t="str">
        <f t="shared" si="136"/>
        <v>#REF!</v>
      </c>
      <c r="AB87" s="205" t="str">
        <f t="shared" si="69"/>
        <v>#REF!</v>
      </c>
      <c r="AC87" s="207" t="str">
        <f t="shared" ref="AC87:AD87" si="137">#REF!+#REF!+#REF!+#REF!+#REF!+#REF!+#REF!+#REF!</f>
        <v>#REF!</v>
      </c>
      <c r="AD87" s="207" t="str">
        <f t="shared" si="137"/>
        <v>#REF!</v>
      </c>
      <c r="AE87" s="211">
        <v>1.0</v>
      </c>
      <c r="AF87" s="210">
        <f>'PL Cronograma detallado'!L240*AE87</f>
        <v>0</v>
      </c>
      <c r="AG87" s="211" t="str">
        <f>AF87/'PL Cronograma detallado'!M$257</f>
        <v>#DIV/0!</v>
      </c>
      <c r="AH87" s="211" t="str">
        <f t="shared" ref="AH87:AH91" si="145">SUM(AG87,AH86)</f>
        <v>#DIV/0!</v>
      </c>
    </row>
    <row r="88" ht="15.75" customHeight="1">
      <c r="A88" s="157" t="s">
        <v>405</v>
      </c>
      <c r="B88" s="159" t="s">
        <v>657</v>
      </c>
      <c r="C88" s="160">
        <v>44746.0</v>
      </c>
      <c r="D88" s="160">
        <v>44751.0</v>
      </c>
      <c r="E88" s="162" t="str">
        <f t="shared" si="25"/>
        <v>#NAME?</v>
      </c>
      <c r="F88" s="80">
        <v>12.0</v>
      </c>
      <c r="G88" s="47">
        <f t="shared" si="131"/>
        <v>0.01362088536</v>
      </c>
      <c r="H88" s="39">
        <f t="shared" si="138"/>
        <v>0.8183881952</v>
      </c>
      <c r="I88" s="169" t="str">
        <f t="shared" si="132"/>
        <v>#REF!</v>
      </c>
      <c r="J88" s="329" t="str">
        <f t="shared" si="139"/>
        <v>#REF!</v>
      </c>
      <c r="K88" s="322" t="str">
        <f t="shared" si="76"/>
        <v>#REF!</v>
      </c>
      <c r="L88" s="179" t="str">
        <f t="shared" si="133"/>
        <v>#REF!</v>
      </c>
      <c r="M88" s="179" t="str">
        <f t="shared" si="140"/>
        <v>#REF!</v>
      </c>
      <c r="N88" s="47">
        <f t="shared" si="134"/>
        <v>0.01362088536</v>
      </c>
      <c r="O88" s="47">
        <f t="shared" si="141"/>
        <v>0.8172531215</v>
      </c>
      <c r="P88" s="47" t="str">
        <f t="shared" si="6"/>
        <v>#REF!</v>
      </c>
      <c r="Q88" s="188">
        <f t="shared" si="64"/>
        <v>0</v>
      </c>
      <c r="R88" s="189">
        <v>0.0</v>
      </c>
      <c r="S88" s="190" t="s">
        <v>64</v>
      </c>
      <c r="T88" s="190">
        <f t="shared" si="65"/>
        <v>0.68</v>
      </c>
      <c r="U88" s="189">
        <f t="shared" si="66"/>
        <v>0</v>
      </c>
      <c r="V88" s="198" t="str">
        <f t="shared" si="67"/>
        <v>#REF!</v>
      </c>
      <c r="W88" s="202" t="str">
        <f t="shared" ref="W88:X88" si="142">#REF!+#REF!+#REF!+#REF!+#REF!+#REF!+#REF!</f>
        <v>#REF!</v>
      </c>
      <c r="X88" s="85" t="str">
        <f t="shared" si="142"/>
        <v>#REF!</v>
      </c>
      <c r="Y88" s="203" t="str">
        <f t="shared" si="79"/>
        <v>#REF!</v>
      </c>
      <c r="Z88" s="204" t="str">
        <f t="shared" ref="Z88:AA88" si="143">#REF!+#REF!+#REF!+#REF!+#REF!+#REF!+#REF!+#REF!</f>
        <v>#REF!</v>
      </c>
      <c r="AA88" s="204" t="str">
        <f t="shared" si="143"/>
        <v>#REF!</v>
      </c>
      <c r="AB88" s="205" t="str">
        <f t="shared" si="69"/>
        <v>#REF!</v>
      </c>
      <c r="AC88" s="207" t="str">
        <f t="shared" ref="AC88:AD88" si="144">#REF!+#REF!+#REF!+#REF!+#REF!+#REF!+#REF!+#REF!</f>
        <v>#REF!</v>
      </c>
      <c r="AD88" s="207" t="str">
        <f t="shared" si="144"/>
        <v>#REF!</v>
      </c>
      <c r="AE88" s="211">
        <v>1.0</v>
      </c>
      <c r="AF88" s="210">
        <f>'PL Cronograma detallado'!L241*AE88</f>
        <v>0</v>
      </c>
      <c r="AG88" s="211" t="str">
        <f>AF88/'PL Cronograma detallado'!M$257</f>
        <v>#DIV/0!</v>
      </c>
      <c r="AH88" s="211" t="str">
        <f t="shared" si="145"/>
        <v>#DIV/0!</v>
      </c>
    </row>
    <row r="89" ht="15.75" customHeight="1">
      <c r="A89" s="157" t="s">
        <v>407</v>
      </c>
      <c r="B89" s="159" t="s">
        <v>658</v>
      </c>
      <c r="C89" s="160">
        <v>44746.0</v>
      </c>
      <c r="D89" s="160">
        <v>44751.0</v>
      </c>
      <c r="E89" s="162" t="str">
        <f t="shared" si="25"/>
        <v>#NAME?</v>
      </c>
      <c r="F89" s="80">
        <v>10.0</v>
      </c>
      <c r="G89" s="47">
        <f t="shared" si="131"/>
        <v>0.0113507378</v>
      </c>
      <c r="H89" s="39">
        <f t="shared" si="138"/>
        <v>0.829738933</v>
      </c>
      <c r="I89" s="169" t="str">
        <f t="shared" si="132"/>
        <v>#REF!</v>
      </c>
      <c r="J89" s="329" t="str">
        <f t="shared" si="139"/>
        <v>#REF!</v>
      </c>
      <c r="K89" s="322" t="str">
        <f t="shared" si="76"/>
        <v>#REF!</v>
      </c>
      <c r="L89" s="179" t="str">
        <f t="shared" si="133"/>
        <v>#REF!</v>
      </c>
      <c r="M89" s="179" t="str">
        <f t="shared" si="140"/>
        <v>#REF!</v>
      </c>
      <c r="N89" s="47">
        <f t="shared" si="134"/>
        <v>0.0113507378</v>
      </c>
      <c r="O89" s="47">
        <f t="shared" si="141"/>
        <v>0.8286038593</v>
      </c>
      <c r="P89" s="354" t="str">
        <f t="shared" si="6"/>
        <v>#REF!</v>
      </c>
      <c r="Q89" s="188">
        <f t="shared" si="64"/>
        <v>0</v>
      </c>
      <c r="R89" s="189">
        <v>0.0</v>
      </c>
      <c r="S89" s="190" t="s">
        <v>64</v>
      </c>
      <c r="T89" s="190">
        <f t="shared" si="65"/>
        <v>0.68</v>
      </c>
      <c r="U89" s="189">
        <f t="shared" si="66"/>
        <v>0</v>
      </c>
      <c r="V89" s="198" t="str">
        <f t="shared" si="67"/>
        <v>#REF!</v>
      </c>
      <c r="W89" s="202" t="str">
        <f t="shared" ref="W89:X89" si="146">#REF!+#REF!+#REF!+#REF!+#REF!+#REF!+#REF!</f>
        <v>#REF!</v>
      </c>
      <c r="X89" s="85" t="str">
        <f t="shared" si="146"/>
        <v>#REF!</v>
      </c>
      <c r="Y89" s="203" t="str">
        <f t="shared" si="79"/>
        <v>#REF!</v>
      </c>
      <c r="Z89" s="204" t="str">
        <f t="shared" ref="Z89:AA89" si="147">#REF!+#REF!+#REF!+#REF!+#REF!+#REF!+#REF!+#REF!</f>
        <v>#REF!</v>
      </c>
      <c r="AA89" s="204" t="str">
        <f t="shared" si="147"/>
        <v>#REF!</v>
      </c>
      <c r="AB89" s="205" t="str">
        <f t="shared" si="69"/>
        <v>#REF!</v>
      </c>
      <c r="AC89" s="207" t="str">
        <f t="shared" ref="AC89:AD89" si="148">#REF!+#REF!+#REF!+#REF!+#REF!+#REF!+#REF!+#REF!</f>
        <v>#REF!</v>
      </c>
      <c r="AD89" s="207" t="str">
        <f t="shared" si="148"/>
        <v>#REF!</v>
      </c>
      <c r="AE89" s="211">
        <v>1.0</v>
      </c>
      <c r="AF89" s="210">
        <f>'PL Cronograma detallado'!L242*AE89</f>
        <v>0</v>
      </c>
      <c r="AG89" s="211" t="str">
        <f>AF89/'PL Cronograma detallado'!M$257</f>
        <v>#DIV/0!</v>
      </c>
      <c r="AH89" s="211" t="str">
        <f t="shared" si="145"/>
        <v>#DIV/0!</v>
      </c>
    </row>
    <row r="90" ht="15.75" customHeight="1">
      <c r="A90" s="157" t="s">
        <v>409</v>
      </c>
      <c r="B90" s="159" t="s">
        <v>659</v>
      </c>
      <c r="C90" s="160">
        <v>44751.0</v>
      </c>
      <c r="D90" s="160">
        <v>44753.0</v>
      </c>
      <c r="E90" s="162" t="str">
        <f t="shared" si="25"/>
        <v>#NAME?</v>
      </c>
      <c r="F90" s="80">
        <v>8.0</v>
      </c>
      <c r="G90" s="47">
        <f t="shared" si="131"/>
        <v>0.009080590238</v>
      </c>
      <c r="H90" s="39">
        <f t="shared" si="138"/>
        <v>0.8388195233</v>
      </c>
      <c r="I90" s="169" t="str">
        <f t="shared" si="132"/>
        <v>#REF!</v>
      </c>
      <c r="J90" s="329" t="str">
        <f t="shared" si="139"/>
        <v>#REF!</v>
      </c>
      <c r="K90" s="322" t="str">
        <f t="shared" si="76"/>
        <v>#REF!</v>
      </c>
      <c r="L90" s="179" t="str">
        <f t="shared" si="133"/>
        <v>#REF!</v>
      </c>
      <c r="M90" s="179" t="str">
        <f t="shared" si="140"/>
        <v>#REF!</v>
      </c>
      <c r="N90" s="47">
        <f t="shared" si="134"/>
        <v>0.009080590238</v>
      </c>
      <c r="O90" s="47">
        <f t="shared" si="141"/>
        <v>0.8376844495</v>
      </c>
      <c r="P90" s="47" t="str">
        <f t="shared" si="6"/>
        <v>#REF!</v>
      </c>
      <c r="Q90" s="188">
        <f t="shared" si="64"/>
        <v>0.125</v>
      </c>
      <c r="R90" s="189">
        <v>1.0</v>
      </c>
      <c r="S90" s="190" t="s">
        <v>64</v>
      </c>
      <c r="T90" s="190">
        <f t="shared" si="65"/>
        <v>0.68</v>
      </c>
      <c r="U90" s="189">
        <f t="shared" si="66"/>
        <v>0.68</v>
      </c>
      <c r="V90" s="198" t="str">
        <f t="shared" si="67"/>
        <v>#REF!</v>
      </c>
      <c r="W90" s="202" t="str">
        <f t="shared" ref="W90:X90" si="149">#REF!+#REF!+#REF!+#REF!+#REF!+#REF!+#REF!</f>
        <v>#REF!</v>
      </c>
      <c r="X90" s="85" t="str">
        <f t="shared" si="149"/>
        <v>#REF!</v>
      </c>
      <c r="Y90" s="203" t="str">
        <f t="shared" si="79"/>
        <v>#REF!</v>
      </c>
      <c r="Z90" s="204" t="str">
        <f t="shared" ref="Z90:AA90" si="150">#REF!+#REF!+#REF!+#REF!+#REF!+#REF!+#REF!+#REF!</f>
        <v>#REF!</v>
      </c>
      <c r="AA90" s="204" t="str">
        <f t="shared" si="150"/>
        <v>#REF!</v>
      </c>
      <c r="AB90" s="205" t="str">
        <f t="shared" si="69"/>
        <v>#REF!</v>
      </c>
      <c r="AC90" s="207" t="str">
        <f t="shared" ref="AC90:AD90" si="151">#REF!+#REF!+#REF!+#REF!+#REF!+#REF!+#REF!+#REF!</f>
        <v>#REF!</v>
      </c>
      <c r="AD90" s="207" t="str">
        <f t="shared" si="151"/>
        <v>#REF!</v>
      </c>
      <c r="AE90" s="211">
        <v>1.0</v>
      </c>
      <c r="AF90" s="210">
        <f>'PL Cronograma detallado'!L243*AE90</f>
        <v>0</v>
      </c>
      <c r="AG90" s="211" t="str">
        <f>AF90/'PL Cronograma detallado'!M$257</f>
        <v>#DIV/0!</v>
      </c>
      <c r="AH90" s="211" t="str">
        <f t="shared" si="145"/>
        <v>#DIV/0!</v>
      </c>
    </row>
    <row r="91" ht="15.75" customHeight="1">
      <c r="A91" s="157" t="s">
        <v>411</v>
      </c>
      <c r="B91" s="159" t="s">
        <v>660</v>
      </c>
      <c r="C91" s="160">
        <v>44752.0</v>
      </c>
      <c r="D91" s="160">
        <v>44752.0</v>
      </c>
      <c r="E91" s="162" t="str">
        <f t="shared" si="25"/>
        <v>#NAME?</v>
      </c>
      <c r="F91" s="80">
        <v>1.0</v>
      </c>
      <c r="G91" s="47">
        <f t="shared" si="131"/>
        <v>0.00113507378</v>
      </c>
      <c r="H91" s="39">
        <f t="shared" si="138"/>
        <v>0.839954597</v>
      </c>
      <c r="I91" s="169" t="str">
        <f t="shared" si="132"/>
        <v>#REF!</v>
      </c>
      <c r="J91" s="329" t="str">
        <f t="shared" si="139"/>
        <v>#REF!</v>
      </c>
      <c r="K91" s="322" t="str">
        <f t="shared" si="76"/>
        <v>#REF!</v>
      </c>
      <c r="L91" s="179" t="str">
        <f t="shared" si="133"/>
        <v>#REF!</v>
      </c>
      <c r="M91" s="179" t="str">
        <f t="shared" si="140"/>
        <v>#REF!</v>
      </c>
      <c r="N91" s="47">
        <f t="shared" si="134"/>
        <v>0.00113507378</v>
      </c>
      <c r="O91" s="47">
        <f t="shared" si="141"/>
        <v>0.8388195233</v>
      </c>
      <c r="P91" s="224" t="str">
        <f t="shared" si="6"/>
        <v>#REF!</v>
      </c>
      <c r="Q91" s="188">
        <f t="shared" si="64"/>
        <v>1</v>
      </c>
      <c r="R91" s="189">
        <v>1.0</v>
      </c>
      <c r="S91" s="190" t="s">
        <v>64</v>
      </c>
      <c r="T91" s="190">
        <f t="shared" si="65"/>
        <v>0.68</v>
      </c>
      <c r="U91" s="189">
        <f t="shared" si="66"/>
        <v>0.68</v>
      </c>
      <c r="V91" s="198" t="str">
        <f t="shared" si="67"/>
        <v>#REF!</v>
      </c>
      <c r="W91" s="202" t="str">
        <f t="shared" ref="W91:X91" si="152">#REF!+#REF!+#REF!+#REF!+#REF!+#REF!+#REF!</f>
        <v>#REF!</v>
      </c>
      <c r="X91" s="85" t="str">
        <f t="shared" si="152"/>
        <v>#REF!</v>
      </c>
      <c r="Y91" s="203" t="str">
        <f t="shared" si="79"/>
        <v>#REF!</v>
      </c>
      <c r="Z91" s="204" t="str">
        <f t="shared" ref="Z91:AA91" si="153">#REF!+#REF!+#REF!+#REF!+#REF!+#REF!+#REF!+#REF!</f>
        <v>#REF!</v>
      </c>
      <c r="AA91" s="204" t="str">
        <f t="shared" si="153"/>
        <v>#REF!</v>
      </c>
      <c r="AB91" s="205" t="str">
        <f t="shared" si="69"/>
        <v>#REF!</v>
      </c>
      <c r="AC91" s="207" t="str">
        <f t="shared" ref="AC91:AD91" si="154">#REF!+#REF!+#REF!+#REF!+#REF!+#REF!+#REF!+#REF!</f>
        <v>#REF!</v>
      </c>
      <c r="AD91" s="207" t="str">
        <f t="shared" si="154"/>
        <v>#REF!</v>
      </c>
      <c r="AE91" s="211">
        <v>1.0</v>
      </c>
      <c r="AF91" s="210">
        <f>'PL Cronograma detallado'!L244*AE91</f>
        <v>0</v>
      </c>
      <c r="AG91" s="211" t="str">
        <f>AF91/'PL Cronograma detallado'!M$257</f>
        <v>#DIV/0!</v>
      </c>
      <c r="AH91" s="211" t="str">
        <f t="shared" si="145"/>
        <v>#DIV/0!</v>
      </c>
    </row>
    <row r="92" ht="15.75" customHeight="1">
      <c r="A92" s="93" t="s">
        <v>490</v>
      </c>
      <c r="B92" s="94" t="s">
        <v>661</v>
      </c>
      <c r="C92" s="95">
        <v>44754.0</v>
      </c>
      <c r="D92" s="95">
        <v>44770.0</v>
      </c>
      <c r="E92" s="106" t="str">
        <f t="shared" si="25"/>
        <v>#NAME?</v>
      </c>
      <c r="F92" s="108">
        <f t="shared" ref="F92:G92" si="155">F93</f>
        <v>141</v>
      </c>
      <c r="G92" s="111">
        <f t="shared" si="155"/>
        <v>0.160045403</v>
      </c>
      <c r="H92" s="108"/>
      <c r="I92" s="114" t="str">
        <f>SUM(I93)</f>
        <v>#REF!</v>
      </c>
      <c r="J92" s="114" t="str">
        <f>SUM(I92,J84)</f>
        <v>#REF!</v>
      </c>
      <c r="K92" s="111" t="str">
        <f t="shared" si="76"/>
        <v>#REF!</v>
      </c>
      <c r="L92" s="117" t="str">
        <f>SUM(L93)</f>
        <v>#REF!</v>
      </c>
      <c r="M92" s="117" t="str">
        <f t="shared" si="140"/>
        <v>#REF!</v>
      </c>
      <c r="N92" s="111"/>
      <c r="O92" s="111" t="str">
        <f t="shared" ref="O92:O93" si="160">AH92</f>
        <v/>
      </c>
      <c r="P92" s="111" t="str">
        <f t="shared" si="6"/>
        <v>#REF!</v>
      </c>
      <c r="Q92" s="269">
        <f t="shared" si="64"/>
        <v>0</v>
      </c>
      <c r="R92" s="270">
        <v>0.0</v>
      </c>
      <c r="S92" s="108" t="s">
        <v>64</v>
      </c>
      <c r="T92" s="108">
        <f t="shared" si="65"/>
        <v>0.68</v>
      </c>
      <c r="U92" s="270">
        <f t="shared" si="66"/>
        <v>0</v>
      </c>
      <c r="V92" s="269" t="str">
        <f t="shared" si="67"/>
        <v>#REF!</v>
      </c>
      <c r="W92" s="114" t="str">
        <f t="shared" ref="W92:X92" si="156">#REF!+#REF!+#REF!+#REF!+#REF!+#REF!+#REF!</f>
        <v>#REF!</v>
      </c>
      <c r="X92" s="108" t="str">
        <f t="shared" si="156"/>
        <v>#REF!</v>
      </c>
      <c r="Y92" s="269" t="str">
        <f t="shared" si="79"/>
        <v>#REF!</v>
      </c>
      <c r="Z92" s="270" t="str">
        <f t="shared" ref="Z92:AA92" si="157">#REF!+#REF!+#REF!+#REF!+#REF!+#REF!+#REF!+#REF!</f>
        <v>#REF!</v>
      </c>
      <c r="AA92" s="270" t="str">
        <f t="shared" si="157"/>
        <v>#REF!</v>
      </c>
      <c r="AB92" s="269" t="str">
        <f t="shared" si="69"/>
        <v>#REF!</v>
      </c>
      <c r="AC92" s="270" t="str">
        <f t="shared" ref="AC92:AD92" si="158">#REF!+#REF!+#REF!+#REF!+#REF!+#REF!+#REF!+#REF!</f>
        <v>#REF!</v>
      </c>
      <c r="AD92" s="270" t="str">
        <f t="shared" si="158"/>
        <v>#REF!</v>
      </c>
      <c r="AE92" s="344"/>
      <c r="AF92" s="344"/>
      <c r="AG92" s="344"/>
      <c r="AH92" s="345"/>
    </row>
    <row r="93" ht="15.75" customHeight="1">
      <c r="A93" s="130" t="s">
        <v>493</v>
      </c>
      <c r="B93" s="132" t="s">
        <v>662</v>
      </c>
      <c r="C93" s="133">
        <v>44743.0</v>
      </c>
      <c r="D93" s="133">
        <v>44761.0</v>
      </c>
      <c r="E93" s="134" t="str">
        <f t="shared" si="25"/>
        <v>#NAME?</v>
      </c>
      <c r="F93" s="136">
        <f t="shared" ref="F93:G93" si="159">SUM(F94:F104)</f>
        <v>141</v>
      </c>
      <c r="G93" s="115">
        <f t="shared" si="159"/>
        <v>0.160045403</v>
      </c>
      <c r="H93" s="115">
        <f>SUM(G93,H91)</f>
        <v>1</v>
      </c>
      <c r="I93" s="139" t="str">
        <f>SUM(I94:I104)</f>
        <v>#REF!</v>
      </c>
      <c r="J93" s="139" t="str">
        <f>SUM(I93,J91)</f>
        <v>#REF!</v>
      </c>
      <c r="K93" s="115" t="str">
        <f t="shared" si="76"/>
        <v>#REF!</v>
      </c>
      <c r="L93" s="143" t="str">
        <f>SUM(L94:L104)</f>
        <v>#REF!</v>
      </c>
      <c r="M93" s="143" t="str">
        <f>SUM(L93,M91)</f>
        <v>#REF!</v>
      </c>
      <c r="N93" s="115"/>
      <c r="O93" s="115" t="str">
        <f t="shared" si="160"/>
        <v/>
      </c>
      <c r="P93" s="115" t="str">
        <f>M93/M93</f>
        <v>#REF!</v>
      </c>
      <c r="Q93" s="148">
        <f t="shared" si="64"/>
        <v>0</v>
      </c>
      <c r="R93" s="110">
        <v>0.0</v>
      </c>
      <c r="S93" s="136" t="s">
        <v>64</v>
      </c>
      <c r="T93" s="136">
        <f t="shared" si="65"/>
        <v>0.68</v>
      </c>
      <c r="U93" s="110">
        <f t="shared" si="66"/>
        <v>0</v>
      </c>
      <c r="V93" s="148" t="str">
        <f t="shared" si="67"/>
        <v>#REF!</v>
      </c>
      <c r="W93" s="139" t="str">
        <f t="shared" ref="W93:X93" si="161">#REF!+#REF!+#REF!+#REF!+#REF!+#REF!+#REF!</f>
        <v>#REF!</v>
      </c>
      <c r="X93" s="136" t="str">
        <f t="shared" si="161"/>
        <v>#REF!</v>
      </c>
      <c r="Y93" s="148" t="str">
        <f t="shared" si="79"/>
        <v>#REF!</v>
      </c>
      <c r="Z93" s="110" t="str">
        <f t="shared" ref="Z93:AA93" si="162">#REF!+#REF!+#REF!+#REF!+#REF!+#REF!+#REF!+#REF!</f>
        <v>#REF!</v>
      </c>
      <c r="AA93" s="110" t="str">
        <f t="shared" si="162"/>
        <v>#REF!</v>
      </c>
      <c r="AB93" s="148" t="str">
        <f t="shared" si="69"/>
        <v>#REF!</v>
      </c>
      <c r="AC93" s="110" t="str">
        <f t="shared" ref="AC93:AD93" si="163">#REF!+#REF!+#REF!+#REF!+#REF!+#REF!+#REF!+#REF!</f>
        <v>#REF!</v>
      </c>
      <c r="AD93" s="110" t="str">
        <f t="shared" si="163"/>
        <v>#REF!</v>
      </c>
      <c r="AE93" s="155"/>
      <c r="AF93" s="155"/>
      <c r="AG93" s="155"/>
      <c r="AH93" s="339"/>
    </row>
    <row r="94" ht="15.75" customHeight="1">
      <c r="A94" s="292" t="s">
        <v>496</v>
      </c>
      <c r="B94" s="356" t="s">
        <v>663</v>
      </c>
      <c r="C94" s="357">
        <v>44743.0</v>
      </c>
      <c r="D94" s="357">
        <v>44746.0</v>
      </c>
      <c r="E94" s="162" t="str">
        <f t="shared" si="25"/>
        <v>#NAME?</v>
      </c>
      <c r="F94" s="28">
        <v>12.0</v>
      </c>
      <c r="G94" s="47">
        <f t="shared" ref="G94:G96" si="167">F94/F$105</f>
        <v>0.01362088536</v>
      </c>
      <c r="H94" s="39">
        <f>SUM(H91,G94)</f>
        <v>0.8535754824</v>
      </c>
      <c r="I94" s="169" t="str">
        <f t="shared" ref="I94:I104" si="168">SUM(R94,W94,Z94,AC94)</f>
        <v>#REF!</v>
      </c>
      <c r="J94" s="321" t="str">
        <f>SUM(I94,J91)</f>
        <v>#REF!</v>
      </c>
      <c r="K94" s="322" t="str">
        <f t="shared" si="76"/>
        <v>#REF!</v>
      </c>
      <c r="L94" s="179" t="str">
        <f t="shared" ref="L94:L104" si="169">SUM(U94,X94,AA94,AD94)</f>
        <v>#REF!</v>
      </c>
      <c r="M94" s="179" t="str">
        <f>SUM(L94,M91)</f>
        <v>#REF!</v>
      </c>
      <c r="N94" s="47">
        <f t="shared" ref="N94:N104" si="170">G94*AE94</f>
        <v>0.01362088536</v>
      </c>
      <c r="O94" s="39">
        <f>SUM(N94,O91)</f>
        <v>0.8524404086</v>
      </c>
      <c r="P94" s="47" t="str">
        <f>M94/$M$93</f>
        <v>#REF!</v>
      </c>
      <c r="Q94" s="188">
        <f t="shared" si="64"/>
        <v>0</v>
      </c>
      <c r="R94" s="189">
        <v>0.0</v>
      </c>
      <c r="S94" s="190" t="s">
        <v>64</v>
      </c>
      <c r="T94" s="190">
        <f t="shared" si="65"/>
        <v>0.68</v>
      </c>
      <c r="U94" s="189">
        <f t="shared" si="66"/>
        <v>0</v>
      </c>
      <c r="V94" s="198" t="str">
        <f t="shared" si="67"/>
        <v>#REF!</v>
      </c>
      <c r="W94" s="202" t="str">
        <f t="shared" ref="W94:X94" si="164">#REF!+#REF!+#REF!+#REF!+#REF!+#REF!+#REF!</f>
        <v>#REF!</v>
      </c>
      <c r="X94" s="85" t="str">
        <f t="shared" si="164"/>
        <v>#REF!</v>
      </c>
      <c r="Y94" s="203" t="str">
        <f t="shared" si="79"/>
        <v>#REF!</v>
      </c>
      <c r="Z94" s="204" t="str">
        <f t="shared" ref="Z94:AA94" si="165">#REF!+#REF!+#REF!+#REF!+#REF!+#REF!+#REF!+#REF!</f>
        <v>#REF!</v>
      </c>
      <c r="AA94" s="204" t="str">
        <f t="shared" si="165"/>
        <v>#REF!</v>
      </c>
      <c r="AB94" s="205" t="str">
        <f t="shared" si="69"/>
        <v>#REF!</v>
      </c>
      <c r="AC94" s="207" t="str">
        <f t="shared" ref="AC94:AD94" si="166">#REF!+#REF!+#REF!+#REF!+#REF!+#REF!+#REF!+#REF!</f>
        <v>#REF!</v>
      </c>
      <c r="AD94" s="207" t="str">
        <f t="shared" si="166"/>
        <v>#REF!</v>
      </c>
      <c r="AE94" s="211">
        <v>1.0</v>
      </c>
      <c r="AF94" s="210">
        <f>'PL Cronograma detallado'!L247*AE94</f>
        <v>0</v>
      </c>
      <c r="AG94" s="211" t="str">
        <f>AF94/'PL Cronograma detallado'!M$257</f>
        <v>#DIV/0!</v>
      </c>
      <c r="AH94" s="211" t="str">
        <f>SUM(AG94,AH91)</f>
        <v>#DIV/0!</v>
      </c>
    </row>
    <row r="95" ht="15.75" customHeight="1">
      <c r="A95" s="292" t="s">
        <v>499</v>
      </c>
      <c r="B95" s="356" t="s">
        <v>664</v>
      </c>
      <c r="C95" s="357">
        <v>44746.0</v>
      </c>
      <c r="D95" s="357">
        <v>44753.0</v>
      </c>
      <c r="E95" s="162" t="str">
        <f t="shared" si="25"/>
        <v>#NAME?</v>
      </c>
      <c r="F95" s="28">
        <v>18.0</v>
      </c>
      <c r="G95" s="47">
        <f t="shared" si="167"/>
        <v>0.02043132804</v>
      </c>
      <c r="H95" s="39">
        <f t="shared" ref="H95:H104" si="174">SUM(H94,G95)</f>
        <v>0.8740068104</v>
      </c>
      <c r="I95" s="169" t="str">
        <f t="shared" si="168"/>
        <v>#REF!</v>
      </c>
      <c r="J95" s="321" t="str">
        <f t="shared" ref="J95:J104" si="175">SUM(I95,J94)</f>
        <v>#REF!</v>
      </c>
      <c r="K95" s="322" t="str">
        <f t="shared" si="76"/>
        <v>#REF!</v>
      </c>
      <c r="L95" s="179" t="str">
        <f t="shared" si="169"/>
        <v>#REF!</v>
      </c>
      <c r="M95" s="179" t="str">
        <f t="shared" ref="M95:M104" si="176">SUM(L95,M94)</f>
        <v>#REF!</v>
      </c>
      <c r="N95" s="47">
        <f t="shared" si="170"/>
        <v>0.02043132804</v>
      </c>
      <c r="O95" s="47">
        <f t="shared" ref="O95:O104" si="177">SUM(N95,O94)</f>
        <v>0.8728717367</v>
      </c>
      <c r="P95" s="354" t="str">
        <f>M95/M95</f>
        <v>#REF!</v>
      </c>
      <c r="Q95" s="188">
        <f t="shared" si="64"/>
        <v>0.1111111111</v>
      </c>
      <c r="R95" s="189">
        <v>2.0</v>
      </c>
      <c r="S95" s="190" t="s">
        <v>64</v>
      </c>
      <c r="T95" s="190">
        <f t="shared" si="65"/>
        <v>0.68</v>
      </c>
      <c r="U95" s="189">
        <f t="shared" si="66"/>
        <v>1.36</v>
      </c>
      <c r="V95" s="198" t="str">
        <f t="shared" si="67"/>
        <v>#REF!</v>
      </c>
      <c r="W95" s="202" t="str">
        <f t="shared" ref="W95:X95" si="171">#REF!+#REF!+#REF!+#REF!+#REF!+#REF!+#REF!</f>
        <v>#REF!</v>
      </c>
      <c r="X95" s="85" t="str">
        <f t="shared" si="171"/>
        <v>#REF!</v>
      </c>
      <c r="Y95" s="203" t="str">
        <f t="shared" si="79"/>
        <v>#REF!</v>
      </c>
      <c r="Z95" s="204" t="str">
        <f t="shared" ref="Z95:AA95" si="172">#REF!+#REF!+#REF!+#REF!+#REF!+#REF!+#REF!+#REF!</f>
        <v>#REF!</v>
      </c>
      <c r="AA95" s="204" t="str">
        <f t="shared" si="172"/>
        <v>#REF!</v>
      </c>
      <c r="AB95" s="205" t="str">
        <f t="shared" si="69"/>
        <v>#REF!</v>
      </c>
      <c r="AC95" s="207" t="str">
        <f t="shared" ref="AC95:AD95" si="173">#REF!+#REF!+#REF!+#REF!+#REF!+#REF!+#REF!+#REF!</f>
        <v>#REF!</v>
      </c>
      <c r="AD95" s="207" t="str">
        <f t="shared" si="173"/>
        <v>#REF!</v>
      </c>
      <c r="AE95" s="211">
        <v>1.0</v>
      </c>
      <c r="AF95" s="210">
        <f>'PL Cronograma detallado'!L248*AE95</f>
        <v>0</v>
      </c>
      <c r="AG95" s="211" t="str">
        <f>AF95/'PL Cronograma detallado'!M$257</f>
        <v>#DIV/0!</v>
      </c>
      <c r="AH95" s="211" t="str">
        <f t="shared" ref="AH95:AH104" si="181">SUM(AG95,AH94)</f>
        <v>#DIV/0!</v>
      </c>
    </row>
    <row r="96" ht="15.75" customHeight="1">
      <c r="A96" s="292" t="s">
        <v>502</v>
      </c>
      <c r="B96" s="356" t="s">
        <v>665</v>
      </c>
      <c r="C96" s="357">
        <v>44746.0</v>
      </c>
      <c r="D96" s="357">
        <v>44753.0</v>
      </c>
      <c r="E96" s="162" t="str">
        <f t="shared" si="25"/>
        <v>#NAME?</v>
      </c>
      <c r="F96" s="28">
        <v>18.0</v>
      </c>
      <c r="G96" s="47">
        <f t="shared" si="167"/>
        <v>0.02043132804</v>
      </c>
      <c r="H96" s="39">
        <f t="shared" si="174"/>
        <v>0.8944381385</v>
      </c>
      <c r="I96" s="169" t="str">
        <f t="shared" si="168"/>
        <v>#REF!</v>
      </c>
      <c r="J96" s="321" t="str">
        <f t="shared" si="175"/>
        <v>#REF!</v>
      </c>
      <c r="K96" s="322" t="str">
        <f t="shared" si="76"/>
        <v>#REF!</v>
      </c>
      <c r="L96" s="179" t="str">
        <f t="shared" si="169"/>
        <v>#REF!</v>
      </c>
      <c r="M96" s="179" t="str">
        <f t="shared" si="176"/>
        <v>#REF!</v>
      </c>
      <c r="N96" s="47">
        <f t="shared" si="170"/>
        <v>0.01021566402</v>
      </c>
      <c r="O96" s="47">
        <f t="shared" si="177"/>
        <v>0.8830874007</v>
      </c>
      <c r="P96" s="47" t="str">
        <f>M96/$M$93</f>
        <v>#REF!</v>
      </c>
      <c r="Q96" s="188">
        <f t="shared" si="64"/>
        <v>0</v>
      </c>
      <c r="R96" s="189">
        <v>0.0</v>
      </c>
      <c r="S96" s="190" t="s">
        <v>64</v>
      </c>
      <c r="T96" s="190">
        <f t="shared" si="65"/>
        <v>0.68</v>
      </c>
      <c r="U96" s="189">
        <f t="shared" si="66"/>
        <v>0</v>
      </c>
      <c r="V96" s="198" t="str">
        <f t="shared" si="67"/>
        <v>#REF!</v>
      </c>
      <c r="W96" s="202" t="str">
        <f t="shared" ref="W96:X96" si="178">#REF!+#REF!+#REF!+#REF!+#REF!+#REF!+#REF!</f>
        <v>#REF!</v>
      </c>
      <c r="X96" s="85" t="str">
        <f t="shared" si="178"/>
        <v>#REF!</v>
      </c>
      <c r="Y96" s="203" t="str">
        <f t="shared" si="79"/>
        <v>#REF!</v>
      </c>
      <c r="Z96" s="204" t="str">
        <f t="shared" ref="Z96:AA96" si="179">#REF!+#REF!+#REF!+#REF!+#REF!+#REF!+#REF!+#REF!</f>
        <v>#REF!</v>
      </c>
      <c r="AA96" s="204" t="str">
        <f t="shared" si="179"/>
        <v>#REF!</v>
      </c>
      <c r="AB96" s="205" t="str">
        <f t="shared" si="69"/>
        <v>#REF!</v>
      </c>
      <c r="AC96" s="207" t="str">
        <f t="shared" ref="AC96:AD96" si="180">#REF!+#REF!+#REF!+#REF!+#REF!+#REF!+#REF!+#REF!</f>
        <v>#REF!</v>
      </c>
      <c r="AD96" s="207" t="str">
        <f t="shared" si="180"/>
        <v>#REF!</v>
      </c>
      <c r="AE96" s="211">
        <v>0.5</v>
      </c>
      <c r="AF96" s="210">
        <f>'PL Cronograma detallado'!L249*AE96</f>
        <v>0</v>
      </c>
      <c r="AG96" s="211" t="str">
        <f>AF96/'PL Cronograma detallado'!M$257</f>
        <v>#DIV/0!</v>
      </c>
      <c r="AH96" s="211" t="str">
        <f t="shared" si="181"/>
        <v>#DIV/0!</v>
      </c>
    </row>
    <row r="97" ht="15.75" customHeight="1">
      <c r="A97" s="250" t="s">
        <v>513</v>
      </c>
      <c r="B97" s="251" t="s">
        <v>666</v>
      </c>
      <c r="C97" s="252">
        <v>44746.0</v>
      </c>
      <c r="D97" s="252">
        <v>44753.0</v>
      </c>
      <c r="E97" s="125" t="str">
        <f t="shared" si="25"/>
        <v>#NAME?</v>
      </c>
      <c r="F97" s="253">
        <v>24.0</v>
      </c>
      <c r="G97" s="138">
        <f>(F97/F105)</f>
        <v>0.02724177072</v>
      </c>
      <c r="H97" s="138">
        <f t="shared" si="174"/>
        <v>0.9216799092</v>
      </c>
      <c r="I97" s="255" t="str">
        <f t="shared" si="168"/>
        <v>#REF!</v>
      </c>
      <c r="J97" s="255" t="str">
        <f t="shared" si="175"/>
        <v>#REF!</v>
      </c>
      <c r="K97" s="138"/>
      <c r="L97" s="257" t="str">
        <f t="shared" si="169"/>
        <v>#REF!</v>
      </c>
      <c r="M97" s="257" t="str">
        <f t="shared" si="176"/>
        <v>#REF!</v>
      </c>
      <c r="N97" s="138">
        <f t="shared" si="170"/>
        <v>0.02724177072</v>
      </c>
      <c r="O97" s="138">
        <f t="shared" si="177"/>
        <v>0.9103291714</v>
      </c>
      <c r="P97" s="138" t="str">
        <f>M97/M97</f>
        <v>#REF!</v>
      </c>
      <c r="Q97" s="258">
        <f t="shared" si="64"/>
        <v>0</v>
      </c>
      <c r="R97" s="256">
        <v>0.0</v>
      </c>
      <c r="S97" s="253" t="s">
        <v>64</v>
      </c>
      <c r="T97" s="253">
        <f t="shared" si="65"/>
        <v>0.68</v>
      </c>
      <c r="U97" s="256">
        <f t="shared" si="66"/>
        <v>0</v>
      </c>
      <c r="V97" s="258" t="str">
        <f t="shared" si="67"/>
        <v>#REF!</v>
      </c>
      <c r="W97" s="255" t="str">
        <f t="shared" ref="W97:X97" si="182">#REF!+#REF!+#REF!+#REF!+#REF!+#REF!+#REF!</f>
        <v>#REF!</v>
      </c>
      <c r="X97" s="253" t="str">
        <f t="shared" si="182"/>
        <v>#REF!</v>
      </c>
      <c r="Y97" s="258" t="str">
        <f t="shared" si="79"/>
        <v>#REF!</v>
      </c>
      <c r="Z97" s="256" t="str">
        <f t="shared" ref="Z97:AA97" si="183">#REF!+#REF!+#REF!+#REF!+#REF!+#REF!+#REF!+#REF!</f>
        <v>#REF!</v>
      </c>
      <c r="AA97" s="256" t="str">
        <f t="shared" si="183"/>
        <v>#REF!</v>
      </c>
      <c r="AB97" s="258" t="str">
        <f t="shared" si="69"/>
        <v>#REF!</v>
      </c>
      <c r="AC97" s="256" t="str">
        <f t="shared" ref="AC97:AD97" si="184">#REF!+#REF!+#REF!+#REF!+#REF!+#REF!+#REF!+#REF!</f>
        <v>#REF!</v>
      </c>
      <c r="AD97" s="256" t="str">
        <f t="shared" si="184"/>
        <v>#REF!</v>
      </c>
      <c r="AE97" s="259">
        <v>1.0</v>
      </c>
      <c r="AF97" s="260">
        <f>'PL Cronograma detallado'!L250*AE97</f>
        <v>0</v>
      </c>
      <c r="AG97" s="259" t="str">
        <f>AF97/'PL Cronograma detallado'!M$257</f>
        <v>#DIV/0!</v>
      </c>
      <c r="AH97" s="259" t="str">
        <f t="shared" si="181"/>
        <v>#DIV/0!</v>
      </c>
    </row>
    <row r="98" ht="15.75" customHeight="1">
      <c r="A98" s="310" t="s">
        <v>283</v>
      </c>
      <c r="B98" s="311" t="s">
        <v>667</v>
      </c>
      <c r="C98" s="312">
        <v>44754.0</v>
      </c>
      <c r="D98" s="312">
        <v>44754.0</v>
      </c>
      <c r="E98" s="313" t="str">
        <f t="shared" si="25"/>
        <v>#NAME?</v>
      </c>
      <c r="F98" s="314">
        <v>1.0</v>
      </c>
      <c r="G98" s="282">
        <f>(F98/F105)</f>
        <v>0.00113507378</v>
      </c>
      <c r="H98" s="282">
        <f t="shared" si="174"/>
        <v>0.922814983</v>
      </c>
      <c r="I98" s="315" t="str">
        <f t="shared" si="168"/>
        <v>#REF!</v>
      </c>
      <c r="J98" s="315" t="str">
        <f t="shared" si="175"/>
        <v>#REF!</v>
      </c>
      <c r="K98" s="282" t="str">
        <f t="shared" ref="K98:K104" si="188">J98/$J$104</f>
        <v>#REF!</v>
      </c>
      <c r="L98" s="317" t="str">
        <f t="shared" si="169"/>
        <v>#REF!</v>
      </c>
      <c r="M98" s="317" t="str">
        <f t="shared" si="176"/>
        <v>#REF!</v>
      </c>
      <c r="N98" s="282">
        <f t="shared" si="170"/>
        <v>0.00113507378</v>
      </c>
      <c r="O98" s="282">
        <f t="shared" si="177"/>
        <v>0.9114642452</v>
      </c>
      <c r="P98" s="282" t="str">
        <f>M98/$M$93</f>
        <v>#REF!</v>
      </c>
      <c r="Q98" s="318">
        <f t="shared" si="64"/>
        <v>1</v>
      </c>
      <c r="R98" s="316">
        <v>1.0</v>
      </c>
      <c r="S98" s="314" t="s">
        <v>64</v>
      </c>
      <c r="T98" s="314">
        <f t="shared" si="65"/>
        <v>0.68</v>
      </c>
      <c r="U98" s="316">
        <f t="shared" si="66"/>
        <v>0.68</v>
      </c>
      <c r="V98" s="318" t="str">
        <f t="shared" si="67"/>
        <v>#REF!</v>
      </c>
      <c r="W98" s="315" t="str">
        <f t="shared" ref="W98:X98" si="185">#REF!+#REF!+#REF!+#REF!+#REF!+#REF!+#REF!</f>
        <v>#REF!</v>
      </c>
      <c r="X98" s="314" t="str">
        <f t="shared" si="185"/>
        <v>#REF!</v>
      </c>
      <c r="Y98" s="318" t="str">
        <f t="shared" si="79"/>
        <v>#REF!</v>
      </c>
      <c r="Z98" s="316" t="str">
        <f t="shared" ref="Z98:AA98" si="186">#REF!+#REF!+#REF!+#REF!+#REF!+#REF!+#REF!+#REF!</f>
        <v>#REF!</v>
      </c>
      <c r="AA98" s="316" t="str">
        <f t="shared" si="186"/>
        <v>#REF!</v>
      </c>
      <c r="AB98" s="318" t="str">
        <f t="shared" si="69"/>
        <v>#REF!</v>
      </c>
      <c r="AC98" s="316" t="str">
        <f t="shared" ref="AC98:AD98" si="187">#REF!+#REF!+#REF!+#REF!+#REF!+#REF!+#REF!+#REF!</f>
        <v>#REF!</v>
      </c>
      <c r="AD98" s="316" t="str">
        <f t="shared" si="187"/>
        <v>#REF!</v>
      </c>
      <c r="AE98" s="319">
        <v>1.0</v>
      </c>
      <c r="AF98" s="320">
        <f>'PL Cronograma detallado'!L251*AE98</f>
        <v>0</v>
      </c>
      <c r="AG98" s="319" t="str">
        <f>AF98/'PL Cronograma detallado'!M$257</f>
        <v>#DIV/0!</v>
      </c>
      <c r="AH98" s="319" t="str">
        <f t="shared" si="181"/>
        <v>#DIV/0!</v>
      </c>
    </row>
    <row r="99" ht="15.75" customHeight="1">
      <c r="A99" s="292" t="s">
        <v>505</v>
      </c>
      <c r="B99" s="356" t="s">
        <v>668</v>
      </c>
      <c r="C99" s="357">
        <v>44754.0</v>
      </c>
      <c r="D99" s="357">
        <v>44761.0</v>
      </c>
      <c r="E99" s="162" t="str">
        <f t="shared" si="25"/>
        <v>#NAME?</v>
      </c>
      <c r="F99" s="28">
        <v>32.0</v>
      </c>
      <c r="G99" s="47">
        <f t="shared" ref="G99:G101" si="192">F99/F$105</f>
        <v>0.03632236095</v>
      </c>
      <c r="H99" s="39">
        <f t="shared" si="174"/>
        <v>0.9591373439</v>
      </c>
      <c r="I99" s="169" t="str">
        <f t="shared" si="168"/>
        <v>#REF!</v>
      </c>
      <c r="J99" s="321" t="str">
        <f t="shared" si="175"/>
        <v>#REF!</v>
      </c>
      <c r="K99" s="322" t="str">
        <f t="shared" si="188"/>
        <v>#REF!</v>
      </c>
      <c r="L99" s="179" t="str">
        <f t="shared" si="169"/>
        <v>#REF!</v>
      </c>
      <c r="M99" s="179" t="str">
        <f t="shared" si="176"/>
        <v>#REF!</v>
      </c>
      <c r="N99" s="47">
        <f t="shared" si="170"/>
        <v>0.03632236095</v>
      </c>
      <c r="O99" s="47">
        <f t="shared" si="177"/>
        <v>0.9477866061</v>
      </c>
      <c r="P99" s="354" t="str">
        <f>M99/M99</f>
        <v>#REF!</v>
      </c>
      <c r="Q99" s="188">
        <f t="shared" si="64"/>
        <v>0.1875</v>
      </c>
      <c r="R99" s="189">
        <v>6.0</v>
      </c>
      <c r="S99" s="190" t="s">
        <v>64</v>
      </c>
      <c r="T99" s="190">
        <f t="shared" si="65"/>
        <v>0.68</v>
      </c>
      <c r="U99" s="189">
        <f t="shared" si="66"/>
        <v>4.08</v>
      </c>
      <c r="V99" s="198" t="str">
        <f t="shared" si="67"/>
        <v>#REF!</v>
      </c>
      <c r="W99" s="202" t="str">
        <f t="shared" ref="W99:X99" si="189">#REF!+#REF!+#REF!+#REF!+#REF!+#REF!+#REF!</f>
        <v>#REF!</v>
      </c>
      <c r="X99" s="85" t="str">
        <f t="shared" si="189"/>
        <v>#REF!</v>
      </c>
      <c r="Y99" s="203" t="str">
        <f t="shared" si="79"/>
        <v>#REF!</v>
      </c>
      <c r="Z99" s="204" t="str">
        <f t="shared" ref="Z99:AA99" si="190">#REF!+#REF!+#REF!+#REF!+#REF!+#REF!+#REF!+#REF!</f>
        <v>#REF!</v>
      </c>
      <c r="AA99" s="204" t="str">
        <f t="shared" si="190"/>
        <v>#REF!</v>
      </c>
      <c r="AB99" s="205" t="str">
        <f t="shared" si="69"/>
        <v>#REF!</v>
      </c>
      <c r="AC99" s="207" t="str">
        <f t="shared" ref="AC99:AD99" si="191">#REF!+#REF!+#REF!+#REF!+#REF!+#REF!+#REF!+#REF!</f>
        <v>#REF!</v>
      </c>
      <c r="AD99" s="207" t="str">
        <f t="shared" si="191"/>
        <v>#REF!</v>
      </c>
      <c r="AE99" s="211">
        <v>1.0</v>
      </c>
      <c r="AF99" s="210">
        <f>'PL Cronograma detallado'!L252*AE99</f>
        <v>0</v>
      </c>
      <c r="AG99" s="211" t="str">
        <f>AF99/'PL Cronograma detallado'!M$257</f>
        <v>#DIV/0!</v>
      </c>
      <c r="AH99" s="211" t="str">
        <f t="shared" si="181"/>
        <v>#DIV/0!</v>
      </c>
    </row>
    <row r="100" ht="15.75" customHeight="1">
      <c r="A100" s="292" t="s">
        <v>507</v>
      </c>
      <c r="B100" s="356" t="s">
        <v>669</v>
      </c>
      <c r="C100" s="357">
        <v>44754.0</v>
      </c>
      <c r="D100" s="357">
        <v>44761.0</v>
      </c>
      <c r="E100" s="162" t="str">
        <f t="shared" si="25"/>
        <v>#NAME?</v>
      </c>
      <c r="F100" s="28">
        <v>32.0</v>
      </c>
      <c r="G100" s="47">
        <f t="shared" si="192"/>
        <v>0.03632236095</v>
      </c>
      <c r="H100" s="39">
        <f t="shared" si="174"/>
        <v>0.9954597049</v>
      </c>
      <c r="I100" s="169" t="str">
        <f t="shared" si="168"/>
        <v>#REF!</v>
      </c>
      <c r="J100" s="321" t="str">
        <f t="shared" si="175"/>
        <v>#REF!</v>
      </c>
      <c r="K100" s="322" t="str">
        <f t="shared" si="188"/>
        <v>#REF!</v>
      </c>
      <c r="L100" s="179" t="str">
        <f t="shared" si="169"/>
        <v>#REF!</v>
      </c>
      <c r="M100" s="179" t="str">
        <f t="shared" si="176"/>
        <v>#REF!</v>
      </c>
      <c r="N100" s="47">
        <f t="shared" si="170"/>
        <v>0</v>
      </c>
      <c r="O100" s="47">
        <f t="shared" si="177"/>
        <v>0.9477866061</v>
      </c>
      <c r="P100" s="47" t="str">
        <f>M100/$M$93</f>
        <v>#REF!</v>
      </c>
      <c r="Q100" s="188">
        <f t="shared" si="64"/>
        <v>0</v>
      </c>
      <c r="R100" s="189">
        <v>0.0</v>
      </c>
      <c r="S100" s="190" t="s">
        <v>64</v>
      </c>
      <c r="T100" s="190">
        <f t="shared" si="65"/>
        <v>0.68</v>
      </c>
      <c r="U100" s="189">
        <f t="shared" si="66"/>
        <v>0</v>
      </c>
      <c r="V100" s="198" t="str">
        <f t="shared" si="67"/>
        <v>#REF!</v>
      </c>
      <c r="W100" s="202" t="str">
        <f t="shared" ref="W100:X100" si="193">#REF!+#REF!+#REF!+#REF!+#REF!+#REF!+#REF!</f>
        <v>#REF!</v>
      </c>
      <c r="X100" s="85" t="str">
        <f t="shared" si="193"/>
        <v>#REF!</v>
      </c>
      <c r="Y100" s="203" t="str">
        <f t="shared" si="79"/>
        <v>#REF!</v>
      </c>
      <c r="Z100" s="204" t="str">
        <f t="shared" ref="Z100:AA100" si="194">#REF!+#REF!+#REF!+#REF!+#REF!+#REF!+#REF!+#REF!</f>
        <v>#REF!</v>
      </c>
      <c r="AA100" s="204" t="str">
        <f t="shared" si="194"/>
        <v>#REF!</v>
      </c>
      <c r="AB100" s="205" t="str">
        <f t="shared" si="69"/>
        <v>#REF!</v>
      </c>
      <c r="AC100" s="207" t="str">
        <f t="shared" ref="AC100:AD100" si="195">#REF!+#REF!+#REF!+#REF!+#REF!+#REF!+#REF!+#REF!</f>
        <v>#REF!</v>
      </c>
      <c r="AD100" s="207" t="str">
        <f t="shared" si="195"/>
        <v>#REF!</v>
      </c>
      <c r="AE100" s="211"/>
      <c r="AF100" s="210">
        <f>'PL Cronograma detallado'!L253*AE100</f>
        <v>0</v>
      </c>
      <c r="AG100" s="211" t="str">
        <f>AF100/'PL Cronograma detallado'!M$257</f>
        <v>#DIV/0!</v>
      </c>
      <c r="AH100" s="211" t="str">
        <f t="shared" si="181"/>
        <v>#DIV/0!</v>
      </c>
    </row>
    <row r="101" ht="15.75" customHeight="1">
      <c r="A101" s="292" t="s">
        <v>510</v>
      </c>
      <c r="B101" s="356" t="s">
        <v>670</v>
      </c>
      <c r="C101" s="357">
        <v>44759.0</v>
      </c>
      <c r="D101" s="357">
        <v>44759.0</v>
      </c>
      <c r="E101" s="162" t="str">
        <f t="shared" si="25"/>
        <v>#NAME?</v>
      </c>
      <c r="F101" s="28">
        <v>1.0</v>
      </c>
      <c r="G101" s="47">
        <f t="shared" si="192"/>
        <v>0.00113507378</v>
      </c>
      <c r="H101" s="39">
        <f t="shared" si="174"/>
        <v>0.9965947787</v>
      </c>
      <c r="I101" s="169" t="str">
        <f t="shared" si="168"/>
        <v>#REF!</v>
      </c>
      <c r="J101" s="321" t="str">
        <f t="shared" si="175"/>
        <v>#REF!</v>
      </c>
      <c r="K101" s="322" t="str">
        <f t="shared" si="188"/>
        <v>#REF!</v>
      </c>
      <c r="L101" s="179" t="str">
        <f t="shared" si="169"/>
        <v>#REF!</v>
      </c>
      <c r="M101" s="179" t="str">
        <f t="shared" si="176"/>
        <v>#REF!</v>
      </c>
      <c r="N101" s="47">
        <f t="shared" si="170"/>
        <v>0.00113507378</v>
      </c>
      <c r="O101" s="47">
        <f t="shared" si="177"/>
        <v>0.9489216799</v>
      </c>
      <c r="P101" s="354" t="str">
        <f>M101/M101</f>
        <v>#REF!</v>
      </c>
      <c r="Q101" s="188">
        <f t="shared" si="64"/>
        <v>1</v>
      </c>
      <c r="R101" s="189">
        <v>1.0</v>
      </c>
      <c r="S101" s="190" t="s">
        <v>64</v>
      </c>
      <c r="T101" s="190">
        <f t="shared" si="65"/>
        <v>0.68</v>
      </c>
      <c r="U101" s="189">
        <f t="shared" si="66"/>
        <v>0.68</v>
      </c>
      <c r="V101" s="198" t="str">
        <f t="shared" si="67"/>
        <v>#REF!</v>
      </c>
      <c r="W101" s="202" t="str">
        <f t="shared" ref="W101:X101" si="196">#REF!+#REF!+#REF!+#REF!+#REF!+#REF!+#REF!</f>
        <v>#REF!</v>
      </c>
      <c r="X101" s="85" t="str">
        <f t="shared" si="196"/>
        <v>#REF!</v>
      </c>
      <c r="Y101" s="203" t="str">
        <f t="shared" si="79"/>
        <v>#REF!</v>
      </c>
      <c r="Z101" s="204" t="str">
        <f t="shared" ref="Z101:AA101" si="197">#REF!+#REF!+#REF!+#REF!+#REF!+#REF!+#REF!+#REF!</f>
        <v>#REF!</v>
      </c>
      <c r="AA101" s="204" t="str">
        <f t="shared" si="197"/>
        <v>#REF!</v>
      </c>
      <c r="AB101" s="205" t="str">
        <f t="shared" si="69"/>
        <v>#REF!</v>
      </c>
      <c r="AC101" s="207" t="str">
        <f t="shared" ref="AC101:AD101" si="198">#REF!+#REF!+#REF!+#REF!+#REF!+#REF!+#REF!+#REF!</f>
        <v>#REF!</v>
      </c>
      <c r="AD101" s="207" t="str">
        <f t="shared" si="198"/>
        <v>#REF!</v>
      </c>
      <c r="AE101" s="211">
        <v>1.0</v>
      </c>
      <c r="AF101" s="210">
        <f>'PL Cronograma detallado'!L254*AE101</f>
        <v>0</v>
      </c>
      <c r="AG101" s="211" t="str">
        <f>AF101/'PL Cronograma detallado'!M$257</f>
        <v>#DIV/0!</v>
      </c>
      <c r="AH101" s="211" t="str">
        <f t="shared" si="181"/>
        <v>#DIV/0!</v>
      </c>
    </row>
    <row r="102" ht="15.75" customHeight="1">
      <c r="A102" s="250" t="s">
        <v>526</v>
      </c>
      <c r="B102" s="251" t="s">
        <v>671</v>
      </c>
      <c r="C102" s="252">
        <v>44763.0</v>
      </c>
      <c r="D102" s="252">
        <v>44763.0</v>
      </c>
      <c r="E102" s="125" t="str">
        <f t="shared" si="25"/>
        <v>#NAME?</v>
      </c>
      <c r="F102" s="253">
        <v>1.0</v>
      </c>
      <c r="G102" s="138">
        <f>F102/F105</f>
        <v>0.00113507378</v>
      </c>
      <c r="H102" s="138">
        <f t="shared" si="174"/>
        <v>0.9977298524</v>
      </c>
      <c r="I102" s="255" t="str">
        <f t="shared" si="168"/>
        <v>#REF!</v>
      </c>
      <c r="J102" s="255" t="str">
        <f t="shared" si="175"/>
        <v>#REF!</v>
      </c>
      <c r="K102" s="138" t="str">
        <f t="shared" si="188"/>
        <v>#REF!</v>
      </c>
      <c r="L102" s="257" t="str">
        <f t="shared" si="169"/>
        <v>#REF!</v>
      </c>
      <c r="M102" s="257" t="str">
        <f t="shared" si="176"/>
        <v>#REF!</v>
      </c>
      <c r="N102" s="138">
        <f t="shared" si="170"/>
        <v>0.00113507378</v>
      </c>
      <c r="O102" s="138">
        <f t="shared" si="177"/>
        <v>0.9500567537</v>
      </c>
      <c r="P102" s="138" t="str">
        <f>M102/$M$93</f>
        <v>#REF!</v>
      </c>
      <c r="Q102" s="258">
        <f t="shared" si="64"/>
        <v>0</v>
      </c>
      <c r="R102" s="256">
        <v>0.0</v>
      </c>
      <c r="S102" s="253" t="s">
        <v>64</v>
      </c>
      <c r="T102" s="253">
        <f t="shared" si="65"/>
        <v>0.68</v>
      </c>
      <c r="U102" s="256">
        <f t="shared" si="66"/>
        <v>0</v>
      </c>
      <c r="V102" s="258" t="str">
        <f t="shared" si="67"/>
        <v>#REF!</v>
      </c>
      <c r="W102" s="255" t="str">
        <f t="shared" ref="W102:X102" si="199">#REF!+#REF!+#REF!+#REF!+#REF!+#REF!+#REF!</f>
        <v>#REF!</v>
      </c>
      <c r="X102" s="253" t="str">
        <f t="shared" si="199"/>
        <v>#REF!</v>
      </c>
      <c r="Y102" s="258" t="str">
        <f t="shared" si="79"/>
        <v>#REF!</v>
      </c>
      <c r="Z102" s="256" t="str">
        <f t="shared" ref="Z102:AA102" si="200">#REF!+#REF!+#REF!+#REF!+#REF!+#REF!+#REF!+#REF!</f>
        <v>#REF!</v>
      </c>
      <c r="AA102" s="256" t="str">
        <f t="shared" si="200"/>
        <v>#REF!</v>
      </c>
      <c r="AB102" s="258" t="str">
        <f t="shared" si="69"/>
        <v>#REF!</v>
      </c>
      <c r="AC102" s="256" t="str">
        <f t="shared" ref="AC102:AD102" si="201">#REF!+#REF!+#REF!+#REF!+#REF!+#REF!+#REF!+#REF!</f>
        <v>#REF!</v>
      </c>
      <c r="AD102" s="256" t="str">
        <f t="shared" si="201"/>
        <v>#REF!</v>
      </c>
      <c r="AE102" s="259">
        <v>1.0</v>
      </c>
      <c r="AF102" s="260">
        <f>'PL Cronograma detallado'!L255*AE102</f>
        <v>0</v>
      </c>
      <c r="AG102" s="259" t="str">
        <f>AF102/'PL Cronograma detallado'!M$257</f>
        <v>#DIV/0!</v>
      </c>
      <c r="AH102" s="259" t="str">
        <f t="shared" si="181"/>
        <v>#DIV/0!</v>
      </c>
    </row>
    <row r="103" ht="15.75" customHeight="1">
      <c r="A103" s="157" t="s">
        <v>672</v>
      </c>
      <c r="B103" s="159" t="s">
        <v>673</v>
      </c>
      <c r="C103" s="160">
        <v>44766.0</v>
      </c>
      <c r="D103" s="160">
        <v>44766.0</v>
      </c>
      <c r="E103" s="162" t="str">
        <f t="shared" si="25"/>
        <v>#NAME?</v>
      </c>
      <c r="F103" s="379">
        <v>1.0</v>
      </c>
      <c r="G103" s="47">
        <f t="shared" ref="G103:G104" si="205">F103/F$105</f>
        <v>0.00113507378</v>
      </c>
      <c r="H103" s="39">
        <f t="shared" si="174"/>
        <v>0.9988649262</v>
      </c>
      <c r="I103" s="169" t="str">
        <f t="shared" si="168"/>
        <v>#REF!</v>
      </c>
      <c r="J103" s="321" t="str">
        <f t="shared" si="175"/>
        <v>#REF!</v>
      </c>
      <c r="K103" s="322" t="str">
        <f t="shared" si="188"/>
        <v>#REF!</v>
      </c>
      <c r="L103" s="179" t="str">
        <f t="shared" si="169"/>
        <v>#REF!</v>
      </c>
      <c r="M103" s="179" t="str">
        <f t="shared" si="176"/>
        <v>#REF!</v>
      </c>
      <c r="N103" s="47">
        <f t="shared" si="170"/>
        <v>0</v>
      </c>
      <c r="O103" s="47">
        <f t="shared" si="177"/>
        <v>0.9500567537</v>
      </c>
      <c r="P103" s="354" t="str">
        <f>M103/M103</f>
        <v>#REF!</v>
      </c>
      <c r="Q103" s="188">
        <f t="shared" si="64"/>
        <v>0</v>
      </c>
      <c r="R103" s="189">
        <v>0.0</v>
      </c>
      <c r="S103" s="190" t="s">
        <v>64</v>
      </c>
      <c r="T103" s="190">
        <f t="shared" si="65"/>
        <v>0.68</v>
      </c>
      <c r="U103" s="189">
        <f t="shared" si="66"/>
        <v>0</v>
      </c>
      <c r="V103" s="198" t="str">
        <f t="shared" si="67"/>
        <v>#REF!</v>
      </c>
      <c r="W103" s="202" t="str">
        <f t="shared" ref="W103:X103" si="202">#REF!+#REF!+#REF!+#REF!+#REF!+#REF!+#REF!</f>
        <v>#REF!</v>
      </c>
      <c r="X103" s="85" t="str">
        <f t="shared" si="202"/>
        <v>#REF!</v>
      </c>
      <c r="Y103" s="203" t="str">
        <f t="shared" si="79"/>
        <v>#REF!</v>
      </c>
      <c r="Z103" s="204" t="str">
        <f t="shared" ref="Z103:AA103" si="203">#REF!+#REF!+#REF!+#REF!+#REF!+#REF!+#REF!+#REF!</f>
        <v>#REF!</v>
      </c>
      <c r="AA103" s="204" t="str">
        <f t="shared" si="203"/>
        <v>#REF!</v>
      </c>
      <c r="AB103" s="205" t="str">
        <f t="shared" si="69"/>
        <v>#REF!</v>
      </c>
      <c r="AC103" s="207" t="str">
        <f t="shared" ref="AC103:AD103" si="204">#REF!+#REF!+#REF!+#REF!+#REF!+#REF!+#REF!+#REF!</f>
        <v>#REF!</v>
      </c>
      <c r="AD103" s="207" t="str">
        <f t="shared" si="204"/>
        <v>#REF!</v>
      </c>
      <c r="AE103" s="211"/>
      <c r="AF103" s="210">
        <f>'PL Cronograma detallado'!L256*AE103</f>
        <v>0</v>
      </c>
      <c r="AG103" s="211" t="str">
        <f>AF103/'PL Cronograma detallado'!M$257</f>
        <v>#DIV/0!</v>
      </c>
      <c r="AH103" s="211" t="str">
        <f t="shared" si="181"/>
        <v>#DIV/0!</v>
      </c>
    </row>
    <row r="104" ht="15.75" customHeight="1">
      <c r="A104" s="310" t="s">
        <v>674</v>
      </c>
      <c r="B104" s="311" t="s">
        <v>675</v>
      </c>
      <c r="C104" s="312">
        <v>44770.0</v>
      </c>
      <c r="D104" s="312">
        <v>44770.0</v>
      </c>
      <c r="E104" s="313" t="str">
        <f t="shared" si="25"/>
        <v>#NAME?</v>
      </c>
      <c r="F104" s="314">
        <v>1.0</v>
      </c>
      <c r="G104" s="282">
        <f t="shared" si="205"/>
        <v>0.00113507378</v>
      </c>
      <c r="H104" s="282">
        <f t="shared" si="174"/>
        <v>1</v>
      </c>
      <c r="I104" s="315" t="str">
        <f t="shared" si="168"/>
        <v>#REF!</v>
      </c>
      <c r="J104" s="315" t="str">
        <f t="shared" si="175"/>
        <v>#REF!</v>
      </c>
      <c r="K104" s="282" t="str">
        <f t="shared" si="188"/>
        <v>#REF!</v>
      </c>
      <c r="L104" s="317" t="str">
        <f t="shared" si="169"/>
        <v>#REF!</v>
      </c>
      <c r="M104" s="317" t="str">
        <f t="shared" si="176"/>
        <v>#REF!</v>
      </c>
      <c r="N104" s="282">
        <f t="shared" si="170"/>
        <v>0</v>
      </c>
      <c r="O104" s="282">
        <f t="shared" si="177"/>
        <v>0.9500567537</v>
      </c>
      <c r="P104" s="282" t="str">
        <f>M104/$M$93</f>
        <v>#REF!</v>
      </c>
      <c r="Q104" s="318">
        <f t="shared" si="64"/>
        <v>0</v>
      </c>
      <c r="R104" s="316">
        <v>0.0</v>
      </c>
      <c r="S104" s="314" t="s">
        <v>64</v>
      </c>
      <c r="T104" s="314">
        <f t="shared" si="65"/>
        <v>0.68</v>
      </c>
      <c r="U104" s="316">
        <f t="shared" si="66"/>
        <v>0</v>
      </c>
      <c r="V104" s="318" t="str">
        <f t="shared" si="67"/>
        <v>#REF!</v>
      </c>
      <c r="W104" s="315" t="str">
        <f t="shared" ref="W104:X104" si="206">#REF!+#REF!+#REF!+#REF!+#REF!+#REF!+#REF!</f>
        <v>#REF!</v>
      </c>
      <c r="X104" s="314" t="str">
        <f t="shared" si="206"/>
        <v>#REF!</v>
      </c>
      <c r="Y104" s="318" t="str">
        <f t="shared" si="79"/>
        <v>#REF!</v>
      </c>
      <c r="Z104" s="316" t="str">
        <f t="shared" ref="Z104:AA104" si="207">#REF!+#REF!+#REF!+#REF!+#REF!+#REF!+#REF!+#REF!</f>
        <v>#REF!</v>
      </c>
      <c r="AA104" s="316" t="str">
        <f t="shared" si="207"/>
        <v>#REF!</v>
      </c>
      <c r="AB104" s="318" t="str">
        <f t="shared" si="69"/>
        <v>#REF!</v>
      </c>
      <c r="AC104" s="316" t="str">
        <f t="shared" ref="AC104:AD104" si="208">#REF!+#REF!+#REF!+#REF!+#REF!+#REF!+#REF!+#REF!</f>
        <v>#REF!</v>
      </c>
      <c r="AD104" s="316" t="str">
        <f t="shared" si="208"/>
        <v>#REF!</v>
      </c>
      <c r="AE104" s="319"/>
      <c r="AF104" s="320">
        <f>'PL Cronograma detallado'!L257*AE104</f>
        <v>0</v>
      </c>
      <c r="AG104" s="319" t="str">
        <f>AF104/'PL Cronograma detallado'!M$257</f>
        <v>#DIV/0!</v>
      </c>
      <c r="AH104" s="319" t="str">
        <f t="shared" si="181"/>
        <v>#DIV/0!</v>
      </c>
    </row>
    <row r="105" ht="15.75" customHeight="1">
      <c r="A105" s="7"/>
      <c r="B105" s="7"/>
      <c r="C105" s="7"/>
      <c r="D105" s="7"/>
      <c r="E105" s="380" t="str">
        <f t="shared" ref="E105:F105" si="209">SUM(E92,E84,E50,E20,E4)</f>
        <v>#NAME?</v>
      </c>
      <c r="F105" s="7">
        <f t="shared" si="209"/>
        <v>881</v>
      </c>
      <c r="G105" s="38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ht="15.75" customHeight="1">
      <c r="A106" s="7"/>
      <c r="B106" s="7"/>
      <c r="C106" s="216"/>
      <c r="D106" s="7"/>
      <c r="E106" s="7"/>
      <c r="F106" s="7"/>
      <c r="G106" s="216">
        <f>SUM(G92,G84,G50,G20,G4)</f>
        <v>1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ht="15.75" customHeight="1">
      <c r="A107" s="7"/>
      <c r="B107" s="7"/>
      <c r="C107" s="7"/>
      <c r="D107" s="7"/>
      <c r="E107" s="7"/>
      <c r="F107" s="7"/>
      <c r="G107" s="216"/>
      <c r="H107" s="7"/>
      <c r="I107" s="7"/>
      <c r="J107" s="216"/>
      <c r="K107" s="216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ht="15.75" customHeight="1">
      <c r="A108" s="7"/>
      <c r="B108" s="7"/>
      <c r="C108" s="7"/>
      <c r="D108" s="7"/>
      <c r="E108" s="7"/>
      <c r="F108" s="7"/>
      <c r="G108" s="216"/>
      <c r="H108" s="7"/>
      <c r="I108" s="7"/>
      <c r="J108" s="216"/>
      <c r="K108" s="216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ht="15.75" customHeight="1">
      <c r="A109" s="7"/>
      <c r="B109" s="7"/>
      <c r="C109" s="7"/>
      <c r="D109" s="7"/>
      <c r="E109" s="7"/>
      <c r="F109" s="7"/>
      <c r="G109" s="216"/>
      <c r="H109" s="7"/>
      <c r="I109" s="7"/>
      <c r="J109" s="216"/>
      <c r="K109" s="216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ht="15.75" customHeight="1">
      <c r="A110" s="7"/>
      <c r="B110" s="7"/>
      <c r="C110" s="7"/>
      <c r="D110" s="7"/>
      <c r="E110" s="7"/>
      <c r="F110" s="7"/>
      <c r="G110" s="216"/>
      <c r="H110" s="7"/>
      <c r="I110" s="7"/>
      <c r="J110" s="216"/>
      <c r="K110" s="216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ht="15.75" customHeight="1">
      <c r="A111" s="7"/>
      <c r="B111" s="7"/>
      <c r="C111" s="7"/>
      <c r="D111" s="7"/>
      <c r="E111" s="7"/>
      <c r="F111" s="7"/>
      <c r="G111" s="216"/>
      <c r="H111" s="7"/>
      <c r="I111" s="7"/>
      <c r="J111" s="216"/>
      <c r="K111" s="216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ht="15.75" customHeight="1">
      <c r="A112" s="7"/>
      <c r="B112" s="7"/>
      <c r="C112" s="7"/>
      <c r="D112" s="7"/>
      <c r="E112" s="7"/>
      <c r="F112" s="7"/>
      <c r="G112" s="216"/>
      <c r="H112" s="7"/>
      <c r="I112" s="7"/>
      <c r="J112" s="216"/>
      <c r="K112" s="216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ht="15.75" customHeight="1">
      <c r="A113" s="7"/>
      <c r="B113" s="7"/>
      <c r="C113" s="7"/>
      <c r="D113" s="7"/>
      <c r="E113" s="7"/>
      <c r="F113" s="7"/>
      <c r="G113" s="216"/>
      <c r="H113" s="7"/>
      <c r="I113" s="7"/>
      <c r="J113" s="216"/>
      <c r="K113" s="216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ht="15.75" customHeight="1">
      <c r="A114" s="7"/>
      <c r="B114" s="7"/>
      <c r="C114" s="7"/>
      <c r="D114" s="7"/>
      <c r="E114" s="7"/>
      <c r="F114" s="7"/>
      <c r="G114" s="216"/>
      <c r="H114" s="7"/>
      <c r="I114" s="7"/>
      <c r="J114" s="216"/>
      <c r="K114" s="216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ht="15.75" customHeight="1">
      <c r="A115" s="7"/>
      <c r="B115" s="7"/>
      <c r="C115" s="7"/>
      <c r="D115" s="7"/>
      <c r="E115" s="7"/>
      <c r="F115" s="7"/>
      <c r="G115" s="216"/>
      <c r="H115" s="7"/>
      <c r="I115" s="7"/>
      <c r="J115" s="216"/>
      <c r="K115" s="216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ht="15.75" customHeight="1">
      <c r="A116" s="7"/>
      <c r="B116" s="7"/>
      <c r="C116" s="7"/>
      <c r="D116" s="7"/>
      <c r="E116" s="7"/>
      <c r="F116" s="7"/>
      <c r="G116" s="216"/>
      <c r="H116" s="7"/>
      <c r="I116" s="7"/>
      <c r="J116" s="216"/>
      <c r="K116" s="216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ht="15.75" customHeight="1">
      <c r="A117" s="7"/>
      <c r="B117" s="7"/>
      <c r="C117" s="7"/>
      <c r="D117" s="7"/>
      <c r="E117" s="7"/>
      <c r="F117" s="7"/>
      <c r="G117" s="216"/>
      <c r="H117" s="7"/>
      <c r="I117" s="7"/>
      <c r="J117" s="216"/>
      <c r="K117" s="216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ht="15.75" customHeight="1">
      <c r="A118" s="7"/>
      <c r="B118" s="7"/>
      <c r="C118" s="7"/>
      <c r="D118" s="7"/>
      <c r="E118" s="7"/>
      <c r="F118" s="7"/>
      <c r="G118" s="216"/>
      <c r="H118" s="7"/>
      <c r="I118" s="7"/>
      <c r="J118" s="216"/>
      <c r="K118" s="216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ht="15.75" customHeight="1">
      <c r="A119" s="7"/>
      <c r="B119" s="7"/>
      <c r="C119" s="7"/>
      <c r="D119" s="7"/>
      <c r="E119" s="7"/>
      <c r="F119" s="7"/>
      <c r="G119" s="216"/>
      <c r="H119" s="7"/>
      <c r="I119" s="7"/>
      <c r="J119" s="216"/>
      <c r="K119" s="216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ht="15.75" customHeight="1">
      <c r="A120" s="7"/>
      <c r="B120" s="7"/>
      <c r="C120" s="7"/>
      <c r="D120" s="7"/>
      <c r="E120" s="7"/>
      <c r="F120" s="7"/>
      <c r="G120" s="216"/>
      <c r="H120" s="7"/>
      <c r="I120" s="7"/>
      <c r="J120" s="216"/>
      <c r="K120" s="216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ht="15.75" customHeight="1">
      <c r="A121" s="7"/>
      <c r="B121" s="7"/>
      <c r="C121" s="7"/>
      <c r="D121" s="7"/>
      <c r="E121" s="7"/>
      <c r="F121" s="7"/>
      <c r="G121" s="216"/>
      <c r="H121" s="7"/>
      <c r="I121" s="7"/>
      <c r="J121" s="216"/>
      <c r="K121" s="216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ht="15.75" customHeight="1">
      <c r="A122" s="7"/>
      <c r="B122" s="7"/>
      <c r="C122" s="7"/>
      <c r="D122" s="7"/>
      <c r="E122" s="7"/>
      <c r="F122" s="7"/>
      <c r="G122" s="216"/>
      <c r="H122" s="7"/>
      <c r="I122" s="7"/>
      <c r="J122" s="216"/>
      <c r="K122" s="216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ht="15.75" customHeight="1">
      <c r="A123" s="7"/>
      <c r="B123" s="7"/>
      <c r="C123" s="7"/>
      <c r="D123" s="7"/>
      <c r="E123" s="7"/>
      <c r="F123" s="7"/>
      <c r="G123" s="216"/>
      <c r="H123" s="7"/>
      <c r="I123" s="7"/>
      <c r="J123" s="216"/>
      <c r="K123" s="216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ht="15.75" customHeight="1">
      <c r="A124" s="7"/>
      <c r="B124" s="7"/>
      <c r="C124" s="7"/>
      <c r="D124" s="7"/>
      <c r="E124" s="7"/>
      <c r="F124" s="7"/>
      <c r="G124" s="216"/>
      <c r="H124" s="7"/>
      <c r="I124" s="7"/>
      <c r="J124" s="216"/>
      <c r="K124" s="216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ht="15.75" customHeight="1">
      <c r="A125" s="7"/>
      <c r="B125" s="7"/>
      <c r="C125" s="7"/>
      <c r="D125" s="7"/>
      <c r="E125" s="7"/>
      <c r="F125" s="7"/>
      <c r="G125" s="216"/>
      <c r="H125" s="7"/>
      <c r="I125" s="7"/>
      <c r="J125" s="216"/>
      <c r="K125" s="216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ht="15.75" customHeight="1">
      <c r="A126" s="7"/>
      <c r="B126" s="7"/>
      <c r="C126" s="7"/>
      <c r="D126" s="7"/>
      <c r="E126" s="7"/>
      <c r="F126" s="7"/>
      <c r="G126" s="216"/>
      <c r="H126" s="7"/>
      <c r="I126" s="7"/>
      <c r="J126" s="216"/>
      <c r="K126" s="216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ht="15.75" customHeight="1">
      <c r="A127" s="7"/>
      <c r="B127" s="7"/>
      <c r="C127" s="7"/>
      <c r="D127" s="7"/>
      <c r="E127" s="7"/>
      <c r="F127" s="7"/>
      <c r="G127" s="216"/>
      <c r="H127" s="7"/>
      <c r="I127" s="7"/>
      <c r="J127" s="216"/>
      <c r="K127" s="216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ht="15.75" customHeight="1">
      <c r="A128" s="7"/>
      <c r="B128" s="7"/>
      <c r="C128" s="7"/>
      <c r="D128" s="7"/>
      <c r="E128" s="7"/>
      <c r="F128" s="7"/>
      <c r="G128" s="216"/>
      <c r="H128" s="7"/>
      <c r="I128" s="7"/>
      <c r="J128" s="216"/>
      <c r="K128" s="216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ht="15.75" customHeight="1">
      <c r="A129" s="7"/>
      <c r="B129" s="7"/>
      <c r="C129" s="7"/>
      <c r="D129" s="7"/>
      <c r="E129" s="7"/>
      <c r="F129" s="7"/>
      <c r="G129" s="216"/>
      <c r="H129" s="7"/>
      <c r="I129" s="7"/>
      <c r="J129" s="216"/>
      <c r="K129" s="216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ht="15.75" customHeight="1">
      <c r="A130" s="7"/>
      <c r="B130" s="7"/>
      <c r="C130" s="7"/>
      <c r="D130" s="7"/>
      <c r="E130" s="7"/>
      <c r="F130" s="7"/>
      <c r="G130" s="216"/>
      <c r="H130" s="7"/>
      <c r="I130" s="7"/>
      <c r="J130" s="216"/>
      <c r="K130" s="216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ht="15.75" customHeight="1">
      <c r="A131" s="7"/>
      <c r="B131" s="7"/>
      <c r="C131" s="7"/>
      <c r="D131" s="7"/>
      <c r="E131" s="7"/>
      <c r="F131" s="7"/>
      <c r="G131" s="216"/>
      <c r="H131" s="7"/>
      <c r="I131" s="7"/>
      <c r="J131" s="216"/>
      <c r="K131" s="216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ht="15.75" customHeight="1">
      <c r="A132" s="7"/>
      <c r="B132" s="7"/>
      <c r="C132" s="7"/>
      <c r="D132" s="7"/>
      <c r="E132" s="7"/>
      <c r="F132" s="7"/>
      <c r="G132" s="216"/>
      <c r="H132" s="7"/>
      <c r="I132" s="7"/>
      <c r="J132" s="216"/>
      <c r="K132" s="216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ht="15.75" customHeight="1">
      <c r="A133" s="7"/>
      <c r="B133" s="7"/>
      <c r="C133" s="7"/>
      <c r="D133" s="7"/>
      <c r="E133" s="7"/>
      <c r="F133" s="7"/>
      <c r="G133" s="216"/>
      <c r="H133" s="7"/>
      <c r="I133" s="7"/>
      <c r="J133" s="216"/>
      <c r="K133" s="216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ht="15.75" customHeight="1">
      <c r="A134" s="7"/>
      <c r="B134" s="7"/>
      <c r="C134" s="7"/>
      <c r="D134" s="7"/>
      <c r="E134" s="7"/>
      <c r="F134" s="7"/>
      <c r="G134" s="216"/>
      <c r="H134" s="7"/>
      <c r="I134" s="7"/>
      <c r="J134" s="216"/>
      <c r="K134" s="216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ht="15.75" customHeight="1">
      <c r="A135" s="7"/>
      <c r="B135" s="7"/>
      <c r="C135" s="7"/>
      <c r="D135" s="7"/>
      <c r="E135" s="7"/>
      <c r="F135" s="7"/>
      <c r="G135" s="216"/>
      <c r="H135" s="7"/>
      <c r="I135" s="7"/>
      <c r="J135" s="216"/>
      <c r="K135" s="216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ht="15.75" customHeight="1">
      <c r="A136" s="7"/>
      <c r="B136" s="7"/>
      <c r="C136" s="7"/>
      <c r="D136" s="7"/>
      <c r="E136" s="7"/>
      <c r="F136" s="7"/>
      <c r="G136" s="216"/>
      <c r="H136" s="7"/>
      <c r="I136" s="7"/>
      <c r="J136" s="216"/>
      <c r="K136" s="216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ht="15.75" customHeight="1">
      <c r="A137" s="7"/>
      <c r="B137" s="7"/>
      <c r="C137" s="7"/>
      <c r="D137" s="7"/>
      <c r="E137" s="7"/>
      <c r="F137" s="7"/>
      <c r="G137" s="216"/>
      <c r="H137" s="7"/>
      <c r="I137" s="7"/>
      <c r="J137" s="216"/>
      <c r="K137" s="216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ht="15.75" customHeight="1">
      <c r="A138" s="7"/>
      <c r="B138" s="7"/>
      <c r="C138" s="7"/>
      <c r="D138" s="7"/>
      <c r="E138" s="7"/>
      <c r="F138" s="7"/>
      <c r="G138" s="216"/>
      <c r="H138" s="7"/>
      <c r="I138" s="7"/>
      <c r="J138" s="216"/>
      <c r="K138" s="216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ht="15.75" customHeight="1">
      <c r="A139" s="7"/>
      <c r="B139" s="7"/>
      <c r="C139" s="7"/>
      <c r="D139" s="7"/>
      <c r="E139" s="7"/>
      <c r="F139" s="7"/>
      <c r="G139" s="216"/>
      <c r="H139" s="7"/>
      <c r="I139" s="7"/>
      <c r="J139" s="216"/>
      <c r="K139" s="216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ht="15.75" customHeight="1">
      <c r="A140" s="7"/>
      <c r="B140" s="7"/>
      <c r="C140" s="7"/>
      <c r="D140" s="7"/>
      <c r="E140" s="7"/>
      <c r="F140" s="7"/>
      <c r="G140" s="216"/>
      <c r="H140" s="7"/>
      <c r="I140" s="7"/>
      <c r="J140" s="216"/>
      <c r="K140" s="216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 ht="15.75" customHeight="1">
      <c r="A141" s="7"/>
      <c r="B141" s="7"/>
      <c r="C141" s="7"/>
      <c r="D141" s="7"/>
      <c r="E141" s="7"/>
      <c r="F141" s="7"/>
      <c r="G141" s="216"/>
      <c r="H141" s="7"/>
      <c r="I141" s="7"/>
      <c r="J141" s="216"/>
      <c r="K141" s="216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ht="15.75" customHeight="1">
      <c r="A142" s="7"/>
      <c r="B142" s="7"/>
      <c r="C142" s="7"/>
      <c r="D142" s="7"/>
      <c r="E142" s="7"/>
      <c r="F142" s="7"/>
      <c r="G142" s="216"/>
      <c r="H142" s="7"/>
      <c r="I142" s="7"/>
      <c r="J142" s="216"/>
      <c r="K142" s="216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ht="15.75" customHeight="1">
      <c r="A143" s="7"/>
      <c r="B143" s="7"/>
      <c r="C143" s="7"/>
      <c r="D143" s="7"/>
      <c r="E143" s="7"/>
      <c r="F143" s="7"/>
      <c r="G143" s="216"/>
      <c r="H143" s="7"/>
      <c r="I143" s="7"/>
      <c r="J143" s="216"/>
      <c r="K143" s="216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ht="15.75" customHeight="1">
      <c r="A144" s="7"/>
      <c r="B144" s="7"/>
      <c r="C144" s="7"/>
      <c r="D144" s="7"/>
      <c r="E144" s="7"/>
      <c r="F144" s="7"/>
      <c r="G144" s="216"/>
      <c r="H144" s="7"/>
      <c r="I144" s="7"/>
      <c r="J144" s="216"/>
      <c r="K144" s="216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ht="15.75" customHeight="1">
      <c r="A145" s="7"/>
      <c r="B145" s="7"/>
      <c r="C145" s="7"/>
      <c r="D145" s="7"/>
      <c r="E145" s="7"/>
      <c r="F145" s="7"/>
      <c r="G145" s="216"/>
      <c r="H145" s="7"/>
      <c r="I145" s="7"/>
      <c r="J145" s="216"/>
      <c r="K145" s="216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ht="15.75" customHeight="1">
      <c r="A146" s="7"/>
      <c r="B146" s="7"/>
      <c r="C146" s="7"/>
      <c r="D146" s="7"/>
      <c r="E146" s="7"/>
      <c r="F146" s="7"/>
      <c r="G146" s="216"/>
      <c r="H146" s="7"/>
      <c r="I146" s="7"/>
      <c r="J146" s="216"/>
      <c r="K146" s="216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ht="15.75" customHeight="1">
      <c r="A147" s="7"/>
      <c r="B147" s="7"/>
      <c r="C147" s="7"/>
      <c r="D147" s="7"/>
      <c r="E147" s="7"/>
      <c r="F147" s="7"/>
      <c r="G147" s="216"/>
      <c r="H147" s="7"/>
      <c r="I147" s="7"/>
      <c r="J147" s="216"/>
      <c r="K147" s="216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ht="15.75" customHeight="1">
      <c r="A148" s="7"/>
      <c r="B148" s="7"/>
      <c r="C148" s="7"/>
      <c r="D148" s="7"/>
      <c r="E148" s="7"/>
      <c r="F148" s="7"/>
      <c r="G148" s="216"/>
      <c r="H148" s="7"/>
      <c r="I148" s="7"/>
      <c r="J148" s="216"/>
      <c r="K148" s="216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ht="15.75" customHeight="1">
      <c r="A149" s="7"/>
      <c r="B149" s="7"/>
      <c r="C149" s="7"/>
      <c r="D149" s="7"/>
      <c r="E149" s="7"/>
      <c r="F149" s="7"/>
      <c r="G149" s="216"/>
      <c r="H149" s="7"/>
      <c r="I149" s="7"/>
      <c r="J149" s="216"/>
      <c r="K149" s="216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ht="15.75" customHeight="1">
      <c r="A150" s="7"/>
      <c r="B150" s="7"/>
      <c r="C150" s="7"/>
      <c r="D150" s="7"/>
      <c r="E150" s="7"/>
      <c r="F150" s="7"/>
      <c r="G150" s="216"/>
      <c r="H150" s="7"/>
      <c r="I150" s="7"/>
      <c r="J150" s="216"/>
      <c r="K150" s="216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ht="15.75" customHeight="1">
      <c r="A151" s="7"/>
      <c r="B151" s="7"/>
      <c r="C151" s="7"/>
      <c r="D151" s="7"/>
      <c r="E151" s="7"/>
      <c r="F151" s="7"/>
      <c r="G151" s="216"/>
      <c r="H151" s="7"/>
      <c r="I151" s="7"/>
      <c r="J151" s="216"/>
      <c r="K151" s="216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ht="15.75" customHeight="1">
      <c r="A152" s="7"/>
      <c r="B152" s="7"/>
      <c r="C152" s="7"/>
      <c r="D152" s="7"/>
      <c r="E152" s="7"/>
      <c r="F152" s="7"/>
      <c r="G152" s="216"/>
      <c r="H152" s="7"/>
      <c r="I152" s="7"/>
      <c r="J152" s="216"/>
      <c r="K152" s="216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ht="15.75" customHeight="1">
      <c r="A153" s="7"/>
      <c r="B153" s="7"/>
      <c r="C153" s="7"/>
      <c r="D153" s="7"/>
      <c r="E153" s="7"/>
      <c r="F153" s="7"/>
      <c r="G153" s="216"/>
      <c r="H153" s="7"/>
      <c r="I153" s="7"/>
      <c r="J153" s="216"/>
      <c r="K153" s="216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ht="15.75" customHeight="1">
      <c r="A154" s="7"/>
      <c r="B154" s="7"/>
      <c r="C154" s="7"/>
      <c r="D154" s="7"/>
      <c r="E154" s="7"/>
      <c r="F154" s="7"/>
      <c r="G154" s="216"/>
      <c r="H154" s="7"/>
      <c r="I154" s="7"/>
      <c r="J154" s="216"/>
      <c r="K154" s="216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ht="15.75" customHeight="1">
      <c r="A155" s="7"/>
      <c r="B155" s="7"/>
      <c r="C155" s="7"/>
      <c r="D155" s="7"/>
      <c r="E155" s="7"/>
      <c r="F155" s="7"/>
      <c r="G155" s="216"/>
      <c r="H155" s="7"/>
      <c r="I155" s="7"/>
      <c r="J155" s="216"/>
      <c r="K155" s="216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ht="15.75" customHeight="1">
      <c r="A156" s="7"/>
      <c r="B156" s="7"/>
      <c r="C156" s="7"/>
      <c r="D156" s="7"/>
      <c r="E156" s="7"/>
      <c r="F156" s="7"/>
      <c r="G156" s="216"/>
      <c r="H156" s="7"/>
      <c r="I156" s="7"/>
      <c r="J156" s="216"/>
      <c r="K156" s="216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ht="15.75" customHeight="1">
      <c r="A157" s="7"/>
      <c r="B157" s="7"/>
      <c r="C157" s="7"/>
      <c r="D157" s="7"/>
      <c r="E157" s="7"/>
      <c r="F157" s="7"/>
      <c r="G157" s="216"/>
      <c r="H157" s="7"/>
      <c r="I157" s="7"/>
      <c r="J157" s="216"/>
      <c r="K157" s="216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ht="15.75" customHeight="1">
      <c r="A158" s="7"/>
      <c r="B158" s="7"/>
      <c r="C158" s="7"/>
      <c r="D158" s="7"/>
      <c r="E158" s="7"/>
      <c r="F158" s="7"/>
      <c r="G158" s="216"/>
      <c r="H158" s="7"/>
      <c r="I158" s="7"/>
      <c r="J158" s="216"/>
      <c r="K158" s="216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ht="15.75" customHeight="1">
      <c r="A159" s="7"/>
      <c r="B159" s="7"/>
      <c r="C159" s="7"/>
      <c r="D159" s="7"/>
      <c r="E159" s="7"/>
      <c r="F159" s="7"/>
      <c r="G159" s="216"/>
      <c r="H159" s="7"/>
      <c r="I159" s="7"/>
      <c r="J159" s="216"/>
      <c r="K159" s="216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ht="15.75" customHeight="1">
      <c r="A160" s="7"/>
      <c r="B160" s="7"/>
      <c r="C160" s="7"/>
      <c r="D160" s="7"/>
      <c r="E160" s="7"/>
      <c r="F160" s="7"/>
      <c r="G160" s="216"/>
      <c r="H160" s="7"/>
      <c r="I160" s="7"/>
      <c r="J160" s="216"/>
      <c r="K160" s="216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ht="15.75" customHeight="1">
      <c r="A161" s="7"/>
      <c r="B161" s="7"/>
      <c r="C161" s="7"/>
      <c r="D161" s="7"/>
      <c r="E161" s="7"/>
      <c r="F161" s="7"/>
      <c r="G161" s="216"/>
      <c r="H161" s="7"/>
      <c r="I161" s="7"/>
      <c r="J161" s="216"/>
      <c r="K161" s="216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ht="15.75" customHeight="1">
      <c r="A162" s="7"/>
      <c r="B162" s="7"/>
      <c r="C162" s="7"/>
      <c r="D162" s="7"/>
      <c r="E162" s="7"/>
      <c r="F162" s="7"/>
      <c r="G162" s="216"/>
      <c r="H162" s="7"/>
      <c r="I162" s="7"/>
      <c r="J162" s="216"/>
      <c r="K162" s="216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ht="15.75" customHeight="1">
      <c r="A163" s="7"/>
      <c r="B163" s="7"/>
      <c r="C163" s="7"/>
      <c r="D163" s="7"/>
      <c r="E163" s="7"/>
      <c r="F163" s="7"/>
      <c r="G163" s="216"/>
      <c r="H163" s="7"/>
      <c r="I163" s="7"/>
      <c r="J163" s="216"/>
      <c r="K163" s="216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ht="15.75" customHeight="1">
      <c r="A164" s="7"/>
      <c r="B164" s="7"/>
      <c r="C164" s="7"/>
      <c r="D164" s="7"/>
      <c r="E164" s="7"/>
      <c r="F164" s="7"/>
      <c r="G164" s="216"/>
      <c r="H164" s="7"/>
      <c r="I164" s="7"/>
      <c r="J164" s="216"/>
      <c r="K164" s="216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ht="15.75" customHeight="1">
      <c r="A165" s="7"/>
      <c r="B165" s="7"/>
      <c r="C165" s="7"/>
      <c r="D165" s="7"/>
      <c r="E165" s="7"/>
      <c r="F165" s="7"/>
      <c r="G165" s="216"/>
      <c r="H165" s="7"/>
      <c r="I165" s="7"/>
      <c r="J165" s="216"/>
      <c r="K165" s="216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ht="15.75" customHeight="1">
      <c r="A166" s="7"/>
      <c r="B166" s="7"/>
      <c r="C166" s="7"/>
      <c r="D166" s="7"/>
      <c r="E166" s="7"/>
      <c r="F166" s="7"/>
      <c r="G166" s="216"/>
      <c r="H166" s="7"/>
      <c r="I166" s="7"/>
      <c r="J166" s="216"/>
      <c r="K166" s="216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ht="15.75" customHeight="1">
      <c r="A167" s="7"/>
      <c r="B167" s="7"/>
      <c r="C167" s="7"/>
      <c r="D167" s="7"/>
      <c r="E167" s="7"/>
      <c r="F167" s="7"/>
      <c r="G167" s="216"/>
      <c r="H167" s="7"/>
      <c r="I167" s="7"/>
      <c r="J167" s="216"/>
      <c r="K167" s="216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ht="15.75" customHeight="1">
      <c r="A168" s="7"/>
      <c r="B168" s="7"/>
      <c r="C168" s="7"/>
      <c r="D168" s="7"/>
      <c r="E168" s="7"/>
      <c r="F168" s="7"/>
      <c r="G168" s="216"/>
      <c r="H168" s="7"/>
      <c r="I168" s="7"/>
      <c r="J168" s="216"/>
      <c r="K168" s="216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ht="15.75" customHeight="1">
      <c r="A169" s="7"/>
      <c r="B169" s="7"/>
      <c r="C169" s="7"/>
      <c r="D169" s="7"/>
      <c r="E169" s="7"/>
      <c r="F169" s="7"/>
      <c r="G169" s="216"/>
      <c r="H169" s="7"/>
      <c r="I169" s="7"/>
      <c r="J169" s="216"/>
      <c r="K169" s="216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ht="15.75" customHeight="1">
      <c r="A170" s="7"/>
      <c r="B170" s="7"/>
      <c r="C170" s="7"/>
      <c r="D170" s="7"/>
      <c r="E170" s="7"/>
      <c r="F170" s="7"/>
      <c r="G170" s="216"/>
      <c r="H170" s="7"/>
      <c r="I170" s="7"/>
      <c r="J170" s="216"/>
      <c r="K170" s="216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ht="15.75" customHeight="1">
      <c r="A171" s="7"/>
      <c r="B171" s="7"/>
      <c r="C171" s="7"/>
      <c r="D171" s="7"/>
      <c r="E171" s="7"/>
      <c r="F171" s="7"/>
      <c r="G171" s="216"/>
      <c r="H171" s="7"/>
      <c r="I171" s="7"/>
      <c r="J171" s="216"/>
      <c r="K171" s="216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ht="15.75" customHeight="1">
      <c r="A172" s="7"/>
      <c r="B172" s="7"/>
      <c r="C172" s="7"/>
      <c r="D172" s="7"/>
      <c r="E172" s="7"/>
      <c r="F172" s="7"/>
      <c r="G172" s="216"/>
      <c r="H172" s="7"/>
      <c r="I172" s="7"/>
      <c r="J172" s="216"/>
      <c r="K172" s="216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ht="15.75" customHeight="1">
      <c r="A173" s="7"/>
      <c r="B173" s="7"/>
      <c r="C173" s="7"/>
      <c r="D173" s="7"/>
      <c r="E173" s="7"/>
      <c r="F173" s="7"/>
      <c r="G173" s="216"/>
      <c r="H173" s="7"/>
      <c r="I173" s="7"/>
      <c r="J173" s="216"/>
      <c r="K173" s="216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ht="15.75" customHeight="1">
      <c r="A174" s="7"/>
      <c r="B174" s="7"/>
      <c r="C174" s="7"/>
      <c r="D174" s="7"/>
      <c r="E174" s="7"/>
      <c r="F174" s="7"/>
      <c r="G174" s="216"/>
      <c r="H174" s="7"/>
      <c r="I174" s="7"/>
      <c r="J174" s="216"/>
      <c r="K174" s="216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ht="15.75" customHeight="1">
      <c r="A175" s="7"/>
      <c r="B175" s="7"/>
      <c r="C175" s="7"/>
      <c r="D175" s="7"/>
      <c r="E175" s="7"/>
      <c r="F175" s="7"/>
      <c r="G175" s="216"/>
      <c r="H175" s="7"/>
      <c r="I175" s="7"/>
      <c r="J175" s="216"/>
      <c r="K175" s="216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ht="15.75" customHeight="1">
      <c r="A176" s="7"/>
      <c r="B176" s="7"/>
      <c r="C176" s="7"/>
      <c r="D176" s="7"/>
      <c r="E176" s="7"/>
      <c r="F176" s="7"/>
      <c r="G176" s="216"/>
      <c r="H176" s="7"/>
      <c r="I176" s="7"/>
      <c r="J176" s="216"/>
      <c r="K176" s="216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 ht="15.75" customHeight="1">
      <c r="A177" s="7"/>
      <c r="B177" s="7"/>
      <c r="C177" s="7"/>
      <c r="D177" s="7"/>
      <c r="E177" s="7"/>
      <c r="F177" s="7"/>
      <c r="G177" s="216"/>
      <c r="H177" s="7"/>
      <c r="I177" s="7"/>
      <c r="J177" s="216"/>
      <c r="K177" s="216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ht="15.75" customHeight="1">
      <c r="A178" s="7"/>
      <c r="B178" s="7"/>
      <c r="C178" s="7"/>
      <c r="D178" s="7"/>
      <c r="E178" s="7"/>
      <c r="F178" s="7"/>
      <c r="G178" s="216"/>
      <c r="H178" s="7"/>
      <c r="I178" s="7"/>
      <c r="J178" s="216"/>
      <c r="K178" s="216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ht="15.75" customHeight="1">
      <c r="A179" s="7"/>
      <c r="B179" s="7"/>
      <c r="C179" s="7"/>
      <c r="D179" s="7"/>
      <c r="E179" s="7"/>
      <c r="F179" s="7"/>
      <c r="G179" s="216"/>
      <c r="H179" s="7"/>
      <c r="I179" s="7"/>
      <c r="J179" s="216"/>
      <c r="K179" s="216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ht="15.75" customHeight="1">
      <c r="A180" s="7"/>
      <c r="B180" s="7"/>
      <c r="C180" s="7"/>
      <c r="D180" s="7"/>
      <c r="E180" s="7"/>
      <c r="F180" s="7"/>
      <c r="G180" s="216"/>
      <c r="H180" s="7"/>
      <c r="I180" s="7"/>
      <c r="J180" s="216"/>
      <c r="K180" s="216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ht="15.75" customHeight="1">
      <c r="A181" s="7"/>
      <c r="B181" s="7"/>
      <c r="C181" s="7"/>
      <c r="D181" s="7"/>
      <c r="E181" s="7"/>
      <c r="F181" s="7"/>
      <c r="G181" s="216"/>
      <c r="H181" s="7"/>
      <c r="I181" s="7"/>
      <c r="J181" s="216"/>
      <c r="K181" s="216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ht="15.75" customHeight="1">
      <c r="A182" s="7"/>
      <c r="B182" s="7"/>
      <c r="C182" s="7"/>
      <c r="D182" s="7"/>
      <c r="E182" s="7"/>
      <c r="F182" s="7"/>
      <c r="G182" s="216"/>
      <c r="H182" s="7"/>
      <c r="I182" s="7"/>
      <c r="J182" s="216"/>
      <c r="K182" s="216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ht="15.75" customHeight="1">
      <c r="A183" s="7"/>
      <c r="B183" s="7"/>
      <c r="C183" s="7"/>
      <c r="D183" s="7"/>
      <c r="E183" s="7"/>
      <c r="F183" s="7"/>
      <c r="G183" s="216"/>
      <c r="H183" s="7"/>
      <c r="I183" s="7"/>
      <c r="J183" s="216"/>
      <c r="K183" s="216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ht="15.75" customHeight="1">
      <c r="A184" s="7"/>
      <c r="B184" s="7"/>
      <c r="C184" s="7"/>
      <c r="D184" s="7"/>
      <c r="E184" s="7"/>
      <c r="F184" s="7"/>
      <c r="G184" s="216"/>
      <c r="H184" s="7"/>
      <c r="I184" s="7"/>
      <c r="J184" s="216"/>
      <c r="K184" s="216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ht="15.75" customHeight="1">
      <c r="A185" s="7"/>
      <c r="B185" s="7"/>
      <c r="C185" s="7"/>
      <c r="D185" s="7"/>
      <c r="E185" s="7"/>
      <c r="F185" s="7"/>
      <c r="G185" s="216"/>
      <c r="H185" s="7"/>
      <c r="I185" s="7"/>
      <c r="J185" s="216"/>
      <c r="K185" s="216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ht="15.75" customHeight="1">
      <c r="A186" s="7"/>
      <c r="B186" s="7"/>
      <c r="C186" s="7"/>
      <c r="D186" s="7"/>
      <c r="E186" s="7"/>
      <c r="F186" s="7"/>
      <c r="G186" s="216"/>
      <c r="H186" s="7"/>
      <c r="I186" s="7"/>
      <c r="J186" s="216"/>
      <c r="K186" s="216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ht="15.75" customHeight="1">
      <c r="A187" s="7"/>
      <c r="B187" s="7"/>
      <c r="C187" s="7"/>
      <c r="D187" s="7"/>
      <c r="E187" s="7"/>
      <c r="F187" s="7"/>
      <c r="G187" s="216"/>
      <c r="H187" s="7"/>
      <c r="I187" s="7"/>
      <c r="J187" s="216"/>
      <c r="K187" s="216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ht="15.75" customHeight="1">
      <c r="A188" s="7"/>
      <c r="B188" s="7"/>
      <c r="C188" s="7"/>
      <c r="D188" s="7"/>
      <c r="E188" s="7"/>
      <c r="F188" s="7"/>
      <c r="G188" s="216"/>
      <c r="H188" s="7"/>
      <c r="I188" s="7"/>
      <c r="J188" s="216"/>
      <c r="K188" s="216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ht="15.75" customHeight="1">
      <c r="A189" s="7"/>
      <c r="B189" s="7"/>
      <c r="C189" s="7"/>
      <c r="D189" s="7"/>
      <c r="E189" s="7"/>
      <c r="F189" s="7"/>
      <c r="G189" s="216"/>
      <c r="H189" s="7"/>
      <c r="I189" s="7"/>
      <c r="J189" s="216"/>
      <c r="K189" s="216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ht="15.75" customHeight="1">
      <c r="A190" s="7"/>
      <c r="B190" s="7"/>
      <c r="C190" s="7"/>
      <c r="D190" s="7"/>
      <c r="E190" s="7"/>
      <c r="F190" s="7"/>
      <c r="G190" s="216"/>
      <c r="H190" s="7"/>
      <c r="I190" s="7"/>
      <c r="J190" s="216"/>
      <c r="K190" s="216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ht="15.75" customHeight="1">
      <c r="A191" s="7"/>
      <c r="B191" s="7"/>
      <c r="C191" s="7"/>
      <c r="D191" s="7"/>
      <c r="E191" s="7"/>
      <c r="F191" s="7"/>
      <c r="G191" s="216"/>
      <c r="H191" s="7"/>
      <c r="I191" s="7"/>
      <c r="J191" s="216"/>
      <c r="K191" s="216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 ht="15.75" customHeight="1">
      <c r="A192" s="7"/>
      <c r="B192" s="7"/>
      <c r="C192" s="7"/>
      <c r="D192" s="7"/>
      <c r="E192" s="7"/>
      <c r="F192" s="7"/>
      <c r="G192" s="216"/>
      <c r="H192" s="7"/>
      <c r="I192" s="7"/>
      <c r="J192" s="216"/>
      <c r="K192" s="216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 ht="15.75" customHeight="1">
      <c r="A193" s="7"/>
      <c r="B193" s="7"/>
      <c r="C193" s="7"/>
      <c r="D193" s="7"/>
      <c r="E193" s="7"/>
      <c r="F193" s="7"/>
      <c r="G193" s="216"/>
      <c r="H193" s="7"/>
      <c r="I193" s="7"/>
      <c r="J193" s="216"/>
      <c r="K193" s="216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ht="15.75" customHeight="1">
      <c r="A194" s="7"/>
      <c r="B194" s="7"/>
      <c r="C194" s="7"/>
      <c r="D194" s="7"/>
      <c r="E194" s="7"/>
      <c r="F194" s="7"/>
      <c r="G194" s="216"/>
      <c r="H194" s="7"/>
      <c r="I194" s="7"/>
      <c r="J194" s="216"/>
      <c r="K194" s="216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ht="15.75" customHeight="1">
      <c r="A195" s="7"/>
      <c r="B195" s="7"/>
      <c r="C195" s="7"/>
      <c r="D195" s="7"/>
      <c r="E195" s="7"/>
      <c r="F195" s="7"/>
      <c r="G195" s="216"/>
      <c r="H195" s="7"/>
      <c r="I195" s="7"/>
      <c r="J195" s="216"/>
      <c r="K195" s="216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ht="15.75" customHeight="1">
      <c r="A196" s="7"/>
      <c r="B196" s="7"/>
      <c r="C196" s="7"/>
      <c r="D196" s="7"/>
      <c r="E196" s="7"/>
      <c r="F196" s="7"/>
      <c r="G196" s="216"/>
      <c r="H196" s="7"/>
      <c r="I196" s="7"/>
      <c r="J196" s="216"/>
      <c r="K196" s="216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ht="15.75" customHeight="1">
      <c r="A197" s="7"/>
      <c r="B197" s="7"/>
      <c r="C197" s="7"/>
      <c r="D197" s="7"/>
      <c r="E197" s="7"/>
      <c r="F197" s="7"/>
      <c r="G197" s="216"/>
      <c r="H197" s="7"/>
      <c r="I197" s="7"/>
      <c r="J197" s="216"/>
      <c r="K197" s="216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ht="15.75" customHeight="1">
      <c r="A198" s="7"/>
      <c r="B198" s="7"/>
      <c r="C198" s="7"/>
      <c r="D198" s="7"/>
      <c r="E198" s="7"/>
      <c r="F198" s="7"/>
      <c r="G198" s="216"/>
      <c r="H198" s="7"/>
      <c r="I198" s="7"/>
      <c r="J198" s="216"/>
      <c r="K198" s="216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ht="15.75" customHeight="1">
      <c r="A199" s="7"/>
      <c r="B199" s="7"/>
      <c r="C199" s="7"/>
      <c r="D199" s="7"/>
      <c r="E199" s="7"/>
      <c r="F199" s="7"/>
      <c r="G199" s="21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ht="15.75" customHeight="1">
      <c r="A200" s="7"/>
      <c r="B200" s="7"/>
      <c r="C200" s="7"/>
      <c r="D200" s="7"/>
      <c r="E200" s="7"/>
      <c r="F200" s="7"/>
      <c r="G200" s="21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ht="15.75" customHeight="1">
      <c r="A201" s="7"/>
      <c r="B201" s="7"/>
      <c r="C201" s="7"/>
      <c r="D201" s="7"/>
      <c r="E201" s="7"/>
      <c r="F201" s="7"/>
      <c r="G201" s="21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ht="15.75" customHeight="1">
      <c r="A202" s="7"/>
      <c r="B202" s="7"/>
      <c r="C202" s="7"/>
      <c r="D202" s="7"/>
      <c r="E202" s="7"/>
      <c r="F202" s="7"/>
      <c r="G202" s="21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ht="15.75" customHeight="1">
      <c r="A203" s="7"/>
      <c r="B203" s="7"/>
      <c r="C203" s="7"/>
      <c r="D203" s="7"/>
      <c r="E203" s="7"/>
      <c r="F203" s="7"/>
      <c r="G203" s="21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ht="15.75" customHeight="1">
      <c r="A204" s="7"/>
      <c r="B204" s="7"/>
      <c r="C204" s="7"/>
      <c r="D204" s="7"/>
      <c r="E204" s="7"/>
      <c r="F204" s="7"/>
      <c r="G204" s="21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 ht="15.75" customHeight="1">
      <c r="A205" s="7"/>
      <c r="B205" s="7"/>
      <c r="C205" s="7"/>
      <c r="D205" s="7"/>
      <c r="E205" s="7"/>
      <c r="F205" s="7"/>
      <c r="G205" s="21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ht="15.75" customHeight="1">
      <c r="A206" s="7"/>
      <c r="B206" s="7"/>
      <c r="C206" s="7"/>
      <c r="D206" s="7"/>
      <c r="E206" s="7"/>
      <c r="F206" s="7"/>
      <c r="G206" s="21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ht="15.75" customHeight="1">
      <c r="A207" s="7"/>
      <c r="B207" s="7"/>
      <c r="C207" s="7"/>
      <c r="D207" s="7"/>
      <c r="E207" s="7"/>
      <c r="F207" s="7"/>
      <c r="G207" s="21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ht="15.75" customHeight="1">
      <c r="A208" s="7"/>
      <c r="B208" s="7"/>
      <c r="C208" s="7"/>
      <c r="D208" s="7"/>
      <c r="E208" s="7"/>
      <c r="F208" s="7"/>
      <c r="G208" s="21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ht="15.75" customHeight="1">
      <c r="A209" s="7"/>
      <c r="B209" s="7"/>
      <c r="C209" s="7"/>
      <c r="D209" s="7"/>
      <c r="E209" s="7"/>
      <c r="F209" s="7"/>
      <c r="G209" s="21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ht="15.75" customHeight="1">
      <c r="A210" s="7"/>
      <c r="B210" s="7"/>
      <c r="C210" s="7"/>
      <c r="D210" s="7"/>
      <c r="E210" s="7"/>
      <c r="F210" s="7"/>
      <c r="G210" s="21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ht="15.75" customHeight="1">
      <c r="A211" s="7"/>
      <c r="B211" s="7"/>
      <c r="C211" s="7"/>
      <c r="D211" s="7"/>
      <c r="E211" s="7"/>
      <c r="F211" s="7"/>
      <c r="G211" s="21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ht="15.75" customHeight="1">
      <c r="A212" s="7"/>
      <c r="B212" s="7"/>
      <c r="C212" s="7"/>
      <c r="D212" s="7"/>
      <c r="E212" s="7"/>
      <c r="F212" s="7"/>
      <c r="G212" s="21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ht="15.75" customHeight="1">
      <c r="A213" s="7"/>
      <c r="B213" s="7"/>
      <c r="C213" s="7"/>
      <c r="D213" s="7"/>
      <c r="E213" s="7"/>
      <c r="F213" s="7"/>
      <c r="G213" s="21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ht="15.75" customHeight="1">
      <c r="A214" s="7"/>
      <c r="B214" s="7"/>
      <c r="C214" s="7"/>
      <c r="D214" s="7"/>
      <c r="E214" s="7"/>
      <c r="F214" s="7"/>
      <c r="G214" s="21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ht="15.75" customHeight="1">
      <c r="A215" s="7"/>
      <c r="B215" s="7"/>
      <c r="C215" s="7"/>
      <c r="D215" s="7"/>
      <c r="E215" s="7"/>
      <c r="F215" s="7"/>
      <c r="G215" s="21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ht="15.75" customHeight="1">
      <c r="A216" s="7"/>
      <c r="B216" s="7"/>
      <c r="C216" s="7"/>
      <c r="D216" s="7"/>
      <c r="E216" s="7"/>
      <c r="F216" s="7"/>
      <c r="G216" s="21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ht="15.75" customHeight="1">
      <c r="A217" s="7"/>
      <c r="B217" s="7"/>
      <c r="C217" s="7"/>
      <c r="D217" s="7"/>
      <c r="E217" s="7"/>
      <c r="F217" s="7"/>
      <c r="G217" s="21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ht="15.75" customHeight="1">
      <c r="A218" s="7"/>
      <c r="B218" s="7"/>
      <c r="C218" s="7"/>
      <c r="D218" s="7"/>
      <c r="E218" s="7"/>
      <c r="F218" s="7"/>
      <c r="G218" s="21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ht="15.75" customHeight="1">
      <c r="A219" s="7"/>
      <c r="B219" s="7"/>
      <c r="C219" s="7"/>
      <c r="D219" s="7"/>
      <c r="E219" s="7"/>
      <c r="F219" s="7"/>
      <c r="G219" s="21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ht="15.75" customHeight="1">
      <c r="A220" s="7"/>
      <c r="B220" s="7"/>
      <c r="C220" s="7"/>
      <c r="D220" s="7"/>
      <c r="E220" s="7"/>
      <c r="F220" s="7"/>
      <c r="G220" s="21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 ht="15.75" customHeight="1">
      <c r="A221" s="7"/>
      <c r="B221" s="7"/>
      <c r="C221" s="7"/>
      <c r="D221" s="7"/>
      <c r="E221" s="7"/>
      <c r="F221" s="7"/>
      <c r="G221" s="21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 ht="15.75" customHeight="1">
      <c r="A222" s="7"/>
      <c r="B222" s="7"/>
      <c r="C222" s="7"/>
      <c r="D222" s="7"/>
      <c r="E222" s="7"/>
      <c r="F222" s="7"/>
      <c r="G222" s="21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ht="15.75" customHeight="1">
      <c r="A223" s="7"/>
      <c r="B223" s="7"/>
      <c r="C223" s="7"/>
      <c r="D223" s="7"/>
      <c r="E223" s="7"/>
      <c r="F223" s="7"/>
      <c r="G223" s="21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ht="15.75" customHeight="1">
      <c r="A224" s="7"/>
      <c r="B224" s="7"/>
      <c r="C224" s="7"/>
      <c r="D224" s="7"/>
      <c r="E224" s="7"/>
      <c r="F224" s="7"/>
      <c r="G224" s="21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ht="15.75" customHeight="1">
      <c r="A225" s="7"/>
      <c r="B225" s="7"/>
      <c r="C225" s="7"/>
      <c r="D225" s="7"/>
      <c r="E225" s="7"/>
      <c r="F225" s="7"/>
      <c r="G225" s="216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ht="15.75" customHeight="1">
      <c r="A226" s="7"/>
      <c r="B226" s="7"/>
      <c r="C226" s="7"/>
      <c r="D226" s="7"/>
      <c r="E226" s="7"/>
      <c r="F226" s="7"/>
      <c r="G226" s="216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ht="15.75" customHeight="1">
      <c r="A227" s="7"/>
      <c r="B227" s="7"/>
      <c r="C227" s="7"/>
      <c r="D227" s="7"/>
      <c r="E227" s="7"/>
      <c r="F227" s="7"/>
      <c r="G227" s="216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ht="15.75" customHeight="1">
      <c r="A228" s="7"/>
      <c r="B228" s="7"/>
      <c r="C228" s="7"/>
      <c r="D228" s="7"/>
      <c r="E228" s="7"/>
      <c r="F228" s="7"/>
      <c r="G228" s="21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ht="15.75" customHeight="1">
      <c r="A229" s="7"/>
      <c r="B229" s="7"/>
      <c r="C229" s="7"/>
      <c r="D229" s="7"/>
      <c r="E229" s="7"/>
      <c r="F229" s="7"/>
      <c r="G229" s="216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ht="15.75" customHeight="1">
      <c r="A230" s="7"/>
      <c r="B230" s="7"/>
      <c r="C230" s="7"/>
      <c r="D230" s="7"/>
      <c r="E230" s="7"/>
      <c r="F230" s="7"/>
      <c r="G230" s="216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ht="15.75" customHeight="1">
      <c r="A231" s="7"/>
      <c r="B231" s="7"/>
      <c r="C231" s="7"/>
      <c r="D231" s="7"/>
      <c r="E231" s="7"/>
      <c r="F231" s="7"/>
      <c r="G231" s="216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ht="15.75" customHeight="1">
      <c r="A232" s="7"/>
      <c r="B232" s="7"/>
      <c r="C232" s="7"/>
      <c r="D232" s="7"/>
      <c r="E232" s="7"/>
      <c r="F232" s="7"/>
      <c r="G232" s="21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ht="15.75" customHeight="1">
      <c r="A233" s="7"/>
      <c r="B233" s="7"/>
      <c r="C233" s="7"/>
      <c r="D233" s="7"/>
      <c r="E233" s="7"/>
      <c r="F233" s="7"/>
      <c r="G233" s="21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 ht="15.75" customHeight="1">
      <c r="A234" s="7"/>
      <c r="B234" s="7"/>
      <c r="C234" s="7"/>
      <c r="D234" s="7"/>
      <c r="E234" s="7"/>
      <c r="F234" s="7"/>
      <c r="G234" s="21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ht="15.75" customHeight="1">
      <c r="A235" s="7"/>
      <c r="B235" s="7"/>
      <c r="C235" s="7"/>
      <c r="D235" s="7"/>
      <c r="E235" s="7"/>
      <c r="F235" s="7"/>
      <c r="G235" s="21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ht="15.75" customHeight="1">
      <c r="A236" s="7"/>
      <c r="B236" s="7"/>
      <c r="C236" s="7"/>
      <c r="D236" s="7"/>
      <c r="E236" s="7"/>
      <c r="F236" s="7"/>
      <c r="G236" s="21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ht="15.75" customHeight="1">
      <c r="A237" s="7"/>
      <c r="B237" s="7"/>
      <c r="C237" s="7"/>
      <c r="D237" s="7"/>
      <c r="E237" s="7"/>
      <c r="F237" s="7"/>
      <c r="G237" s="21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ht="15.75" customHeight="1">
      <c r="A238" s="7"/>
      <c r="B238" s="7"/>
      <c r="C238" s="7"/>
      <c r="D238" s="7"/>
      <c r="E238" s="7"/>
      <c r="F238" s="7"/>
      <c r="G238" s="216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ht="15.75" customHeight="1">
      <c r="A239" s="7"/>
      <c r="B239" s="7"/>
      <c r="C239" s="7"/>
      <c r="D239" s="7"/>
      <c r="E239" s="7"/>
      <c r="F239" s="7"/>
      <c r="G239" s="21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ht="15.75" customHeight="1">
      <c r="A287" s="7"/>
      <c r="B287" s="7"/>
      <c r="C287" s="7"/>
      <c r="D287" s="7"/>
      <c r="E287" s="7"/>
      <c r="F287" s="7"/>
      <c r="G287" s="216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ht="15.75" customHeight="1">
      <c r="A288" s="7"/>
      <c r="B288" s="7"/>
      <c r="C288" s="7"/>
      <c r="D288" s="7"/>
      <c r="E288" s="7"/>
      <c r="F288" s="7"/>
      <c r="G288" s="216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ht="15.75" customHeight="1">
      <c r="A289" s="7"/>
      <c r="B289" s="7"/>
      <c r="C289" s="7"/>
      <c r="D289" s="7"/>
      <c r="E289" s="7"/>
      <c r="F289" s="7"/>
      <c r="G289" s="216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ht="15.75" customHeight="1">
      <c r="A290" s="7"/>
      <c r="B290" s="7"/>
      <c r="C290" s="7"/>
      <c r="D290" s="7"/>
      <c r="E290" s="7"/>
      <c r="F290" s="7"/>
      <c r="G290" s="216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ht="15.75" customHeight="1">
      <c r="A291" s="7"/>
      <c r="B291" s="7"/>
      <c r="C291" s="7"/>
      <c r="D291" s="7"/>
      <c r="E291" s="7"/>
      <c r="F291" s="7"/>
      <c r="G291" s="216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ht="15.75" customHeight="1">
      <c r="A292" s="7"/>
      <c r="B292" s="7"/>
      <c r="C292" s="7"/>
      <c r="D292" s="7"/>
      <c r="E292" s="7"/>
      <c r="F292" s="7"/>
      <c r="G292" s="216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ht="15.75" customHeight="1">
      <c r="A293" s="7"/>
      <c r="B293" s="7"/>
      <c r="C293" s="7"/>
      <c r="D293" s="7"/>
      <c r="E293" s="7"/>
      <c r="F293" s="7"/>
      <c r="G293" s="216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ht="15.75" customHeight="1">
      <c r="A294" s="7"/>
      <c r="B294" s="7"/>
      <c r="C294" s="7"/>
      <c r="D294" s="7"/>
      <c r="E294" s="7"/>
      <c r="F294" s="7"/>
      <c r="G294" s="216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ht="15.75" customHeight="1">
      <c r="A295" s="7"/>
      <c r="B295" s="7"/>
      <c r="C295" s="7"/>
      <c r="D295" s="7"/>
      <c r="E295" s="7"/>
      <c r="F295" s="7"/>
      <c r="G295" s="216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ht="15.75" customHeight="1">
      <c r="A296" s="7"/>
      <c r="B296" s="7"/>
      <c r="C296" s="7"/>
      <c r="D296" s="7"/>
      <c r="E296" s="7"/>
      <c r="F296" s="7"/>
      <c r="G296" s="216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ht="15.75" customHeight="1">
      <c r="A297" s="7"/>
      <c r="B297" s="7"/>
      <c r="C297" s="7"/>
      <c r="D297" s="7"/>
      <c r="E297" s="7"/>
      <c r="F297" s="7"/>
      <c r="G297" s="216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ht="15.75" customHeight="1">
      <c r="A298" s="7"/>
      <c r="B298" s="7"/>
      <c r="C298" s="7"/>
      <c r="D298" s="7"/>
      <c r="E298" s="7"/>
      <c r="F298" s="7"/>
      <c r="G298" s="216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ht="15.75" customHeight="1">
      <c r="A299" s="7"/>
      <c r="B299" s="7"/>
      <c r="C299" s="7"/>
      <c r="D299" s="7"/>
      <c r="E299" s="7"/>
      <c r="F299" s="7"/>
      <c r="G299" s="216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ht="15.75" customHeight="1">
      <c r="A300" s="7"/>
      <c r="B300" s="7"/>
      <c r="C300" s="7"/>
      <c r="D300" s="7"/>
      <c r="E300" s="7"/>
      <c r="F300" s="7"/>
      <c r="G300" s="216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ht="15.75" customHeight="1">
      <c r="A301" s="7"/>
      <c r="B301" s="7"/>
      <c r="C301" s="7"/>
      <c r="D301" s="7"/>
      <c r="E301" s="7"/>
      <c r="F301" s="7"/>
      <c r="G301" s="216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ht="15.75" customHeight="1">
      <c r="A302" s="7"/>
      <c r="B302" s="7"/>
      <c r="C302" s="7"/>
      <c r="D302" s="7"/>
      <c r="E302" s="7"/>
      <c r="F302" s="7"/>
      <c r="G302" s="216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ht="15.75" customHeight="1">
      <c r="A303" s="7"/>
      <c r="B303" s="7"/>
      <c r="C303" s="7"/>
      <c r="D303" s="7"/>
      <c r="E303" s="7"/>
      <c r="F303" s="7"/>
      <c r="G303" s="216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ht="15.75" customHeight="1">
      <c r="A304" s="7"/>
      <c r="B304" s="7"/>
      <c r="C304" s="7"/>
      <c r="D304" s="7"/>
      <c r="E304" s="7"/>
      <c r="F304" s="7"/>
      <c r="G304" s="216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ht="15.75" customHeight="1">
      <c r="A305" s="7"/>
      <c r="B305" s="7"/>
      <c r="C305" s="7"/>
      <c r="D305" s="7"/>
      <c r="E305" s="7"/>
      <c r="F305" s="7"/>
      <c r="G305" s="216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ht="15.75" customHeight="1">
      <c r="A306" s="7"/>
      <c r="B306" s="7"/>
      <c r="C306" s="7"/>
      <c r="D306" s="7"/>
      <c r="E306" s="7"/>
      <c r="F306" s="7"/>
      <c r="G306" s="216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E1:AE3"/>
    <mergeCell ref="AF1:AF3"/>
    <mergeCell ref="AG1:AG3"/>
    <mergeCell ref="AH1:AH3"/>
    <mergeCell ref="E2:E3"/>
    <mergeCell ref="F2:F3"/>
    <mergeCell ref="G2:G3"/>
    <mergeCell ref="H2:H3"/>
    <mergeCell ref="I2:K2"/>
    <mergeCell ref="L2:M2"/>
    <mergeCell ref="Q2:U2"/>
    <mergeCell ref="V2:X2"/>
    <mergeCell ref="Y2:AA2"/>
    <mergeCell ref="AB2:AD2"/>
    <mergeCell ref="A1:A3"/>
    <mergeCell ref="B1:B3"/>
    <mergeCell ref="C1:D2"/>
    <mergeCell ref="E1:M1"/>
    <mergeCell ref="N1:N3"/>
    <mergeCell ref="O1:O3"/>
    <mergeCell ref="Q1:AD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3.86"/>
    <col customWidth="1" min="2" max="2" width="31.0"/>
    <col customWidth="1" min="3" max="3" width="10.29"/>
    <col customWidth="1" min="4" max="4" width="9.57"/>
    <col customWidth="1" min="5" max="5" width="8.29"/>
    <col customWidth="1" min="6" max="8" width="9.14"/>
  </cols>
  <sheetData>
    <row r="1">
      <c r="A1" s="2" t="s">
        <v>1</v>
      </c>
      <c r="B1" s="6"/>
      <c r="C1" s="9" t="s">
        <v>9</v>
      </c>
      <c r="D1" s="15" t="s">
        <v>11</v>
      </c>
      <c r="E1" s="15" t="s">
        <v>17</v>
      </c>
      <c r="F1" s="15" t="s">
        <v>19</v>
      </c>
      <c r="G1" s="7"/>
      <c r="H1" s="7"/>
    </row>
    <row r="2">
      <c r="A2" s="23" t="s">
        <v>0</v>
      </c>
      <c r="B2" s="23" t="s">
        <v>21</v>
      </c>
      <c r="C2" s="25"/>
      <c r="D2" s="25"/>
      <c r="E2" s="25"/>
      <c r="F2" s="25"/>
      <c r="G2" s="7"/>
      <c r="H2" s="7"/>
    </row>
    <row r="3">
      <c r="A3" s="28">
        <v>0.0</v>
      </c>
      <c r="B3" s="30" t="s">
        <v>23</v>
      </c>
      <c r="C3" s="33">
        <v>46268.0</v>
      </c>
      <c r="D3" s="39">
        <f>'PL Cronograma General'!K2</f>
        <v>0</v>
      </c>
      <c r="E3" s="39" t="s">
        <v>33</v>
      </c>
      <c r="F3" s="47">
        <f t="shared" ref="F3:F5" si="1">E3-D3</f>
        <v>0</v>
      </c>
      <c r="G3" s="7"/>
      <c r="H3" s="7"/>
      <c r="I3" s="51"/>
    </row>
    <row r="4">
      <c r="A4" s="28">
        <v>1.0</v>
      </c>
      <c r="B4" s="54" t="s">
        <v>38</v>
      </c>
      <c r="C4" s="33">
        <v>46275.0</v>
      </c>
      <c r="D4" s="39">
        <f>'PL Cronograma detallado'!H29</f>
        <v>0.04995693368</v>
      </c>
      <c r="E4" s="39">
        <f>'R Cronograma detallado'!O22</f>
        <v>0.03273040482</v>
      </c>
      <c r="F4" s="47">
        <f t="shared" si="1"/>
        <v>-0.01722652885</v>
      </c>
      <c r="G4" s="63"/>
      <c r="H4" s="66"/>
      <c r="I4" s="51"/>
    </row>
    <row r="5">
      <c r="A5" s="28">
        <v>2.0</v>
      </c>
      <c r="B5" s="54" t="s">
        <v>47</v>
      </c>
      <c r="C5" s="33">
        <v>46289.0</v>
      </c>
      <c r="D5" s="39">
        <f>'PL Cronograma detallado'!H79</f>
        <v>0.2592592593</v>
      </c>
      <c r="E5" s="39">
        <f>'R Cronograma detallado'!O47</f>
        <v>0.09646856158</v>
      </c>
      <c r="F5" s="47">
        <f t="shared" si="1"/>
        <v>-0.1627906977</v>
      </c>
      <c r="G5" s="63"/>
      <c r="H5" s="7"/>
      <c r="I5" s="75"/>
    </row>
    <row r="6">
      <c r="A6" s="28">
        <v>3.0</v>
      </c>
      <c r="B6" s="54" t="s">
        <v>51</v>
      </c>
      <c r="C6" s="33">
        <v>46310.0</v>
      </c>
      <c r="D6" s="39">
        <f>'PL Cronograma detallado'!H145</f>
        <v>0.5288544358</v>
      </c>
      <c r="E6" s="39"/>
      <c r="F6" s="39"/>
      <c r="G6" s="63"/>
      <c r="H6" s="7"/>
      <c r="I6" s="51"/>
    </row>
    <row r="7">
      <c r="A7" s="80">
        <v>4.0</v>
      </c>
      <c r="B7" s="54" t="s">
        <v>52</v>
      </c>
      <c r="C7" s="33">
        <v>46331.0</v>
      </c>
      <c r="D7" s="47">
        <f>'PL Cronograma detallado'!H185</f>
        <v>0.7174849268</v>
      </c>
      <c r="E7" s="39"/>
      <c r="F7" s="47"/>
      <c r="G7" s="84"/>
      <c r="H7" s="7"/>
      <c r="I7" s="51"/>
    </row>
    <row r="8">
      <c r="A8" s="80">
        <v>5.0</v>
      </c>
      <c r="B8" s="54" t="s">
        <v>53</v>
      </c>
      <c r="C8" s="33">
        <v>46352.0</v>
      </c>
      <c r="D8" s="47">
        <f>'PL Cronograma detallado'!H212</f>
        <v>0.8975021533</v>
      </c>
      <c r="E8" s="39"/>
      <c r="F8" s="47"/>
      <c r="G8" s="63"/>
      <c r="H8" s="7"/>
      <c r="I8" s="90"/>
    </row>
    <row r="9">
      <c r="A9" s="28">
        <v>6.0</v>
      </c>
      <c r="B9" s="54" t="s">
        <v>56</v>
      </c>
      <c r="C9" s="33">
        <v>46367.0</v>
      </c>
      <c r="D9" s="39">
        <f>'PL Cronograma detallado'!H238</f>
        <v>1</v>
      </c>
      <c r="E9" s="39"/>
      <c r="F9" s="47"/>
      <c r="G9" s="63"/>
      <c r="H9" s="7"/>
      <c r="I9" s="51"/>
    </row>
    <row r="10">
      <c r="A10" s="7"/>
      <c r="B10" s="7"/>
      <c r="C10" s="7"/>
      <c r="D10" s="7"/>
      <c r="E10" s="7"/>
      <c r="F10" s="7"/>
      <c r="G10" s="7"/>
      <c r="H10" s="7"/>
    </row>
    <row r="11">
      <c r="A11" s="7"/>
      <c r="B11" s="7"/>
      <c r="C11" s="7"/>
      <c r="D11" s="7"/>
      <c r="E11" s="7"/>
      <c r="F11" s="7"/>
      <c r="G11" s="7"/>
      <c r="H11" s="7"/>
    </row>
    <row r="12">
      <c r="A12" s="7"/>
      <c r="B12" s="7"/>
      <c r="C12" s="7"/>
      <c r="D12" s="7"/>
      <c r="E12" s="7"/>
      <c r="F12" s="7"/>
      <c r="G12" s="7"/>
      <c r="H12" s="7"/>
    </row>
    <row r="13">
      <c r="A13" s="96"/>
      <c r="B13" s="7"/>
      <c r="C13" s="7"/>
      <c r="D13" s="7"/>
      <c r="E13" s="7"/>
      <c r="F13" s="7"/>
      <c r="G13" s="7"/>
    </row>
    <row r="14">
      <c r="A14" s="96"/>
      <c r="B14" s="7"/>
      <c r="C14" s="7"/>
      <c r="D14" s="7"/>
      <c r="E14" s="7"/>
      <c r="F14" s="7"/>
      <c r="G14" s="7"/>
      <c r="H14" s="7"/>
    </row>
    <row r="15">
      <c r="A15" s="96"/>
      <c r="B15" s="96"/>
      <c r="C15" s="99"/>
      <c r="D15" s="99"/>
      <c r="E15" s="96"/>
      <c r="F15" s="96"/>
      <c r="G15" s="7"/>
      <c r="H15" s="7"/>
    </row>
    <row r="16">
      <c r="A16" s="96"/>
      <c r="B16" s="96"/>
      <c r="C16" s="101"/>
      <c r="D16" s="102"/>
      <c r="E16" s="102"/>
      <c r="F16" s="102"/>
      <c r="G16" s="7"/>
      <c r="H16" s="7"/>
    </row>
    <row r="17">
      <c r="A17" s="96"/>
      <c r="B17" s="96"/>
      <c r="C17" s="101"/>
      <c r="D17" s="102"/>
      <c r="E17" s="102"/>
      <c r="F17" s="102"/>
      <c r="G17" s="7"/>
      <c r="H17" s="7"/>
    </row>
    <row r="18">
      <c r="A18" s="96"/>
      <c r="B18" s="96"/>
      <c r="C18" s="104"/>
      <c r="D18" s="102"/>
      <c r="E18" s="102"/>
      <c r="F18" s="102"/>
      <c r="G18" s="7"/>
      <c r="H18" s="7"/>
    </row>
    <row r="19" ht="15.75" customHeight="1">
      <c r="A19" s="96"/>
      <c r="B19" s="96"/>
      <c r="C19" s="101"/>
      <c r="D19" s="102"/>
      <c r="E19" s="102"/>
      <c r="F19" s="102"/>
      <c r="G19" s="7"/>
      <c r="H19" s="7"/>
    </row>
    <row r="20" ht="15.75" customHeight="1">
      <c r="A20" s="96"/>
      <c r="B20" s="96"/>
      <c r="C20" s="101"/>
      <c r="D20" s="102"/>
      <c r="E20" s="102"/>
      <c r="F20" s="102"/>
      <c r="G20" s="7"/>
      <c r="H20" s="7"/>
    </row>
    <row r="21" ht="15.75" customHeight="1">
      <c r="A21" s="7"/>
      <c r="B21" s="96"/>
      <c r="C21" s="101"/>
      <c r="D21" s="102"/>
      <c r="E21" s="102"/>
      <c r="F21" s="102"/>
      <c r="G21" s="7"/>
      <c r="H21" s="7"/>
    </row>
    <row r="22" ht="15.75" customHeight="1">
      <c r="A22" s="7"/>
      <c r="B22" s="96"/>
      <c r="C22" s="101"/>
      <c r="D22" s="102"/>
      <c r="E22" s="102"/>
      <c r="F22" s="102"/>
      <c r="G22" s="7"/>
      <c r="H22" s="7"/>
    </row>
    <row r="23" ht="15.75" customHeight="1">
      <c r="A23" s="7"/>
      <c r="B23" s="7"/>
      <c r="C23" s="7"/>
      <c r="D23" s="7"/>
      <c r="E23" s="7"/>
      <c r="F23" s="7"/>
      <c r="G23" s="7"/>
      <c r="H23" s="7"/>
    </row>
    <row r="24" ht="15.75" customHeight="1">
      <c r="A24" s="7"/>
      <c r="B24" s="7"/>
      <c r="C24" s="7"/>
      <c r="D24" s="7"/>
      <c r="E24" s="7"/>
      <c r="F24" s="7"/>
      <c r="G24" s="7"/>
      <c r="H24" s="7"/>
    </row>
    <row r="25" ht="15.75" customHeight="1">
      <c r="A25" s="7"/>
      <c r="B25" s="7"/>
      <c r="C25" s="7"/>
      <c r="D25" s="7"/>
      <c r="E25" s="7"/>
      <c r="F25" s="7"/>
      <c r="G25" s="7"/>
      <c r="H25" s="7"/>
    </row>
    <row r="26" ht="15.75" customHeight="1">
      <c r="A26" s="7"/>
      <c r="B26" s="7"/>
      <c r="C26" s="7"/>
      <c r="D26" s="7"/>
      <c r="E26" s="7"/>
      <c r="F26" s="7"/>
      <c r="G26" s="7"/>
      <c r="H26" s="7"/>
    </row>
    <row r="27" ht="15.75" customHeight="1">
      <c r="A27" s="7"/>
      <c r="B27" s="7"/>
      <c r="C27" s="7"/>
      <c r="D27" s="7"/>
      <c r="E27" s="7"/>
      <c r="F27" s="7"/>
      <c r="G27" s="7"/>
      <c r="H27" s="7"/>
    </row>
    <row r="28" ht="15.75" customHeight="1">
      <c r="A28" s="7"/>
      <c r="B28" s="7"/>
      <c r="C28" s="7"/>
      <c r="D28" s="7"/>
      <c r="E28" s="7"/>
      <c r="F28" s="7"/>
      <c r="G28" s="7"/>
      <c r="H28" s="7"/>
    </row>
    <row r="29" ht="15.75" customHeight="1">
      <c r="A29" s="7"/>
      <c r="B29" s="7"/>
      <c r="C29" s="7"/>
      <c r="D29" s="7"/>
      <c r="E29" s="7"/>
      <c r="F29" s="7"/>
      <c r="G29" s="7"/>
      <c r="H29" s="7"/>
    </row>
    <row r="30" ht="15.75" customHeight="1">
      <c r="A30" s="7"/>
      <c r="B30" s="7"/>
      <c r="C30" s="7"/>
      <c r="D30" s="7"/>
      <c r="E30" s="7"/>
      <c r="F30" s="7"/>
      <c r="G30" s="7"/>
      <c r="H30" s="7"/>
    </row>
    <row r="31" ht="15.75" customHeight="1">
      <c r="A31" s="7"/>
      <c r="B31" s="7"/>
      <c r="C31" s="7"/>
      <c r="D31" s="7"/>
      <c r="E31" s="7"/>
      <c r="F31" s="7"/>
      <c r="G31" s="7"/>
      <c r="H31" s="7"/>
    </row>
    <row r="32" ht="15.75" customHeight="1">
      <c r="A32" s="7"/>
      <c r="B32" s="7"/>
      <c r="C32" s="7"/>
      <c r="D32" s="7"/>
      <c r="E32" s="7"/>
      <c r="F32" s="7"/>
      <c r="G32" s="7"/>
      <c r="H32" s="7"/>
    </row>
    <row r="33" ht="15.75" customHeight="1">
      <c r="A33" s="7"/>
      <c r="B33" s="7"/>
      <c r="C33" s="7"/>
      <c r="D33" s="7"/>
      <c r="E33" s="7"/>
      <c r="F33" s="7"/>
      <c r="G33" s="7"/>
      <c r="H33" s="7"/>
    </row>
    <row r="34" ht="15.75" customHeight="1">
      <c r="A34" s="7"/>
      <c r="B34" s="7"/>
      <c r="C34" s="7"/>
      <c r="D34" s="7"/>
      <c r="E34" s="7"/>
      <c r="F34" s="7"/>
      <c r="G34" s="7"/>
      <c r="H34" s="7"/>
    </row>
    <row r="35" ht="15.75" customHeight="1">
      <c r="A35" s="7"/>
      <c r="B35" s="7"/>
      <c r="C35" s="7"/>
      <c r="D35" s="7"/>
      <c r="E35" s="7"/>
      <c r="F35" s="7"/>
      <c r="G35" s="7"/>
      <c r="H35" s="7"/>
    </row>
    <row r="36" ht="15.75" customHeight="1">
      <c r="A36" s="7"/>
      <c r="B36" s="7"/>
      <c r="C36" s="7"/>
      <c r="D36" s="7"/>
      <c r="E36" s="7"/>
      <c r="F36" s="7"/>
      <c r="G36" s="7"/>
      <c r="H36" s="7"/>
    </row>
    <row r="37" ht="15.75" customHeight="1">
      <c r="A37" s="7"/>
      <c r="B37" s="7"/>
      <c r="C37" s="7"/>
      <c r="D37" s="7"/>
      <c r="E37" s="7"/>
      <c r="F37" s="7"/>
      <c r="G37" s="7"/>
      <c r="H37" s="7"/>
    </row>
    <row r="38" ht="15.75" customHeight="1">
      <c r="A38" s="7"/>
      <c r="B38" s="7"/>
      <c r="C38" s="7"/>
      <c r="D38" s="7"/>
      <c r="E38" s="7"/>
      <c r="F38" s="7"/>
      <c r="G38" s="7"/>
      <c r="H38" s="7"/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C1:C2"/>
    <mergeCell ref="D1:D2"/>
    <mergeCell ref="E1:E2"/>
    <mergeCell ref="F1:F2"/>
  </mergeCells>
  <printOptions/>
  <pageMargins bottom="0.75" footer="0.0" header="0.0" left="0.25" right="0.25" top="0.75"/>
  <pageSetup scale="2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.71"/>
    <col customWidth="1" min="2" max="2" width="37.57"/>
    <col customWidth="1" min="3" max="3" width="10.71"/>
    <col customWidth="1" min="4" max="4" width="11.43"/>
    <col customWidth="1" min="5" max="5" width="11.14"/>
    <col customWidth="1" min="6" max="6" width="3.71"/>
    <col customWidth="1" min="7" max="7" width="17.0"/>
    <col customWidth="1" min="8" max="8" width="18.71"/>
    <col customWidth="1" min="9" max="9" width="14.71"/>
    <col customWidth="1" min="10" max="10" width="15.86"/>
    <col customWidth="1" min="11" max="11" width="14.0"/>
    <col customWidth="1" min="12" max="12" width="12.14"/>
  </cols>
  <sheetData>
    <row r="1" ht="29.25" customHeight="1">
      <c r="A1" s="1" t="s">
        <v>0</v>
      </c>
      <c r="B1" s="1" t="s">
        <v>2</v>
      </c>
      <c r="C1" s="4" t="s">
        <v>4</v>
      </c>
      <c r="D1" s="4" t="s">
        <v>5</v>
      </c>
      <c r="E1" s="4" t="s">
        <v>6</v>
      </c>
      <c r="F1" s="4" t="s">
        <v>7</v>
      </c>
      <c r="G1" s="8" t="s">
        <v>8</v>
      </c>
      <c r="H1" s="10" t="s">
        <v>10</v>
      </c>
      <c r="I1" s="8" t="s">
        <v>13</v>
      </c>
      <c r="J1" s="10" t="s">
        <v>14</v>
      </c>
      <c r="K1" s="1" t="s">
        <v>15</v>
      </c>
      <c r="L1" s="1" t="s">
        <v>16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1" t="str">
        <f>'PL Cronograma detallado'!A4</f>
        <v>H0</v>
      </c>
      <c r="B2" s="26" t="str">
        <f>'PL Cronograma detallado'!B4</f>
        <v>Entrega Informe Propuesta inicial (Hito 0)</v>
      </c>
      <c r="C2" s="34">
        <f>'PL Cronograma detallado'!C4</f>
        <v>46268</v>
      </c>
      <c r="D2" s="34">
        <f>'PL Cronograma detallado'!D4</f>
        <v>46268</v>
      </c>
      <c r="E2" s="37">
        <f>'PL Cronograma detallado'!E4</f>
        <v>1</v>
      </c>
      <c r="F2" s="41">
        <f>'PL Cronograma detallado'!F4</f>
        <v>0</v>
      </c>
      <c r="G2" s="42">
        <v>0.0</v>
      </c>
      <c r="H2" s="42">
        <v>0.0</v>
      </c>
      <c r="I2" s="44">
        <v>0.0</v>
      </c>
      <c r="J2" s="44">
        <v>0.0</v>
      </c>
      <c r="K2" s="46">
        <v>0.0</v>
      </c>
      <c r="L2" s="46">
        <v>0.0</v>
      </c>
      <c r="M2" s="4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3" t="str">
        <f>'PL Cronograma detallado'!A5</f>
        <v>1</v>
      </c>
      <c r="B3" s="56" t="str">
        <f>'PL Cronograma detallado'!B5</f>
        <v>Inicio proyecto</v>
      </c>
      <c r="C3" s="60">
        <f>'PL Cronograma detallado'!C5</f>
        <v>46268</v>
      </c>
      <c r="D3" s="60">
        <f>'PL Cronograma detallado'!D5</f>
        <v>46274</v>
      </c>
      <c r="E3" s="67">
        <f>'PL Cronograma detallado'!E5</f>
        <v>7</v>
      </c>
      <c r="F3" s="56">
        <f>'PL Cronograma detallado'!F5</f>
        <v>58</v>
      </c>
      <c r="G3" s="74">
        <f>'PL Cronograma detallado'!I5</f>
        <v>145</v>
      </c>
      <c r="H3" s="74">
        <f>'PL Cronograma detallado'!J5</f>
        <v>145</v>
      </c>
      <c r="I3" s="74">
        <f>'PL Cronograma detallado'!L5</f>
        <v>54.39</v>
      </c>
      <c r="J3" s="74">
        <f>'PL Cronograma detallado'!M5</f>
        <v>54.39</v>
      </c>
      <c r="K3" s="92">
        <f>'PL Cronograma detallado'!H5</f>
        <v>0.04995693368</v>
      </c>
      <c r="L3" s="92">
        <f>'R Cronograma detallado'!O5</f>
        <v>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8" t="str">
        <f>'PL Cronograma detallado'!A29</f>
        <v>H1</v>
      </c>
      <c r="B4" s="103" t="str">
        <f>'PL Cronograma detallado'!B29</f>
        <v>Entrega Informe Propuesta V1 (Hito 1)</v>
      </c>
      <c r="C4" s="107">
        <f>'PL Cronograma detallado'!C29</f>
        <v>46275</v>
      </c>
      <c r="D4" s="107">
        <f>'PL Cronograma detallado'!D29</f>
        <v>46275</v>
      </c>
      <c r="E4" s="109">
        <f>'PL Cronograma detallado'!E29</f>
        <v>1</v>
      </c>
      <c r="F4" s="112">
        <f>'PL Cronograma detallado'!F29</f>
        <v>0</v>
      </c>
      <c r="G4" s="113">
        <f>'PL Cronograma detallado'!I29</f>
        <v>0</v>
      </c>
      <c r="H4" s="113">
        <f>'PL Cronograma detallado'!J29</f>
        <v>145</v>
      </c>
      <c r="I4" s="113">
        <f>'PL Cronograma detallado'!L29</f>
        <v>0</v>
      </c>
      <c r="J4" s="113">
        <f>'PL Cronograma detallado'!M29</f>
        <v>54.39</v>
      </c>
      <c r="K4" s="120">
        <f>'PL Cronograma detallado'!H29</f>
        <v>0.04995693368</v>
      </c>
      <c r="L4" s="124">
        <f>'R Cronograma detallado'!O22</f>
        <v>0.03273040482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3" t="str">
        <f>'PL Cronograma detallado'!A30</f>
        <v>2</v>
      </c>
      <c r="B5" s="129" t="str">
        <f>'PL Cronograma detallado'!B30</f>
        <v>Planificación de Alcances y Diseño de la Arquitectura</v>
      </c>
      <c r="C5" s="60">
        <f>'PL Cronograma detallado'!C30</f>
        <v>46275</v>
      </c>
      <c r="D5" s="60">
        <f>'PL Cronograma detallado'!D30</f>
        <v>46289</v>
      </c>
      <c r="E5" s="67">
        <f>'PL Cronograma detallado'!E30</f>
        <v>15</v>
      </c>
      <c r="F5" s="56">
        <f>'PL Cronograma detallado'!F30</f>
        <v>243</v>
      </c>
      <c r="G5" s="74">
        <f>'PL Cronograma detallado'!I30</f>
        <v>1074</v>
      </c>
      <c r="H5" s="74">
        <f>'PL Cronograma detallado'!J30</f>
        <v>1219</v>
      </c>
      <c r="I5" s="74">
        <f>'PL Cronograma detallado'!L30</f>
        <v>182.68</v>
      </c>
      <c r="J5" s="74">
        <f>'PL Cronograma detallado'!M30</f>
        <v>237.07</v>
      </c>
      <c r="K5" s="92">
        <f>'PL Cronograma detallado'!H30</f>
        <v>0.2592592593</v>
      </c>
      <c r="L5" s="92">
        <f>'R Cronograma detallado'!O23</f>
        <v>0.03273040482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1" t="str">
        <f>'PL Cronograma detallado'!A79</f>
        <v>H2</v>
      </c>
      <c r="B6" s="103" t="str">
        <f>'PL Cronograma detallado'!B79</f>
        <v>Entrega Avance N°1 y Defensa (Hito 2)</v>
      </c>
      <c r="C6" s="107">
        <f>'PL Cronograma detallado'!C79</f>
        <v>46289</v>
      </c>
      <c r="D6" s="107">
        <f>'PL Cronograma detallado'!D79</f>
        <v>46289</v>
      </c>
      <c r="E6" s="109">
        <f>'PL Cronograma detallado'!E79</f>
        <v>1</v>
      </c>
      <c r="F6" s="112">
        <f>'PL Cronograma detallado'!F79</f>
        <v>0</v>
      </c>
      <c r="G6" s="113">
        <f>'PL Cronograma detallado'!I79</f>
        <v>0</v>
      </c>
      <c r="H6" s="113">
        <f>'PL Cronograma detallado'!J79</f>
        <v>1219</v>
      </c>
      <c r="I6" s="113">
        <f>'PL Cronograma detallado'!L79</f>
        <v>0</v>
      </c>
      <c r="J6" s="113">
        <f>'PL Cronograma detallado'!M79</f>
        <v>237.07</v>
      </c>
      <c r="K6" s="120">
        <f>'PL Cronograma detallado'!H79</f>
        <v>0.2592592593</v>
      </c>
      <c r="L6" s="124">
        <f>'R Cronograma detallado'!O47</f>
        <v>0.09646856158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57" t="str">
        <f>'PL Cronograma detallado'!A80</f>
        <v>3</v>
      </c>
      <c r="B7" s="164" t="str">
        <f>'PL Cronograma detallado'!B80</f>
        <v>Construcción del Conocimiento</v>
      </c>
      <c r="C7" s="166">
        <f>'PL Cronograma detallado'!C80</f>
        <v>46290</v>
      </c>
      <c r="D7" s="166">
        <f>'PL Cronograma detallado'!D80</f>
        <v>46310</v>
      </c>
      <c r="E7" s="168">
        <f>'PL Cronograma detallado'!E80</f>
        <v>21</v>
      </c>
      <c r="F7" s="80">
        <f>'PL Cronograma detallado'!F80</f>
        <v>313</v>
      </c>
      <c r="G7" s="172">
        <f>'PL Cronograma detallado'!I80</f>
        <v>785</v>
      </c>
      <c r="H7" s="172">
        <f>'PL Cronograma detallado'!J80</f>
        <v>2004</v>
      </c>
      <c r="I7" s="172">
        <f>'PL Cronograma detallado'!L80</f>
        <v>162.08</v>
      </c>
      <c r="J7" s="172">
        <f>'PL Cronograma detallado'!M80</f>
        <v>399.15</v>
      </c>
      <c r="K7" s="47">
        <f>'PL Cronograma detallado'!H80</f>
        <v>0.5288544358</v>
      </c>
      <c r="L7" s="92">
        <f>'R Cronograma detallado'!O48</f>
        <v>0.09991386736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41" t="str">
        <f>'PL Cronograma detallado'!A145</f>
        <v>H3</v>
      </c>
      <c r="B8" s="103" t="str">
        <f>'PL Cronograma detallado'!B145</f>
        <v>Entrega Avance N°2 y Defensa (Hito 3)</v>
      </c>
      <c r="C8" s="107">
        <f>'PL Cronograma detallado'!C145</f>
        <v>46310</v>
      </c>
      <c r="D8" s="107">
        <f>'PL Cronograma detallado'!D145</f>
        <v>46310</v>
      </c>
      <c r="E8" s="109">
        <f>'PL Cronograma detallado'!E145</f>
        <v>1</v>
      </c>
      <c r="F8" s="112">
        <f>'PL Cronograma detallado'!F145</f>
        <v>0</v>
      </c>
      <c r="G8" s="113">
        <f>'PL Cronograma detallado'!I145</f>
        <v>0</v>
      </c>
      <c r="H8" s="113">
        <f>'PL Cronograma detallado'!J145</f>
        <v>2004</v>
      </c>
      <c r="I8" s="113">
        <f>'PL Cronograma detallado'!L145</f>
        <v>0</v>
      </c>
      <c r="J8" s="113">
        <f>'PL Cronograma detallado'!M145</f>
        <v>399.15</v>
      </c>
      <c r="K8" s="120">
        <f>'PL Cronograma detallado'!H145</f>
        <v>0.5288544358</v>
      </c>
      <c r="L8" s="124">
        <f>'R Cronograma detallado'!O63</f>
        <v>0.1533161068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57" t="str">
        <f>'PL Cronograma detallado'!A146</f>
        <v>4</v>
      </c>
      <c r="B9" s="164" t="str">
        <f>'PL Cronograma detallado'!B146</f>
        <v>Integración de Datos</v>
      </c>
      <c r="C9" s="166">
        <f>'PL Cronograma detallado'!C146</f>
        <v>46311</v>
      </c>
      <c r="D9" s="166">
        <f>'PL Cronograma detallado'!D146</f>
        <v>46331</v>
      </c>
      <c r="E9" s="168">
        <f>'PL Cronograma detallado'!E146</f>
        <v>21</v>
      </c>
      <c r="F9" s="80">
        <f>'PL Cronograma detallado'!F146</f>
        <v>219</v>
      </c>
      <c r="G9" s="172">
        <f>'PL Cronograma detallado'!I146</f>
        <v>351</v>
      </c>
      <c r="H9" s="172">
        <f>'PL Cronograma detallado'!J146</f>
        <v>2355</v>
      </c>
      <c r="I9" s="172">
        <f>'PL Cronograma detallado'!L146</f>
        <v>75.1</v>
      </c>
      <c r="J9" s="172">
        <f>'PL Cronograma detallado'!M146</f>
        <v>474.25</v>
      </c>
      <c r="K9" s="47">
        <f>'PL Cronograma detallado'!H146</f>
        <v>0.7174849268</v>
      </c>
      <c r="L9" s="92">
        <f>'R Cronograma detallado'!O64</f>
        <v>0.1619293712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1" t="str">
        <f>'PL Cronograma detallado'!A185</f>
        <v>H4</v>
      </c>
      <c r="B10" s="103" t="str">
        <f>'PL Cronograma detallado'!B185</f>
        <v>Entrega Avance N°3 y Defensa (Hito 4)</v>
      </c>
      <c r="C10" s="107">
        <f>'PL Cronograma detallado'!C185</f>
        <v>46331</v>
      </c>
      <c r="D10" s="107">
        <f>'PL Cronograma detallado'!D185</f>
        <v>46331</v>
      </c>
      <c r="E10" s="109">
        <f>'PL Cronograma detallado'!E185</f>
        <v>1</v>
      </c>
      <c r="F10" s="112">
        <f>'PL Cronograma detallado'!F185</f>
        <v>0</v>
      </c>
      <c r="G10" s="113">
        <f>'PL Cronograma detallado'!I185</f>
        <v>0</v>
      </c>
      <c r="H10" s="113">
        <f>'PL Cronograma detallado'!J185</f>
        <v>2355</v>
      </c>
      <c r="I10" s="113">
        <f>'PL Cronograma detallado'!L185</f>
        <v>0</v>
      </c>
      <c r="J10" s="113">
        <f>'PL Cronograma detallado'!M185</f>
        <v>474.25</v>
      </c>
      <c r="K10" s="120">
        <f>'PL Cronograma detallado'!H185</f>
        <v>0.7174849268</v>
      </c>
      <c r="L10" s="124">
        <f>'R Cronograma detallado'!O80</f>
        <v>0.2592592593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57" t="str">
        <f>'PL Cronograma detallado'!A186</f>
        <v>5</v>
      </c>
      <c r="B11" s="164" t="str">
        <f>'PL Cronograma detallado'!B186</f>
        <v>Implementación Multiagente</v>
      </c>
      <c r="C11" s="166">
        <f>'PL Cronograma detallado'!C186</f>
        <v>46332</v>
      </c>
      <c r="D11" s="166">
        <f>'PL Cronograma detallado'!D186</f>
        <v>46352</v>
      </c>
      <c r="E11" s="168">
        <f>'PL Cronograma detallado'!E186</f>
        <v>21</v>
      </c>
      <c r="F11" s="80">
        <f>'PL Cronograma detallado'!F186</f>
        <v>209</v>
      </c>
      <c r="G11" s="172">
        <f>'PL Cronograma detallado'!I186</f>
        <v>318</v>
      </c>
      <c r="H11" s="172">
        <f>'PL Cronograma detallado'!J186</f>
        <v>2673</v>
      </c>
      <c r="I11" s="172">
        <f>'PL Cronograma detallado'!L186</f>
        <v>63.59</v>
      </c>
      <c r="J11" s="172">
        <f>'PL Cronograma detallado'!M186</f>
        <v>537.84</v>
      </c>
      <c r="K11" s="47">
        <f>'PL Cronograma detallado'!H186</f>
        <v>0.8975021533</v>
      </c>
      <c r="L11" s="92">
        <f>'R Cronograma detallado'!O81</f>
        <v>0.2592592593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41" t="str">
        <f>'PL Cronograma detallado'!A212</f>
        <v>H5</v>
      </c>
      <c r="B12" s="103" t="str">
        <f>'PL Cronograma detallado'!B212</f>
        <v>Entrega Avance N°4 y Defensa (Hito 5)</v>
      </c>
      <c r="C12" s="107">
        <f>'PL Cronograma detallado'!C212</f>
        <v>46352</v>
      </c>
      <c r="D12" s="107">
        <f>'PL Cronograma detallado'!D212</f>
        <v>46352</v>
      </c>
      <c r="E12" s="109">
        <f>'PL Cronograma detallado'!E212</f>
        <v>1</v>
      </c>
      <c r="F12" s="112">
        <f>'PL Cronograma detallado'!F212</f>
        <v>0</v>
      </c>
      <c r="G12" s="113">
        <f>'PL Cronograma detallado'!I212</f>
        <v>0</v>
      </c>
      <c r="H12" s="113">
        <f>'PL Cronograma detallado'!J212</f>
        <v>2673</v>
      </c>
      <c r="I12" s="113">
        <f>'PL Cronograma detallado'!L212</f>
        <v>0</v>
      </c>
      <c r="J12" s="113">
        <f>'PL Cronograma detallado'!M212</f>
        <v>537.84</v>
      </c>
      <c r="K12" s="120">
        <f>'PL Cronograma detallado'!H212</f>
        <v>0.8975021533</v>
      </c>
      <c r="L12" s="124">
        <f>'R Cronograma detallado'!O97</f>
        <v>0.3057708872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57" t="str">
        <f>'PL Cronograma detallado'!A213</f>
        <v>6</v>
      </c>
      <c r="B13" s="164" t="str">
        <f>'PL Cronograma detallado'!B213</f>
        <v>Generación de Informes y Validación</v>
      </c>
      <c r="C13" s="166">
        <f>'PL Cronograma detallado'!C213</f>
        <v>46353</v>
      </c>
      <c r="D13" s="166">
        <f>'PL Cronograma detallado'!D213</f>
        <v>46367</v>
      </c>
      <c r="E13" s="168">
        <f>'PL Cronograma detallado'!E213</f>
        <v>15</v>
      </c>
      <c r="F13" s="80">
        <f>'PL Cronograma detallado'!F213</f>
        <v>119</v>
      </c>
      <c r="G13" s="172">
        <f>'PL Cronograma detallado'!I213</f>
        <v>235</v>
      </c>
      <c r="H13" s="172">
        <f>'PL Cronograma detallado'!J213</f>
        <v>2908</v>
      </c>
      <c r="I13" s="172">
        <f>'PL Cronograma detallado'!L213</f>
        <v>51.68</v>
      </c>
      <c r="J13" s="172">
        <f>'PL Cronograma detallado'!M213</f>
        <v>589.52</v>
      </c>
      <c r="K13" s="47">
        <f>'PL Cronograma detallado'!H213</f>
        <v>1</v>
      </c>
      <c r="L13" s="92">
        <f>'R Cronograma detallado'!O98</f>
        <v>0.3092161929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1" t="str">
        <f>'PL Cronograma detallado'!A238</f>
        <v>H6</v>
      </c>
      <c r="B14" s="103" t="str">
        <f>'PL Cronograma detallado'!B238</f>
        <v>Entrega Informe Final (Hito 6)</v>
      </c>
      <c r="C14" s="107">
        <f>'PL Cronograma detallado'!C238</f>
        <v>46367</v>
      </c>
      <c r="D14" s="107">
        <f>'PL Cronograma detallado'!D238</f>
        <v>46367</v>
      </c>
      <c r="E14" s="109">
        <f>'PL Cronograma detallado'!E238</f>
        <v>1</v>
      </c>
      <c r="F14" s="112">
        <f>'PL Cronograma detallado'!F238</f>
        <v>0</v>
      </c>
      <c r="G14" s="113">
        <f>'PL Cronograma detallado'!I238</f>
        <v>0</v>
      </c>
      <c r="H14" s="113">
        <f>'PL Cronograma detallado'!J238</f>
        <v>2908</v>
      </c>
      <c r="I14" s="113">
        <f>'PL Cronograma detallado'!L238</f>
        <v>0</v>
      </c>
      <c r="J14" s="113">
        <f>'PL Cronograma detallado'!M238</f>
        <v>589.52</v>
      </c>
      <c r="K14" s="120">
        <f>'PL Cronograma detallado'!H238</f>
        <v>1</v>
      </c>
      <c r="L14" s="124">
        <f>'R Cronograma detallado'!O113</f>
        <v>0.3522825151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8" scale="1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0"/>
    <col customWidth="1" min="2" max="2" width="51.43"/>
    <col customWidth="1" min="3" max="4" width="8.57"/>
    <col customWidth="1" min="5" max="6" width="5.86"/>
    <col customWidth="1" min="7" max="7" width="8.43"/>
    <col customWidth="1" min="8" max="8" width="7.86"/>
    <col customWidth="1" min="9" max="9" width="10.57"/>
    <col customWidth="1" min="10" max="10" width="8.0"/>
    <col customWidth="1" hidden="1" min="11" max="11" width="7.71"/>
    <col customWidth="1" min="12" max="12" width="7.29"/>
    <col customWidth="1" min="13" max="13" width="5.43"/>
    <col customWidth="1" hidden="1" min="14" max="14" width="8.14"/>
    <col customWidth="1" min="15" max="15" width="10.57"/>
    <col customWidth="1" min="16" max="16" width="11.71"/>
    <col customWidth="1" min="17" max="17" width="3.71"/>
    <col customWidth="1" min="18" max="18" width="9.57"/>
    <col customWidth="1" min="19" max="19" width="7.57"/>
    <col customWidth="1" min="20" max="20" width="10.86"/>
    <col customWidth="1" min="21" max="21" width="8.71"/>
    <col customWidth="1" min="22" max="22" width="3.14"/>
    <col customWidth="1" min="23" max="23" width="9.57"/>
    <col customWidth="1" min="24" max="24" width="7.57"/>
    <col customWidth="1" min="25" max="25" width="9.14"/>
    <col customWidth="1" min="26" max="26" width="8.71"/>
    <col customWidth="1" min="27" max="27" width="3.14"/>
    <col customWidth="1" min="28" max="28" width="9.57"/>
    <col customWidth="1" min="29" max="30" width="7.57"/>
    <col customWidth="1" min="31" max="31" width="8.71"/>
    <col customWidth="1" min="32" max="32" width="3.14"/>
    <col customWidth="1" min="33" max="33" width="9.57"/>
    <col customWidth="1" min="34" max="34" width="7.57"/>
  </cols>
  <sheetData>
    <row r="1" outlineLevel="1">
      <c r="A1" s="3" t="s">
        <v>3</v>
      </c>
      <c r="B1" s="5"/>
      <c r="C1" s="5"/>
      <c r="D1" s="7"/>
      <c r="E1" s="3"/>
      <c r="F1" s="7"/>
      <c r="G1" s="7"/>
      <c r="H1" s="7"/>
      <c r="I1" s="7"/>
      <c r="J1" s="7"/>
      <c r="K1" s="7"/>
      <c r="L1" s="7"/>
      <c r="M1" s="7"/>
      <c r="N1" s="7"/>
      <c r="O1" s="11" t="s">
        <v>12</v>
      </c>
      <c r="AH1" s="13"/>
    </row>
    <row r="2" outlineLevel="1">
      <c r="A2" s="17" t="s">
        <v>0</v>
      </c>
      <c r="B2" s="19" t="s">
        <v>2</v>
      </c>
      <c r="C2" s="22" t="s">
        <v>9</v>
      </c>
      <c r="D2" s="31"/>
      <c r="E2" s="19" t="s">
        <v>24</v>
      </c>
      <c r="F2" s="19" t="s">
        <v>7</v>
      </c>
      <c r="G2" s="36" t="s">
        <v>26</v>
      </c>
      <c r="H2" s="36" t="s">
        <v>28</v>
      </c>
      <c r="I2" s="22" t="s">
        <v>31</v>
      </c>
      <c r="J2" s="31"/>
      <c r="K2" s="7"/>
      <c r="L2" s="22" t="s">
        <v>32</v>
      </c>
      <c r="M2" s="31"/>
      <c r="N2" s="7"/>
      <c r="O2" s="43" t="s">
        <v>34</v>
      </c>
      <c r="P2" s="45"/>
      <c r="Q2" s="45"/>
      <c r="R2" s="45"/>
      <c r="S2" s="31"/>
      <c r="T2" s="49" t="s">
        <v>35</v>
      </c>
      <c r="U2" s="20"/>
      <c r="V2" s="20"/>
      <c r="W2" s="20"/>
      <c r="X2" s="6"/>
      <c r="Y2" s="52" t="s">
        <v>36</v>
      </c>
      <c r="Z2" s="20"/>
      <c r="AA2" s="20"/>
      <c r="AB2" s="20"/>
      <c r="AC2" s="6"/>
      <c r="AD2" s="55" t="s">
        <v>39</v>
      </c>
      <c r="AE2" s="20"/>
      <c r="AF2" s="20"/>
      <c r="AG2" s="20"/>
      <c r="AH2" s="6"/>
    </row>
    <row r="3" outlineLevel="1">
      <c r="A3" s="25"/>
      <c r="B3" s="25"/>
      <c r="C3" s="59" t="s">
        <v>4</v>
      </c>
      <c r="D3" s="59" t="s">
        <v>41</v>
      </c>
      <c r="E3" s="25"/>
      <c r="F3" s="25"/>
      <c r="G3" s="25"/>
      <c r="H3" s="25"/>
      <c r="I3" s="59" t="s">
        <v>42</v>
      </c>
      <c r="J3" s="59" t="s">
        <v>43</v>
      </c>
      <c r="K3" s="62" t="s">
        <v>44</v>
      </c>
      <c r="L3" s="59" t="s">
        <v>45</v>
      </c>
      <c r="M3" s="59" t="s">
        <v>43</v>
      </c>
      <c r="N3" s="65" t="s">
        <v>44</v>
      </c>
      <c r="O3" s="68" t="s">
        <v>46</v>
      </c>
      <c r="P3" s="70" t="s">
        <v>48</v>
      </c>
      <c r="Q3" s="68" t="s">
        <v>49</v>
      </c>
      <c r="R3" s="68" t="s">
        <v>50</v>
      </c>
      <c r="S3" s="68" t="s">
        <v>32</v>
      </c>
      <c r="T3" s="73" t="s">
        <v>46</v>
      </c>
      <c r="U3" s="73" t="s">
        <v>48</v>
      </c>
      <c r="V3" s="73" t="s">
        <v>49</v>
      </c>
      <c r="W3" s="73" t="s">
        <v>50</v>
      </c>
      <c r="X3" s="73" t="s">
        <v>32</v>
      </c>
      <c r="Y3" s="77" t="s">
        <v>46</v>
      </c>
      <c r="Z3" s="78" t="s">
        <v>48</v>
      </c>
      <c r="AA3" s="77" t="s">
        <v>49</v>
      </c>
      <c r="AB3" s="77" t="s">
        <v>50</v>
      </c>
      <c r="AC3" s="77" t="s">
        <v>32</v>
      </c>
      <c r="AD3" s="79" t="s">
        <v>46</v>
      </c>
      <c r="AE3" s="82" t="s">
        <v>48</v>
      </c>
      <c r="AF3" s="79" t="s">
        <v>49</v>
      </c>
      <c r="AG3" s="79" t="s">
        <v>50</v>
      </c>
      <c r="AH3" s="79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 t="shared" ref="E4:E238" si="1">D4-C4+1</f>
        <v>1</v>
      </c>
      <c r="F4" s="100">
        <v>0.0</v>
      </c>
      <c r="G4" s="105">
        <f t="shared" ref="G4:G238" si="2"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 t="shared" ref="K4:K238" si="3">J4/$I$239</f>
        <v>0</v>
      </c>
      <c r="L4" s="110">
        <v>0.0</v>
      </c>
      <c r="M4" s="110">
        <f>L4</f>
        <v>0</v>
      </c>
      <c r="N4" s="105">
        <f t="shared" ref="N4:N238" si="4">M4/$L$239</f>
        <v>0</v>
      </c>
      <c r="O4" s="116"/>
      <c r="P4" s="118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8"/>
      <c r="AF4" s="119"/>
      <c r="AG4" s="119"/>
      <c r="AH4" s="119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 t="shared" si="1"/>
        <v>7</v>
      </c>
      <c r="F5" s="131">
        <f>F6+F10+F23</f>
        <v>58</v>
      </c>
      <c r="G5" s="105">
        <f t="shared" si="2"/>
        <v>0.0499569336778639</v>
      </c>
      <c r="H5" s="135">
        <f>H28</f>
        <v>0.0499569336778639</v>
      </c>
      <c r="I5" s="137">
        <f>I6+I10+I23</f>
        <v>119.5</v>
      </c>
      <c r="J5" s="137">
        <f>J28</f>
        <v>119.5</v>
      </c>
      <c r="K5" s="138">
        <f t="shared" si="3"/>
        <v>0.0455672068636797</v>
      </c>
      <c r="L5" s="137">
        <f>L6+L10+L23</f>
        <v>33.78</v>
      </c>
      <c r="M5" s="137">
        <f>M28</f>
        <v>33.78</v>
      </c>
      <c r="N5" s="140">
        <f t="shared" si="4"/>
        <v>0.0756398486307351</v>
      </c>
      <c r="O5" s="142"/>
      <c r="P5" s="144"/>
      <c r="Q5" s="145"/>
      <c r="R5" s="146"/>
      <c r="S5" s="147"/>
      <c r="T5" s="149"/>
      <c r="U5" s="149"/>
      <c r="V5" s="149"/>
      <c r="W5" s="146"/>
      <c r="X5" s="145"/>
      <c r="Y5" s="149"/>
      <c r="Z5" s="149"/>
      <c r="AA5" s="145"/>
      <c r="AB5" s="146"/>
      <c r="AC5" s="145"/>
      <c r="AD5" s="146"/>
      <c r="AE5" s="144"/>
      <c r="AF5" s="145"/>
      <c r="AG5" s="150"/>
      <c r="AH5" s="149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 t="shared" si="1"/>
        <v>3</v>
      </c>
      <c r="F6" s="161">
        <f>SUM(F7:F9)</f>
        <v>8</v>
      </c>
      <c r="G6" s="105">
        <f t="shared" si="2"/>
        <v>0.00689061154177433</v>
      </c>
      <c r="H6" s="163">
        <f>H9</f>
        <v>0.00689061154177433</v>
      </c>
      <c r="I6" s="165">
        <f>SUM(I7:I9)</f>
        <v>15</v>
      </c>
      <c r="J6" s="165">
        <f>J9</f>
        <v>15</v>
      </c>
      <c r="K6" s="167">
        <f t="shared" si="3"/>
        <v>0.00571973307912297</v>
      </c>
      <c r="L6" s="165">
        <f>SUM(L7:L9)</f>
        <v>3.21</v>
      </c>
      <c r="M6" s="165">
        <f>M9</f>
        <v>3.21</v>
      </c>
      <c r="N6" s="170">
        <f t="shared" si="4"/>
        <v>0.00718780089119774</v>
      </c>
      <c r="O6" s="173"/>
      <c r="P6" s="174"/>
      <c r="Q6" s="175"/>
      <c r="R6" s="176"/>
      <c r="S6" s="177"/>
      <c r="T6" s="178"/>
      <c r="U6" s="178"/>
      <c r="V6" s="178"/>
      <c r="W6" s="176"/>
      <c r="X6" s="175"/>
      <c r="Y6" s="178"/>
      <c r="Z6" s="178"/>
      <c r="AA6" s="175"/>
      <c r="AB6" s="176"/>
      <c r="AC6" s="175"/>
      <c r="AD6" s="176"/>
      <c r="AE6" s="174"/>
      <c r="AF6" s="175"/>
      <c r="AG6" s="180"/>
      <c r="AH6" s="178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 t="shared" si="1"/>
        <v>2</v>
      </c>
      <c r="F7" s="185">
        <v>1.0</v>
      </c>
      <c r="G7" s="105">
        <f t="shared" si="2"/>
        <v>0.000861326442721792</v>
      </c>
      <c r="H7" s="186">
        <f>H4+G7</f>
        <v>0.000861326442721792</v>
      </c>
      <c r="I7" s="187">
        <f t="shared" ref="I7:I9" si="5">P7+U7+Z7+AE7</f>
        <v>1</v>
      </c>
      <c r="J7" s="187">
        <f>J4+I7</f>
        <v>1</v>
      </c>
      <c r="K7" s="115">
        <f t="shared" si="3"/>
        <v>0.000381315538608198</v>
      </c>
      <c r="L7" s="191">
        <f t="shared" ref="L7:L9" si="6">S7+X7+AC7+AH7</f>
        <v>0.61</v>
      </c>
      <c r="M7" s="191">
        <f>M4+L7</f>
        <v>0.61</v>
      </c>
      <c r="N7" s="192">
        <f t="shared" si="4"/>
        <v>0.00136590608835845</v>
      </c>
      <c r="O7" s="193">
        <f>P7/$F7</f>
        <v>1</v>
      </c>
      <c r="P7" s="194">
        <v>1.0</v>
      </c>
      <c r="Q7" s="195"/>
      <c r="R7" s="196">
        <f>Roles!$D$2</f>
        <v>0.61</v>
      </c>
      <c r="S7" s="196">
        <f>R7*P7</f>
        <v>0.61</v>
      </c>
      <c r="T7" s="193">
        <f>U7/$F7</f>
        <v>0</v>
      </c>
      <c r="U7" s="197">
        <v>0.0</v>
      </c>
      <c r="V7" s="195"/>
      <c r="W7" s="195">
        <f>Roles!$D$8</f>
        <v>0.09</v>
      </c>
      <c r="X7" s="199">
        <f>MIN(U7,1)*Roles!$D$5+MAX(U7-1,0)*W7</f>
        <v>0</v>
      </c>
      <c r="Y7" s="193">
        <f>Z7/$F7</f>
        <v>0</v>
      </c>
      <c r="Z7" s="197">
        <v>0.0</v>
      </c>
      <c r="AA7" s="195"/>
      <c r="AB7" s="195">
        <f>Roles!$D$7</f>
        <v>0.12</v>
      </c>
      <c r="AC7" s="199">
        <f>MIN(Z7,1)*Roles!$D$4+MAX(Z7-1,0)*AB7</f>
        <v>0</v>
      </c>
      <c r="AD7" s="193">
        <f>AE7/$F7</f>
        <v>0</v>
      </c>
      <c r="AE7" s="197">
        <v>0.0</v>
      </c>
      <c r="AF7" s="200"/>
      <c r="AG7" s="200">
        <f>Roles!$D$6</f>
        <v>0.1</v>
      </c>
      <c r="AH7" s="199">
        <f>MIN(AE7,1)*Roles!$D$3+MAX(AE7-1,0)*AG7</f>
        <v>0</v>
      </c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 t="shared" si="1"/>
        <v>2</v>
      </c>
      <c r="F8" s="80">
        <v>4.0</v>
      </c>
      <c r="G8" s="105">
        <f t="shared" si="2"/>
        <v>0.00344530577088717</v>
      </c>
      <c r="H8" s="47">
        <f t="shared" ref="H8:H9" si="7">H7+G8</f>
        <v>0.00430663221360896</v>
      </c>
      <c r="I8" s="187">
        <f t="shared" si="5"/>
        <v>8</v>
      </c>
      <c r="J8" s="172">
        <f t="shared" ref="J8:J9" si="8">J7+I8</f>
        <v>9</v>
      </c>
      <c r="K8" s="115">
        <f t="shared" si="3"/>
        <v>0.00343183984747378</v>
      </c>
      <c r="L8" s="191">
        <f t="shared" si="6"/>
        <v>1.28</v>
      </c>
      <c r="M8" s="172">
        <f t="shared" ref="M8:M9" si="9">M7+L8</f>
        <v>1.89</v>
      </c>
      <c r="N8" s="47">
        <f t="shared" si="4"/>
        <v>0.00423206968360241</v>
      </c>
      <c r="O8" s="193">
        <f>P8/$F8</f>
        <v>0</v>
      </c>
      <c r="P8" s="206">
        <v>0.0</v>
      </c>
      <c r="Q8" s="195"/>
      <c r="R8" s="196">
        <f>Roles!$D$2</f>
        <v>0.61</v>
      </c>
      <c r="S8" s="196">
        <f>R8*P8</f>
        <v>0</v>
      </c>
      <c r="T8" s="193">
        <f>U8/$F8</f>
        <v>0</v>
      </c>
      <c r="U8" s="197">
        <v>0.0</v>
      </c>
      <c r="V8" s="195"/>
      <c r="W8" s="196">
        <f>Roles!$D$8</f>
        <v>0.09</v>
      </c>
      <c r="X8" s="199">
        <f>MIN(U8,1)*Roles!$D$5+MAX(U8-1,0)*W8</f>
        <v>0</v>
      </c>
      <c r="Y8" s="193">
        <f>Z8/$F8</f>
        <v>2</v>
      </c>
      <c r="Z8" s="197">
        <v>8.0</v>
      </c>
      <c r="AA8" s="195"/>
      <c r="AB8" s="196">
        <f>Roles!$D$7</f>
        <v>0.12</v>
      </c>
      <c r="AC8" s="199">
        <f>MIN(Z8,1)*Roles!$D$4+MAX(Z8-1,0)*AB8</f>
        <v>1.28</v>
      </c>
      <c r="AD8" s="193">
        <f>AE8/$F8</f>
        <v>0</v>
      </c>
      <c r="AE8" s="197">
        <v>0.0</v>
      </c>
      <c r="AF8" s="200"/>
      <c r="AG8" s="208">
        <f>Roles!$D$6</f>
        <v>0.1</v>
      </c>
      <c r="AH8" s="199">
        <f>MIN(AE8,1)*Roles!$D$3+MAX(AE8-1,0)*AG8</f>
        <v>0</v>
      </c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 t="shared" si="1"/>
        <v>2</v>
      </c>
      <c r="F9" s="80">
        <v>3.0</v>
      </c>
      <c r="G9" s="105">
        <f t="shared" si="2"/>
        <v>0.00258397932816538</v>
      </c>
      <c r="H9" s="47">
        <f t="shared" si="7"/>
        <v>0.00689061154177433</v>
      </c>
      <c r="I9" s="187">
        <f t="shared" si="5"/>
        <v>6</v>
      </c>
      <c r="J9" s="172">
        <f t="shared" si="8"/>
        <v>15</v>
      </c>
      <c r="K9" s="115">
        <f t="shared" si="3"/>
        <v>0.00571973307912297</v>
      </c>
      <c r="L9" s="191">
        <f t="shared" si="6"/>
        <v>1.32</v>
      </c>
      <c r="M9" s="172">
        <f t="shared" si="9"/>
        <v>3.21</v>
      </c>
      <c r="N9" s="47">
        <f t="shared" si="4"/>
        <v>0.00718780089119774</v>
      </c>
      <c r="O9" s="193">
        <f>P9/$F9</f>
        <v>0</v>
      </c>
      <c r="P9" s="206">
        <v>0.0</v>
      </c>
      <c r="Q9" s="195"/>
      <c r="R9" s="196">
        <f>Roles!$D$2</f>
        <v>0.61</v>
      </c>
      <c r="S9" s="196">
        <f>R9*P9</f>
        <v>0</v>
      </c>
      <c r="T9" s="193">
        <f>U9/$F9</f>
        <v>0</v>
      </c>
      <c r="U9" s="197">
        <v>0.0</v>
      </c>
      <c r="V9" s="195"/>
      <c r="W9" s="196">
        <f>Roles!$D$8</f>
        <v>0.09</v>
      </c>
      <c r="X9" s="199">
        <f>MIN(U9,1)*Roles!$D$5+MAX(U9-1,0)*W9</f>
        <v>0</v>
      </c>
      <c r="Y9" s="193">
        <f>Z9/$F9</f>
        <v>1</v>
      </c>
      <c r="Z9" s="197">
        <v>3.0</v>
      </c>
      <c r="AA9" s="195"/>
      <c r="AB9" s="196">
        <f>Roles!$D$7</f>
        <v>0.12</v>
      </c>
      <c r="AC9" s="199">
        <f>MIN(Z9,1)*Roles!$D$4+MAX(Z9-1,0)*AB9</f>
        <v>0.68</v>
      </c>
      <c r="AD9" s="193">
        <f>AE9/$F9</f>
        <v>1</v>
      </c>
      <c r="AE9" s="197">
        <v>3.0</v>
      </c>
      <c r="AF9" s="200"/>
      <c r="AG9" s="208">
        <f>Roles!$D$6</f>
        <v>0.1</v>
      </c>
      <c r="AH9" s="199">
        <f>MIN(AE9,1)*Roles!$D$3+MAX(AE9-1,0)*AG9</f>
        <v>0.64</v>
      </c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 t="shared" si="1"/>
        <v>5</v>
      </c>
      <c r="F10" s="161">
        <f>SUM(F11:F22)</f>
        <v>30</v>
      </c>
      <c r="G10" s="105">
        <f t="shared" si="2"/>
        <v>0.0258397932816537</v>
      </c>
      <c r="H10" s="163">
        <f>H22</f>
        <v>0.0327304048234281</v>
      </c>
      <c r="I10" s="213">
        <f>SUM(I11:I22)</f>
        <v>67.5</v>
      </c>
      <c r="J10" s="213">
        <f>J22</f>
        <v>82.5</v>
      </c>
      <c r="K10" s="167">
        <f t="shared" si="3"/>
        <v>0.0314585319351764</v>
      </c>
      <c r="L10" s="215">
        <f>SUM(L11:L22)</f>
        <v>22.95</v>
      </c>
      <c r="M10" s="215">
        <f>M22</f>
        <v>26.16</v>
      </c>
      <c r="N10" s="217">
        <f t="shared" si="4"/>
        <v>0.0585772184777984</v>
      </c>
      <c r="O10" s="173"/>
      <c r="P10" s="174"/>
      <c r="Q10" s="178"/>
      <c r="R10" s="178"/>
      <c r="S10" s="178"/>
      <c r="T10" s="173"/>
      <c r="U10" s="195"/>
      <c r="V10" s="178"/>
      <c r="W10" s="178"/>
      <c r="X10" s="178"/>
      <c r="Y10" s="173"/>
      <c r="Z10" s="195"/>
      <c r="AA10" s="178"/>
      <c r="AB10" s="178"/>
      <c r="AC10" s="178"/>
      <c r="AD10" s="173"/>
      <c r="AE10" s="195"/>
      <c r="AF10" s="180"/>
      <c r="AG10" s="180"/>
      <c r="AH10" s="178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 t="shared" si="1"/>
        <v>1</v>
      </c>
      <c r="F11" s="185">
        <v>1.0</v>
      </c>
      <c r="G11" s="105">
        <f t="shared" si="2"/>
        <v>0.000861326442721792</v>
      </c>
      <c r="H11" s="186">
        <f>H9+G11</f>
        <v>0.00775193798449613</v>
      </c>
      <c r="I11" s="187">
        <f t="shared" ref="I11:I22" si="10">P11+U11+Z11+AE11</f>
        <v>5</v>
      </c>
      <c r="J11" s="187">
        <f>J9+I11</f>
        <v>20</v>
      </c>
      <c r="K11" s="115">
        <f t="shared" si="3"/>
        <v>0.00762631077216397</v>
      </c>
      <c r="L11" s="191">
        <f t="shared" ref="L11:L22" si="11">S11+X11+AC11+AH11</f>
        <v>1.73</v>
      </c>
      <c r="M11" s="191">
        <f>M9+L11</f>
        <v>4.94</v>
      </c>
      <c r="N11" s="192">
        <f t="shared" si="4"/>
        <v>0.0110616001253947</v>
      </c>
      <c r="O11" s="193">
        <f>P11/$F11</f>
        <v>1</v>
      </c>
      <c r="P11" s="194">
        <v>1.0</v>
      </c>
      <c r="Q11" s="195"/>
      <c r="R11" s="196">
        <f>Roles!$D$2</f>
        <v>0.61</v>
      </c>
      <c r="S11" s="196">
        <f>R11*P11</f>
        <v>0.61</v>
      </c>
      <c r="T11" s="193">
        <f>U11/$F11</f>
        <v>1</v>
      </c>
      <c r="U11" s="197">
        <v>1.0</v>
      </c>
      <c r="V11" s="195"/>
      <c r="W11" s="196">
        <f>Roles!$D$8</f>
        <v>0.09</v>
      </c>
      <c r="X11" s="199">
        <f>MIN(U11,1)*Roles!$D$5+MAX(U11-1,0)*W11</f>
        <v>0.44</v>
      </c>
      <c r="Y11" s="193">
        <f>Z11/$F11</f>
        <v>3</v>
      </c>
      <c r="Z11" s="197">
        <v>3.0</v>
      </c>
      <c r="AA11" s="195"/>
      <c r="AB11" s="195">
        <f>Roles!$D$7</f>
        <v>0.12</v>
      </c>
      <c r="AC11" s="199">
        <f>MIN(Z11,1)*Roles!$D$4+MAX(Z11-1,0)*AB11</f>
        <v>0.68</v>
      </c>
      <c r="AD11" s="193">
        <f>AE11/$F11</f>
        <v>0</v>
      </c>
      <c r="AE11" s="197">
        <v>0.0</v>
      </c>
      <c r="AF11" s="200"/>
      <c r="AG11" s="200">
        <f>Roles!$D$6</f>
        <v>0.1</v>
      </c>
      <c r="AH11" s="199">
        <f>MIN(AE11,1)*Roles!$D$3+MAX(AE11-1,0)*AG11</f>
        <v>0</v>
      </c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 t="shared" si="1"/>
        <v>1</v>
      </c>
      <c r="F12" s="185">
        <v>2.0</v>
      </c>
      <c r="G12" s="105">
        <f t="shared" si="2"/>
        <v>0.00172265288544358</v>
      </c>
      <c r="H12" s="186">
        <f t="shared" ref="H12:H22" si="12">H11+G12</f>
        <v>0.00947459086993971</v>
      </c>
      <c r="I12" s="187">
        <f t="shared" si="10"/>
        <v>4</v>
      </c>
      <c r="J12" s="187">
        <f t="shared" ref="J12:J22" si="13">J11+I12</f>
        <v>24</v>
      </c>
      <c r="K12" s="115">
        <f t="shared" si="3"/>
        <v>0.00915157292659676</v>
      </c>
      <c r="L12" s="191">
        <f t="shared" si="11"/>
        <v>1.61</v>
      </c>
      <c r="M12" s="191">
        <f t="shared" ref="M12:M22" si="14">M11+L12</f>
        <v>6.55</v>
      </c>
      <c r="N12" s="192">
        <f t="shared" si="4"/>
        <v>0.0146666965225374</v>
      </c>
      <c r="O12" s="193">
        <f>P12/$F12</f>
        <v>0.5</v>
      </c>
      <c r="P12" s="194">
        <v>1</v>
      </c>
      <c r="Q12" s="195"/>
      <c r="R12" s="196">
        <f>Roles!$D$2</f>
        <v>0.61</v>
      </c>
      <c r="S12" s="196">
        <f>R12*P12</f>
        <v>0.61</v>
      </c>
      <c r="T12" s="193">
        <f>U12/$F12</f>
        <v>0.5</v>
      </c>
      <c r="U12" s="197">
        <v>1.0</v>
      </c>
      <c r="V12" s="195"/>
      <c r="W12" s="196">
        <f>Roles!$D$8</f>
        <v>0.09</v>
      </c>
      <c r="X12" s="199">
        <f>MIN(U12,1)*Roles!$D$5+MAX(U12-1,0)*W12</f>
        <v>0.44</v>
      </c>
      <c r="Y12" s="193">
        <f>Z12/$F12</f>
        <v>1</v>
      </c>
      <c r="Z12" s="197">
        <v>2.0</v>
      </c>
      <c r="AA12" s="195"/>
      <c r="AB12" s="195">
        <f>Roles!$D$7</f>
        <v>0.12</v>
      </c>
      <c r="AC12" s="199">
        <f>MIN(Z12,1)*Roles!$D$4+MAX(Z12-1,0)*AB12</f>
        <v>0.56</v>
      </c>
      <c r="AD12" s="193">
        <f>AE12/$F12</f>
        <v>0</v>
      </c>
      <c r="AE12" s="197">
        <v>0.0</v>
      </c>
      <c r="AF12" s="200"/>
      <c r="AG12" s="200">
        <f>Roles!$D$6</f>
        <v>0.1</v>
      </c>
      <c r="AH12" s="199">
        <f>MIN(AE12,1)*Roles!$D$3+MAX(AE12-1,0)*AG12</f>
        <v>0</v>
      </c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 t="shared" si="1"/>
        <v>1</v>
      </c>
      <c r="F13" s="185">
        <v>1.0</v>
      </c>
      <c r="G13" s="105">
        <f t="shared" si="2"/>
        <v>0.000861326442721792</v>
      </c>
      <c r="H13" s="186">
        <f t="shared" si="12"/>
        <v>0.0103359173126615</v>
      </c>
      <c r="I13" s="187">
        <f t="shared" si="10"/>
        <v>2.5</v>
      </c>
      <c r="J13" s="187">
        <f t="shared" si="13"/>
        <v>26.5</v>
      </c>
      <c r="K13" s="115">
        <f t="shared" si="3"/>
        <v>0.0101048617731173</v>
      </c>
      <c r="L13" s="191">
        <f t="shared" si="11"/>
        <v>1.27</v>
      </c>
      <c r="M13" s="191">
        <f t="shared" si="14"/>
        <v>7.82</v>
      </c>
      <c r="N13" s="192">
        <f t="shared" si="4"/>
        <v>0.0175104682146936</v>
      </c>
      <c r="O13" s="193">
        <f>P13/$F13</f>
        <v>1</v>
      </c>
      <c r="P13" s="194">
        <v>1.0</v>
      </c>
      <c r="Q13" s="195"/>
      <c r="R13" s="196">
        <f>Roles!$D$2</f>
        <v>0.61</v>
      </c>
      <c r="S13" s="196">
        <f>R13*P13</f>
        <v>0.61</v>
      </c>
      <c r="T13" s="193">
        <f>U13/$F13</f>
        <v>0.5</v>
      </c>
      <c r="U13" s="197">
        <v>0.5</v>
      </c>
      <c r="V13" s="195"/>
      <c r="W13" s="196">
        <f>Roles!$D$8</f>
        <v>0.09</v>
      </c>
      <c r="X13" s="199">
        <f>MIN(U13,1)*Roles!$D$5+MAX(U13-1,0)*W13</f>
        <v>0.22</v>
      </c>
      <c r="Y13" s="193">
        <f>Z13/$F13</f>
        <v>1</v>
      </c>
      <c r="Z13" s="197">
        <v>1.0</v>
      </c>
      <c r="AA13" s="195"/>
      <c r="AB13" s="195">
        <f>Roles!$D$7</f>
        <v>0.12</v>
      </c>
      <c r="AC13" s="199">
        <f>MIN(Z13,1)*Roles!$D$4+MAX(Z13-1,0)*AB13</f>
        <v>0.44</v>
      </c>
      <c r="AD13" s="193">
        <f>AE13/$F13</f>
        <v>0</v>
      </c>
      <c r="AE13" s="197">
        <v>0.0</v>
      </c>
      <c r="AF13" s="200"/>
      <c r="AG13" s="200">
        <f>Roles!$D$6</f>
        <v>0.1</v>
      </c>
      <c r="AH13" s="199">
        <f>MIN(AE13,1)*Roles!$D$3+MAX(AE13-1,0)*AG13</f>
        <v>0</v>
      </c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 t="shared" si="1"/>
        <v>1</v>
      </c>
      <c r="F14" s="185">
        <v>1.0</v>
      </c>
      <c r="G14" s="105">
        <f t="shared" si="2"/>
        <v>0.000861326442721792</v>
      </c>
      <c r="H14" s="186">
        <f t="shared" si="12"/>
        <v>0.0111972437553833</v>
      </c>
      <c r="I14" s="187">
        <f t="shared" si="10"/>
        <v>6</v>
      </c>
      <c r="J14" s="187">
        <f t="shared" si="13"/>
        <v>32.5</v>
      </c>
      <c r="K14" s="115">
        <f t="shared" si="3"/>
        <v>0.0123927550047664</v>
      </c>
      <c r="L14" s="191">
        <f t="shared" si="11"/>
        <v>1.85</v>
      </c>
      <c r="M14" s="191">
        <f t="shared" si="14"/>
        <v>9.67</v>
      </c>
      <c r="N14" s="192">
        <f t="shared" si="4"/>
        <v>0.0216529702859446</v>
      </c>
      <c r="O14" s="193">
        <f>P14/$F14</f>
        <v>1</v>
      </c>
      <c r="P14" s="194">
        <v>1.0</v>
      </c>
      <c r="Q14" s="195"/>
      <c r="R14" s="196">
        <f>Roles!$D$2</f>
        <v>0.61</v>
      </c>
      <c r="S14" s="196">
        <f>R14*P14</f>
        <v>0.61</v>
      </c>
      <c r="T14" s="193">
        <f>U14/$F14</f>
        <v>1</v>
      </c>
      <c r="U14" s="197">
        <v>1.0</v>
      </c>
      <c r="V14" s="195"/>
      <c r="W14" s="196">
        <f>Roles!$D$8</f>
        <v>0.09</v>
      </c>
      <c r="X14" s="199">
        <f>MIN(U14,1)*Roles!$D$5+MAX(U14-1,0)*W14</f>
        <v>0.44</v>
      </c>
      <c r="Y14" s="193">
        <f>Z14/$F14</f>
        <v>4</v>
      </c>
      <c r="Z14" s="197">
        <v>4.0</v>
      </c>
      <c r="AA14" s="195"/>
      <c r="AB14" s="195">
        <f>Roles!$D$7</f>
        <v>0.12</v>
      </c>
      <c r="AC14" s="199">
        <f>MIN(Z14,1)*Roles!$D$4+MAX(Z14-1,0)*AB14</f>
        <v>0.8</v>
      </c>
      <c r="AD14" s="193">
        <f>AE14/$F14</f>
        <v>0</v>
      </c>
      <c r="AE14" s="197">
        <v>0.0</v>
      </c>
      <c r="AF14" s="200"/>
      <c r="AG14" s="200">
        <f>Roles!$D$6</f>
        <v>0.1</v>
      </c>
      <c r="AH14" s="199">
        <f>MIN(AE14,1)*Roles!$D$3+MAX(AE14-1,0)*AG14</f>
        <v>0</v>
      </c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 t="shared" si="1"/>
        <v>1</v>
      </c>
      <c r="F15" s="185">
        <v>1.0</v>
      </c>
      <c r="G15" s="105">
        <f t="shared" si="2"/>
        <v>0.000861326442721792</v>
      </c>
      <c r="H15" s="186">
        <f t="shared" si="12"/>
        <v>0.0120585701981051</v>
      </c>
      <c r="I15" s="187">
        <f t="shared" si="10"/>
        <v>5</v>
      </c>
      <c r="J15" s="187">
        <f t="shared" si="13"/>
        <v>37.5</v>
      </c>
      <c r="K15" s="115">
        <f t="shared" si="3"/>
        <v>0.0142993326978074</v>
      </c>
      <c r="L15" s="191">
        <f t="shared" si="11"/>
        <v>1.73</v>
      </c>
      <c r="M15" s="191">
        <f t="shared" si="14"/>
        <v>11.4</v>
      </c>
      <c r="N15" s="192">
        <f t="shared" si="4"/>
        <v>0.0255267695201415</v>
      </c>
      <c r="O15" s="193">
        <f>P15/$F15</f>
        <v>1</v>
      </c>
      <c r="P15" s="194">
        <v>1.0</v>
      </c>
      <c r="Q15" s="195"/>
      <c r="R15" s="196">
        <f>Roles!$D$2</f>
        <v>0.61</v>
      </c>
      <c r="S15" s="196">
        <f>R15*P15</f>
        <v>0.61</v>
      </c>
      <c r="T15" s="193">
        <f>U15/$F15</f>
        <v>1</v>
      </c>
      <c r="U15" s="197">
        <v>1.0</v>
      </c>
      <c r="V15" s="195"/>
      <c r="W15" s="196">
        <f>Roles!$D$8</f>
        <v>0.09</v>
      </c>
      <c r="X15" s="199">
        <f>MIN(U15,1)*Roles!$D$5+MAX(U15-1,0)*W15</f>
        <v>0.44</v>
      </c>
      <c r="Y15" s="193">
        <f>Z15/$F15</f>
        <v>3</v>
      </c>
      <c r="Z15" s="197">
        <v>3.0</v>
      </c>
      <c r="AA15" s="195"/>
      <c r="AB15" s="195">
        <f>Roles!$D$7</f>
        <v>0.12</v>
      </c>
      <c r="AC15" s="199">
        <f>MIN(Z15,1)*Roles!$D$4+MAX(Z15-1,0)*AB15</f>
        <v>0.68</v>
      </c>
      <c r="AD15" s="193">
        <f>AE15/$F15</f>
        <v>0</v>
      </c>
      <c r="AE15" s="197">
        <v>0.0</v>
      </c>
      <c r="AF15" s="200"/>
      <c r="AG15" s="200">
        <f>Roles!$D$6</f>
        <v>0.1</v>
      </c>
      <c r="AH15" s="199">
        <f>MIN(AE15,1)*Roles!$D$3+MAX(AE15-1,0)*AG15</f>
        <v>0</v>
      </c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 t="shared" si="1"/>
        <v>2</v>
      </c>
      <c r="F16" s="185">
        <v>2.0</v>
      </c>
      <c r="G16" s="105">
        <f t="shared" si="2"/>
        <v>0.00172265288544358</v>
      </c>
      <c r="H16" s="186">
        <f t="shared" si="12"/>
        <v>0.0137812230835487</v>
      </c>
      <c r="I16" s="187">
        <f t="shared" si="10"/>
        <v>6</v>
      </c>
      <c r="J16" s="187">
        <f t="shared" si="13"/>
        <v>43.5</v>
      </c>
      <c r="K16" s="115">
        <f t="shared" si="3"/>
        <v>0.0165872259294566</v>
      </c>
      <c r="L16" s="191">
        <f t="shared" si="11"/>
        <v>2.31</v>
      </c>
      <c r="M16" s="191">
        <f t="shared" si="14"/>
        <v>13.71</v>
      </c>
      <c r="N16" s="192">
        <f t="shared" si="4"/>
        <v>0.0306992991334334</v>
      </c>
      <c r="O16" s="193">
        <f>P16/$F16</f>
        <v>1</v>
      </c>
      <c r="P16" s="194">
        <v>2.0</v>
      </c>
      <c r="Q16" s="195"/>
      <c r="R16" s="196">
        <f>Roles!$D$2</f>
        <v>0.61</v>
      </c>
      <c r="S16" s="196">
        <f>R16*P16</f>
        <v>1.22</v>
      </c>
      <c r="T16" s="193">
        <f>U16/$F16</f>
        <v>1</v>
      </c>
      <c r="U16" s="197">
        <v>2</v>
      </c>
      <c r="V16" s="195"/>
      <c r="W16" s="196">
        <f>Roles!$D$8</f>
        <v>0.09</v>
      </c>
      <c r="X16" s="199">
        <f>MIN(U16,1)*Roles!$D$5+MAX(U16-1,0)*W16</f>
        <v>0.53</v>
      </c>
      <c r="Y16" s="193">
        <f>Z16/$F16</f>
        <v>1</v>
      </c>
      <c r="Z16" s="197">
        <v>2.0</v>
      </c>
      <c r="AA16" s="195"/>
      <c r="AB16" s="195">
        <f>Roles!$D$7</f>
        <v>0.12</v>
      </c>
      <c r="AC16" s="199">
        <f>MIN(Z16,1)*Roles!$D$4+MAX(Z16-1,0)*AB16</f>
        <v>0.56</v>
      </c>
      <c r="AD16" s="193">
        <f>AE16/$F16</f>
        <v>0</v>
      </c>
      <c r="AE16" s="197">
        <v>0.0</v>
      </c>
      <c r="AF16" s="200"/>
      <c r="AG16" s="200">
        <f>Roles!$D$6</f>
        <v>0.1</v>
      </c>
      <c r="AH16" s="199">
        <f>MIN(AE16,1)*Roles!$D$3+MAX(AE16-1,0)*AG16</f>
        <v>0</v>
      </c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 t="shared" si="1"/>
        <v>2</v>
      </c>
      <c r="F17" s="185">
        <v>2.0</v>
      </c>
      <c r="G17" s="105">
        <f t="shared" si="2"/>
        <v>0.00172265288544358</v>
      </c>
      <c r="H17" s="186">
        <f t="shared" si="12"/>
        <v>0.0155038759689923</v>
      </c>
      <c r="I17" s="187">
        <f t="shared" si="10"/>
        <v>6</v>
      </c>
      <c r="J17" s="187">
        <f t="shared" si="13"/>
        <v>49.5</v>
      </c>
      <c r="K17" s="115">
        <f t="shared" si="3"/>
        <v>0.0188751191611058</v>
      </c>
      <c r="L17" s="191">
        <f t="shared" si="11"/>
        <v>2.31</v>
      </c>
      <c r="M17" s="191">
        <f t="shared" si="14"/>
        <v>16.02</v>
      </c>
      <c r="N17" s="192">
        <f t="shared" si="4"/>
        <v>0.0358718287467252</v>
      </c>
      <c r="O17" s="193">
        <f>P17/$F17</f>
        <v>1</v>
      </c>
      <c r="P17" s="194">
        <v>2.0</v>
      </c>
      <c r="Q17" s="195"/>
      <c r="R17" s="196">
        <f>Roles!$D$2</f>
        <v>0.61</v>
      </c>
      <c r="S17" s="196">
        <f>R17*P17</f>
        <v>1.22</v>
      </c>
      <c r="T17" s="193">
        <f>U17/$F17</f>
        <v>1</v>
      </c>
      <c r="U17" s="197">
        <v>2.0</v>
      </c>
      <c r="V17" s="195"/>
      <c r="W17" s="196">
        <f>Roles!$D$8</f>
        <v>0.09</v>
      </c>
      <c r="X17" s="199">
        <f>MIN(U17,1)*Roles!$D$5+MAX(U17-1,0)*W17</f>
        <v>0.53</v>
      </c>
      <c r="Y17" s="193">
        <f>Z17/$F17</f>
        <v>1</v>
      </c>
      <c r="Z17" s="197">
        <v>2.0</v>
      </c>
      <c r="AA17" s="195"/>
      <c r="AB17" s="195">
        <f>Roles!$D$7</f>
        <v>0.12</v>
      </c>
      <c r="AC17" s="199">
        <f>MIN(Z17,1)*Roles!$D$4+MAX(Z17-1,0)*AB17</f>
        <v>0.56</v>
      </c>
      <c r="AD17" s="193">
        <f>AE17/$F17</f>
        <v>0</v>
      </c>
      <c r="AE17" s="197">
        <v>0.0</v>
      </c>
      <c r="AF17" s="200"/>
      <c r="AG17" s="200">
        <f>Roles!$D$6</f>
        <v>0.1</v>
      </c>
      <c r="AH17" s="199">
        <f>MIN(AE17,1)*Roles!$D$3+MAX(AE17-1,0)*AG17</f>
        <v>0</v>
      </c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 t="shared" si="1"/>
        <v>4</v>
      </c>
      <c r="F18" s="185">
        <v>5.0</v>
      </c>
      <c r="G18" s="105">
        <f t="shared" si="2"/>
        <v>0.00430663221360896</v>
      </c>
      <c r="H18" s="186">
        <f t="shared" si="12"/>
        <v>0.0198105081826012</v>
      </c>
      <c r="I18" s="187">
        <f t="shared" si="10"/>
        <v>9</v>
      </c>
      <c r="J18" s="187">
        <f t="shared" si="13"/>
        <v>58.5</v>
      </c>
      <c r="K18" s="115">
        <f t="shared" si="3"/>
        <v>0.0223069590085796</v>
      </c>
      <c r="L18" s="191">
        <f t="shared" si="11"/>
        <v>3.16</v>
      </c>
      <c r="M18" s="191">
        <f t="shared" si="14"/>
        <v>19.18</v>
      </c>
      <c r="N18" s="192">
        <f t="shared" si="4"/>
        <v>0.0429476701224837</v>
      </c>
      <c r="O18" s="193">
        <f>P18/$F18</f>
        <v>0.6</v>
      </c>
      <c r="P18" s="194">
        <v>3</v>
      </c>
      <c r="Q18" s="195"/>
      <c r="R18" s="196">
        <f>Roles!$D$2</f>
        <v>0.61</v>
      </c>
      <c r="S18" s="196">
        <f>R18*P18</f>
        <v>1.83</v>
      </c>
      <c r="T18" s="193">
        <f>U18/$F18</f>
        <v>0.4</v>
      </c>
      <c r="U18" s="197">
        <v>2.0</v>
      </c>
      <c r="V18" s="195"/>
      <c r="W18" s="196">
        <f>Roles!$D$8</f>
        <v>0.09</v>
      </c>
      <c r="X18" s="199">
        <f>MIN(U18,1)*Roles!$D$5+MAX(U18-1,0)*W18</f>
        <v>0.53</v>
      </c>
      <c r="Y18" s="193">
        <f>Z18/$F18</f>
        <v>0.8</v>
      </c>
      <c r="Z18" s="197">
        <v>4.0</v>
      </c>
      <c r="AA18" s="195"/>
      <c r="AB18" s="195">
        <f>Roles!$D$7</f>
        <v>0.12</v>
      </c>
      <c r="AC18" s="199">
        <f>MIN(Z18,1)*Roles!$D$4+MAX(Z18-1,0)*AB18</f>
        <v>0.8</v>
      </c>
      <c r="AD18" s="193">
        <f>AE18/$F18</f>
        <v>0</v>
      </c>
      <c r="AE18" s="197">
        <v>0.0</v>
      </c>
      <c r="AF18" s="200"/>
      <c r="AG18" s="200">
        <f>Roles!$D$6</f>
        <v>0.1</v>
      </c>
      <c r="AH18" s="199">
        <f>MIN(AE18,1)*Roles!$D$3+MAX(AE18-1,0)*AG18</f>
        <v>0</v>
      </c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 t="shared" si="1"/>
        <v>5</v>
      </c>
      <c r="F19" s="185">
        <v>5.0</v>
      </c>
      <c r="G19" s="105">
        <f t="shared" si="2"/>
        <v>0.00430663221360896</v>
      </c>
      <c r="H19" s="186">
        <f t="shared" si="12"/>
        <v>0.0241171403962102</v>
      </c>
      <c r="I19" s="187">
        <f t="shared" si="10"/>
        <v>6</v>
      </c>
      <c r="J19" s="187">
        <f t="shared" si="13"/>
        <v>64.5</v>
      </c>
      <c r="K19" s="115">
        <f t="shared" si="3"/>
        <v>0.0245948522402288</v>
      </c>
      <c r="L19" s="191">
        <f t="shared" si="11"/>
        <v>1.79</v>
      </c>
      <c r="M19" s="191">
        <f t="shared" si="14"/>
        <v>20.97</v>
      </c>
      <c r="N19" s="192">
        <f t="shared" si="4"/>
        <v>0.0469558207752077</v>
      </c>
      <c r="O19" s="193">
        <f>P19/$F19</f>
        <v>0.2</v>
      </c>
      <c r="P19" s="194">
        <v>1</v>
      </c>
      <c r="Q19" s="195"/>
      <c r="R19" s="196">
        <f>Roles!$D$2</f>
        <v>0.61</v>
      </c>
      <c r="S19" s="196">
        <f>R19*P19</f>
        <v>0.61</v>
      </c>
      <c r="T19" s="193">
        <f>U19/$F19</f>
        <v>0.6</v>
      </c>
      <c r="U19" s="197">
        <v>3.0</v>
      </c>
      <c r="V19" s="195"/>
      <c r="W19" s="196">
        <f>Roles!$D$8</f>
        <v>0.09</v>
      </c>
      <c r="X19" s="199">
        <f>MIN(U19,1)*Roles!$D$5+MAX(U19-1,0)*W19</f>
        <v>0.62</v>
      </c>
      <c r="Y19" s="193">
        <f>Z19/$F19</f>
        <v>0.4</v>
      </c>
      <c r="Z19" s="197">
        <v>2.0</v>
      </c>
      <c r="AA19" s="195"/>
      <c r="AB19" s="195">
        <f>Roles!$D$7</f>
        <v>0.12</v>
      </c>
      <c r="AC19" s="199">
        <f>MIN(Z19,1)*Roles!$D$4+MAX(Z19-1,0)*AB19</f>
        <v>0.56</v>
      </c>
      <c r="AD19" s="193">
        <f>AE19/$F19</f>
        <v>0</v>
      </c>
      <c r="AE19" s="197">
        <v>0.0</v>
      </c>
      <c r="AF19" s="200"/>
      <c r="AG19" s="200">
        <f>Roles!$D$6</f>
        <v>0.1</v>
      </c>
      <c r="AH19" s="199">
        <f>MIN(AE19,1)*Roles!$D$3+MAX(AE19-1,0)*AG19</f>
        <v>0</v>
      </c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 t="shared" si="1"/>
        <v>2</v>
      </c>
      <c r="F20" s="185">
        <v>4.0</v>
      </c>
      <c r="G20" s="105">
        <f t="shared" si="2"/>
        <v>0.00344530577088717</v>
      </c>
      <c r="H20" s="186">
        <f t="shared" si="12"/>
        <v>0.0275624461670973</v>
      </c>
      <c r="I20" s="187">
        <f t="shared" si="10"/>
        <v>8</v>
      </c>
      <c r="J20" s="187">
        <f t="shared" si="13"/>
        <v>72.5</v>
      </c>
      <c r="K20" s="115">
        <f t="shared" si="3"/>
        <v>0.0276453765490944</v>
      </c>
      <c r="L20" s="191">
        <f t="shared" si="11"/>
        <v>2.55</v>
      </c>
      <c r="M20" s="191">
        <f t="shared" si="14"/>
        <v>23.52</v>
      </c>
      <c r="N20" s="192">
        <f t="shared" si="4"/>
        <v>0.0526657560626078</v>
      </c>
      <c r="O20" s="193">
        <f>P20/$F20</f>
        <v>0.5</v>
      </c>
      <c r="P20" s="194">
        <v>2</v>
      </c>
      <c r="Q20" s="195"/>
      <c r="R20" s="196">
        <f>Roles!$D$2</f>
        <v>0.61</v>
      </c>
      <c r="S20" s="196">
        <f>R20*P20</f>
        <v>1.22</v>
      </c>
      <c r="T20" s="193">
        <f>U20/$F20</f>
        <v>0.5</v>
      </c>
      <c r="U20" s="197">
        <v>2.0</v>
      </c>
      <c r="V20" s="195"/>
      <c r="W20" s="196">
        <f>Roles!$D$8</f>
        <v>0.09</v>
      </c>
      <c r="X20" s="199">
        <f>MIN(U20,1)*Roles!$D$5+MAX(U20-1,0)*W20</f>
        <v>0.53</v>
      </c>
      <c r="Y20" s="193">
        <f>Z20/$F20</f>
        <v>1</v>
      </c>
      <c r="Z20" s="197">
        <v>4.0</v>
      </c>
      <c r="AA20" s="195"/>
      <c r="AB20" s="195">
        <f>Roles!$D$7</f>
        <v>0.12</v>
      </c>
      <c r="AC20" s="199">
        <f>MIN(Z20,1)*Roles!$D$4+MAX(Z20-1,0)*AB20</f>
        <v>0.8</v>
      </c>
      <c r="AD20" s="193">
        <f>AE20/$F20</f>
        <v>0</v>
      </c>
      <c r="AE20" s="197">
        <v>0.0</v>
      </c>
      <c r="AF20" s="200"/>
      <c r="AG20" s="200">
        <f>Roles!$D$6</f>
        <v>0.1</v>
      </c>
      <c r="AH20" s="199">
        <f>MIN(AE20,1)*Roles!$D$3+MAX(AE20-1,0)*AG20</f>
        <v>0</v>
      </c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 t="shared" si="1"/>
        <v>2</v>
      </c>
      <c r="F21" s="80">
        <v>3.0</v>
      </c>
      <c r="G21" s="105">
        <f t="shared" si="2"/>
        <v>0.00258397932816538</v>
      </c>
      <c r="H21" s="186">
        <f t="shared" si="12"/>
        <v>0.0301464254952627</v>
      </c>
      <c r="I21" s="187">
        <f t="shared" si="10"/>
        <v>5</v>
      </c>
      <c r="J21" s="172">
        <f t="shared" si="13"/>
        <v>77.5</v>
      </c>
      <c r="K21" s="115">
        <f t="shared" si="3"/>
        <v>0.0295519542421354</v>
      </c>
      <c r="L21" s="191">
        <f t="shared" si="11"/>
        <v>1.32</v>
      </c>
      <c r="M21" s="172">
        <f t="shared" si="14"/>
        <v>24.84</v>
      </c>
      <c r="N21" s="47">
        <f t="shared" si="4"/>
        <v>0.0556214872702031</v>
      </c>
      <c r="O21" s="193">
        <f>P21/$F21</f>
        <v>0.333333333333333</v>
      </c>
      <c r="P21" s="194">
        <v>1.0</v>
      </c>
      <c r="Q21" s="195"/>
      <c r="R21" s="196">
        <f>Roles!$D$2</f>
        <v>0.61</v>
      </c>
      <c r="S21" s="196">
        <f>R21*P21</f>
        <v>0.61</v>
      </c>
      <c r="T21" s="193">
        <f>U21/$F21</f>
        <v>1.33333333333333</v>
      </c>
      <c r="U21" s="197">
        <v>4.0</v>
      </c>
      <c r="V21" s="195"/>
      <c r="W21" s="196">
        <f>Roles!$D$8</f>
        <v>0.09</v>
      </c>
      <c r="X21" s="199">
        <f>MIN(U21,1)*Roles!$D$5+MAX(U21-1,0)*W21</f>
        <v>0.71</v>
      </c>
      <c r="Y21" s="193">
        <f>Z21/$F21</f>
        <v>0</v>
      </c>
      <c r="Z21" s="197">
        <v>0.0</v>
      </c>
      <c r="AA21" s="195"/>
      <c r="AB21" s="196">
        <f>Roles!$D$7</f>
        <v>0.12</v>
      </c>
      <c r="AC21" s="199">
        <f>MIN(Z21,1)*Roles!$D$4+MAX(Z21-1,0)*AB21</f>
        <v>0</v>
      </c>
      <c r="AD21" s="193">
        <f>AE21/$F21</f>
        <v>0</v>
      </c>
      <c r="AE21" s="197">
        <v>0.0</v>
      </c>
      <c r="AF21" s="200"/>
      <c r="AG21" s="208">
        <f>Roles!$D$6</f>
        <v>0.1</v>
      </c>
      <c r="AH21" s="199">
        <f>MIN(AE21,1)*Roles!$D$3+MAX(AE21-1,0)*AG21</f>
        <v>0</v>
      </c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 t="shared" si="1"/>
        <v>2</v>
      </c>
      <c r="F22" s="80">
        <v>3.0</v>
      </c>
      <c r="G22" s="105">
        <f t="shared" si="2"/>
        <v>0.00258397932816538</v>
      </c>
      <c r="H22" s="186">
        <f t="shared" si="12"/>
        <v>0.0327304048234281</v>
      </c>
      <c r="I22" s="187">
        <f t="shared" si="10"/>
        <v>5</v>
      </c>
      <c r="J22" s="172">
        <f t="shared" si="13"/>
        <v>82.5</v>
      </c>
      <c r="K22" s="115">
        <f t="shared" si="3"/>
        <v>0.0314585319351764</v>
      </c>
      <c r="L22" s="191">
        <f t="shared" si="11"/>
        <v>1.32</v>
      </c>
      <c r="M22" s="172">
        <f t="shared" si="14"/>
        <v>26.16</v>
      </c>
      <c r="N22" s="47">
        <f t="shared" si="4"/>
        <v>0.0585772184777984</v>
      </c>
      <c r="O22" s="193">
        <f>P22/$F22</f>
        <v>0.333333333333333</v>
      </c>
      <c r="P22" s="194">
        <v>1.0</v>
      </c>
      <c r="Q22" s="195"/>
      <c r="R22" s="196">
        <f>Roles!$D$2</f>
        <v>0.61</v>
      </c>
      <c r="S22" s="196">
        <f>R22*P22</f>
        <v>0.61</v>
      </c>
      <c r="T22" s="193">
        <f>U22/$F22</f>
        <v>1.33333333333333</v>
      </c>
      <c r="U22" s="197">
        <v>4.0</v>
      </c>
      <c r="V22" s="195"/>
      <c r="W22" s="196">
        <f>Roles!$D$8</f>
        <v>0.09</v>
      </c>
      <c r="X22" s="199">
        <f>MIN(U22,1)*Roles!$D$5+MAX(U22-1,0)*W22</f>
        <v>0.71</v>
      </c>
      <c r="Y22" s="193">
        <f>Z22/$F22</f>
        <v>0</v>
      </c>
      <c r="Z22" s="197">
        <v>0.0</v>
      </c>
      <c r="AA22" s="195"/>
      <c r="AB22" s="196">
        <f>Roles!$D$7</f>
        <v>0.12</v>
      </c>
      <c r="AC22" s="199">
        <f>MIN(Z22,1)*Roles!$D$4+MAX(Z22-1,0)*AB22</f>
        <v>0</v>
      </c>
      <c r="AD22" s="193">
        <f>AE22/$F22</f>
        <v>0</v>
      </c>
      <c r="AE22" s="197">
        <v>0.0</v>
      </c>
      <c r="AF22" s="200"/>
      <c r="AG22" s="208">
        <f>Roles!$D$6</f>
        <v>0.1</v>
      </c>
      <c r="AH22" s="199">
        <f>MIN(AE22,1)*Roles!$D$3+MAX(AE22-1,0)*AG22</f>
        <v>0</v>
      </c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 t="shared" si="1"/>
        <v>7</v>
      </c>
      <c r="F23" s="161">
        <f>SUM(F24:F28)</f>
        <v>20</v>
      </c>
      <c r="G23" s="105">
        <f t="shared" si="2"/>
        <v>0.0172265288544358</v>
      </c>
      <c r="H23" s="163">
        <f>H28</f>
        <v>0.0499569336778639</v>
      </c>
      <c r="I23" s="213">
        <f>SUM(I24:I28)</f>
        <v>37</v>
      </c>
      <c r="J23" s="165">
        <f>J28</f>
        <v>119.5</v>
      </c>
      <c r="K23" s="167">
        <f t="shared" si="3"/>
        <v>0.0455672068636797</v>
      </c>
      <c r="L23" s="228">
        <f>SUM(L24:L28)</f>
        <v>7.62</v>
      </c>
      <c r="M23" s="215">
        <f>M28</f>
        <v>33.78</v>
      </c>
      <c r="N23" s="217">
        <f t="shared" si="4"/>
        <v>0.0756398486307351</v>
      </c>
      <c r="O23" s="173"/>
      <c r="P23" s="174"/>
      <c r="Q23" s="178"/>
      <c r="R23" s="178"/>
      <c r="S23" s="178"/>
      <c r="T23" s="173"/>
      <c r="U23" s="195"/>
      <c r="V23" s="178"/>
      <c r="W23" s="178"/>
      <c r="X23" s="178"/>
      <c r="Y23" s="173"/>
      <c r="Z23" s="195"/>
      <c r="AA23" s="178"/>
      <c r="AB23" s="178"/>
      <c r="AC23" s="178"/>
      <c r="AD23" s="173"/>
      <c r="AE23" s="195"/>
      <c r="AF23" s="180"/>
      <c r="AG23" s="180"/>
      <c r="AH23" s="178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 t="shared" si="1"/>
        <v>7</v>
      </c>
      <c r="F24" s="185">
        <v>8.0</v>
      </c>
      <c r="G24" s="105">
        <f t="shared" si="2"/>
        <v>0.00689061154177433</v>
      </c>
      <c r="H24" s="186">
        <f>H22+G24</f>
        <v>0.0396210163652024</v>
      </c>
      <c r="I24" s="187">
        <f t="shared" ref="I24:I28" si="15">P24+U24+Z24+AE24</f>
        <v>10</v>
      </c>
      <c r="J24" s="187">
        <f>J22+I24</f>
        <v>92.5</v>
      </c>
      <c r="K24" s="115">
        <f t="shared" si="3"/>
        <v>0.0352716873212583</v>
      </c>
      <c r="L24" s="191">
        <f t="shared" ref="L24:L28" si="16">S24+X24+AC24+AH24</f>
        <v>1.77</v>
      </c>
      <c r="M24" s="172">
        <f>M22+L24</f>
        <v>27.93</v>
      </c>
      <c r="N24" s="192">
        <f t="shared" si="4"/>
        <v>0.0625405853243467</v>
      </c>
      <c r="O24" s="193">
        <f>P24/$F24</f>
        <v>0.125</v>
      </c>
      <c r="P24" s="194">
        <v>1.0</v>
      </c>
      <c r="Q24" s="195"/>
      <c r="R24" s="196">
        <f>Roles!$D$2</f>
        <v>0.61</v>
      </c>
      <c r="S24" s="196">
        <f>R24*P24</f>
        <v>0.61</v>
      </c>
      <c r="T24" s="193">
        <f>U24/$F24</f>
        <v>1.125</v>
      </c>
      <c r="U24" s="197">
        <v>9.0</v>
      </c>
      <c r="V24" s="195"/>
      <c r="W24" s="196">
        <f>Roles!$D$8</f>
        <v>0.09</v>
      </c>
      <c r="X24" s="199">
        <f>MIN(U24,1)*Roles!$D$5+MAX(U24-1,0)*W24</f>
        <v>1.16</v>
      </c>
      <c r="Y24" s="193">
        <f>Z24/$F24</f>
        <v>0</v>
      </c>
      <c r="Z24" s="197">
        <v>0.0</v>
      </c>
      <c r="AA24" s="195"/>
      <c r="AB24" s="195">
        <f>Roles!$D$7</f>
        <v>0.12</v>
      </c>
      <c r="AC24" s="199">
        <f>MIN(Z24,1)*Roles!$D$4+MAX(Z24-1,0)*AB24</f>
        <v>0</v>
      </c>
      <c r="AD24" s="193">
        <f>AE24/$F24</f>
        <v>0</v>
      </c>
      <c r="AE24" s="197">
        <v>0.0</v>
      </c>
      <c r="AF24" s="200"/>
      <c r="AG24" s="200">
        <f>Roles!$D$6</f>
        <v>0.1</v>
      </c>
      <c r="AH24" s="199">
        <f>MIN(AE24,1)*Roles!$D$3+MAX(AE24-1,0)*AG24</f>
        <v>0</v>
      </c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 t="shared" si="1"/>
        <v>3</v>
      </c>
      <c r="F25" s="80">
        <v>4.0</v>
      </c>
      <c r="G25" s="105">
        <f t="shared" si="2"/>
        <v>0.00344530577088717</v>
      </c>
      <c r="H25" s="47">
        <f t="shared" ref="H25:H29" si="17">H24+G25</f>
        <v>0.0430663221360896</v>
      </c>
      <c r="I25" s="187">
        <f t="shared" si="15"/>
        <v>8</v>
      </c>
      <c r="J25" s="172">
        <f t="shared" ref="J25:J29" si="18">J24+I25</f>
        <v>100.5</v>
      </c>
      <c r="K25" s="115">
        <f t="shared" si="3"/>
        <v>0.0383222116301239</v>
      </c>
      <c r="L25" s="191">
        <f t="shared" si="16"/>
        <v>1.28</v>
      </c>
      <c r="M25" s="172">
        <f t="shared" ref="M25:M29" si="19">M24+L25</f>
        <v>29.21</v>
      </c>
      <c r="N25" s="47">
        <f t="shared" si="4"/>
        <v>0.0654067489195907</v>
      </c>
      <c r="O25" s="193">
        <f>P25/$F25</f>
        <v>0</v>
      </c>
      <c r="P25" s="206">
        <v>0.0</v>
      </c>
      <c r="Q25" s="195"/>
      <c r="R25" s="196">
        <f>Roles!$D$2</f>
        <v>0.61</v>
      </c>
      <c r="S25" s="196">
        <f>R25*P25</f>
        <v>0</v>
      </c>
      <c r="T25" s="193">
        <f>U25/$F25</f>
        <v>0</v>
      </c>
      <c r="U25" s="197">
        <v>0.0</v>
      </c>
      <c r="V25" s="195"/>
      <c r="W25" s="196">
        <f>Roles!$D$8</f>
        <v>0.09</v>
      </c>
      <c r="X25" s="199">
        <f>MIN(U25,1)*Roles!$D$5+MAX(U25-1,0)*W25</f>
        <v>0</v>
      </c>
      <c r="Y25" s="193">
        <f>Z25/$F25</f>
        <v>2</v>
      </c>
      <c r="Z25" s="197">
        <v>8.0</v>
      </c>
      <c r="AA25" s="195"/>
      <c r="AB25" s="196">
        <f>Roles!$D$7</f>
        <v>0.12</v>
      </c>
      <c r="AC25" s="199">
        <f>MIN(Z25,1)*Roles!$D$4+MAX(Z25-1,0)*AB25</f>
        <v>1.28</v>
      </c>
      <c r="AD25" s="193">
        <f>AE25/$F25</f>
        <v>0</v>
      </c>
      <c r="AE25" s="197">
        <v>0.0</v>
      </c>
      <c r="AF25" s="200"/>
      <c r="AG25" s="208">
        <f>Roles!$D$6</f>
        <v>0.1</v>
      </c>
      <c r="AH25" s="199">
        <f>MIN(AE25,1)*Roles!$D$3+MAX(AE25-1,0)*AG25</f>
        <v>0</v>
      </c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 t="shared" si="1"/>
        <v>3</v>
      </c>
      <c r="F26" s="80">
        <v>4.0</v>
      </c>
      <c r="G26" s="105">
        <f t="shared" si="2"/>
        <v>0.00344530577088717</v>
      </c>
      <c r="H26" s="47">
        <f t="shared" si="17"/>
        <v>0.0465116279069768</v>
      </c>
      <c r="I26" s="187">
        <f t="shared" si="15"/>
        <v>8</v>
      </c>
      <c r="J26" s="172">
        <f t="shared" si="18"/>
        <v>108.5</v>
      </c>
      <c r="K26" s="115">
        <f t="shared" si="3"/>
        <v>0.0413727359389895</v>
      </c>
      <c r="L26" s="191">
        <f t="shared" si="16"/>
        <v>1.14</v>
      </c>
      <c r="M26" s="172">
        <f t="shared" si="19"/>
        <v>30.35</v>
      </c>
      <c r="N26" s="47">
        <f t="shared" si="4"/>
        <v>0.0679594258716048</v>
      </c>
      <c r="O26" s="193">
        <f>P26/$F26</f>
        <v>0</v>
      </c>
      <c r="P26" s="206">
        <v>0.0</v>
      </c>
      <c r="Q26" s="195"/>
      <c r="R26" s="196">
        <f>Roles!$D$2</f>
        <v>0.61</v>
      </c>
      <c r="S26" s="196">
        <f>R26*P26</f>
        <v>0</v>
      </c>
      <c r="T26" s="193">
        <f>U26/$F26</f>
        <v>0</v>
      </c>
      <c r="U26" s="197">
        <v>0.0</v>
      </c>
      <c r="V26" s="195"/>
      <c r="W26" s="196">
        <f>Roles!$D$8</f>
        <v>0.09</v>
      </c>
      <c r="X26" s="199">
        <f>MIN(U26,1)*Roles!$D$5+MAX(U26-1,0)*W26</f>
        <v>0</v>
      </c>
      <c r="Y26" s="193">
        <f>Z26/$F26</f>
        <v>0</v>
      </c>
      <c r="Z26" s="197">
        <v>0.0</v>
      </c>
      <c r="AA26" s="195"/>
      <c r="AB26" s="196">
        <f>Roles!$D$7</f>
        <v>0.12</v>
      </c>
      <c r="AC26" s="199">
        <f>MIN(Z26,1)*Roles!$D$4+MAX(Z26-1,0)*AB26</f>
        <v>0</v>
      </c>
      <c r="AD26" s="193">
        <f>AE26/$F26</f>
        <v>2</v>
      </c>
      <c r="AE26" s="197">
        <v>8.0</v>
      </c>
      <c r="AF26" s="200"/>
      <c r="AG26" s="208">
        <f>Roles!$D$6</f>
        <v>0.1</v>
      </c>
      <c r="AH26" s="199">
        <f>MIN(AE26,1)*Roles!$D$3+MAX(AE26-1,0)*AG26</f>
        <v>1.14</v>
      </c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 t="shared" si="1"/>
        <v>1</v>
      </c>
      <c r="F27" s="185">
        <v>1</v>
      </c>
      <c r="G27" s="105">
        <f t="shared" si="2"/>
        <v>0.000861326442721792</v>
      </c>
      <c r="H27" s="47">
        <f t="shared" si="17"/>
        <v>0.0473729543496985</v>
      </c>
      <c r="I27" s="187">
        <f t="shared" si="15"/>
        <v>4</v>
      </c>
      <c r="J27" s="233">
        <f t="shared" si="18"/>
        <v>112.5</v>
      </c>
      <c r="K27" s="115">
        <f t="shared" si="3"/>
        <v>0.0428979980934223</v>
      </c>
      <c r="L27" s="191">
        <f t="shared" si="16"/>
        <v>1.93</v>
      </c>
      <c r="M27" s="191">
        <f t="shared" si="19"/>
        <v>32.28</v>
      </c>
      <c r="N27" s="192">
        <f t="shared" si="4"/>
        <v>0.0722810631675586</v>
      </c>
      <c r="O27" s="193">
        <f>P27/$F27</f>
        <v>1</v>
      </c>
      <c r="P27" s="194">
        <v>1</v>
      </c>
      <c r="Q27" s="195"/>
      <c r="R27" s="196">
        <f>Roles!$D$2</f>
        <v>0.61</v>
      </c>
      <c r="S27" s="196">
        <f>R27*P27</f>
        <v>0.61</v>
      </c>
      <c r="T27" s="193">
        <f>U27/$F27</f>
        <v>1</v>
      </c>
      <c r="U27" s="197">
        <v>1</v>
      </c>
      <c r="V27" s="195"/>
      <c r="W27" s="196">
        <f>Roles!$D$5</f>
        <v>0.44</v>
      </c>
      <c r="X27" s="199">
        <f>U27*W27</f>
        <v>0.44</v>
      </c>
      <c r="Y27" s="193">
        <f>Z27/$F27</f>
        <v>1</v>
      </c>
      <c r="Z27" s="197">
        <v>1</v>
      </c>
      <c r="AA27" s="195"/>
      <c r="AB27" s="195">
        <f>Roles!$D$4</f>
        <v>0.44</v>
      </c>
      <c r="AC27" s="199">
        <f>Z27*AB27</f>
        <v>0.44</v>
      </c>
      <c r="AD27" s="193">
        <f>AE27/$F27</f>
        <v>1</v>
      </c>
      <c r="AE27" s="197">
        <v>1</v>
      </c>
      <c r="AF27" s="200"/>
      <c r="AG27" s="200">
        <f>Roles!$D$3</f>
        <v>0.44</v>
      </c>
      <c r="AH27" s="199">
        <f>AE27*AG27</f>
        <v>0.44</v>
      </c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 t="shared" si="1"/>
        <v>2</v>
      </c>
      <c r="F28" s="80">
        <v>3.0</v>
      </c>
      <c r="G28" s="105">
        <f t="shared" si="2"/>
        <v>0.00258397932816538</v>
      </c>
      <c r="H28" s="47">
        <f t="shared" si="17"/>
        <v>0.0499569336778639</v>
      </c>
      <c r="I28" s="187">
        <f t="shared" si="15"/>
        <v>7</v>
      </c>
      <c r="J28" s="172">
        <f t="shared" si="18"/>
        <v>119.5</v>
      </c>
      <c r="K28" s="115">
        <f t="shared" si="3"/>
        <v>0.0455672068636797</v>
      </c>
      <c r="L28" s="191">
        <f t="shared" si="16"/>
        <v>1.5</v>
      </c>
      <c r="M28" s="172">
        <f t="shared" si="19"/>
        <v>33.78</v>
      </c>
      <c r="N28" s="47">
        <f t="shared" si="4"/>
        <v>0.0756398486307351</v>
      </c>
      <c r="O28" s="193">
        <f>P28/$F28</f>
        <v>0.333333333333333</v>
      </c>
      <c r="P28" s="194">
        <v>1.0</v>
      </c>
      <c r="Q28" s="195"/>
      <c r="R28" s="196">
        <f>Roles!$D$2</f>
        <v>0.61</v>
      </c>
      <c r="S28" s="196">
        <f>R28*P28</f>
        <v>0.61</v>
      </c>
      <c r="T28" s="193">
        <f>U28/$F28</f>
        <v>2</v>
      </c>
      <c r="U28" s="197">
        <v>6.0</v>
      </c>
      <c r="V28" s="195"/>
      <c r="W28" s="196">
        <f>Roles!$D$8</f>
        <v>0.09</v>
      </c>
      <c r="X28" s="199">
        <f>MIN(U28,1)*Roles!$D$5+MAX(U28-1,0)*W28</f>
        <v>0.89</v>
      </c>
      <c r="Y28" s="193">
        <f>Z28/$F28</f>
        <v>0</v>
      </c>
      <c r="Z28" s="197">
        <v>0.0</v>
      </c>
      <c r="AA28" s="195"/>
      <c r="AB28" s="196">
        <f>Roles!$D$7</f>
        <v>0.12</v>
      </c>
      <c r="AC28" s="199">
        <f>MIN(Z28,1)*Roles!$D$4+MAX(Z28-1,0)*AB28</f>
        <v>0</v>
      </c>
      <c r="AD28" s="193">
        <f>AE28/$F28</f>
        <v>0</v>
      </c>
      <c r="AE28" s="197">
        <v>0.0</v>
      </c>
      <c r="AF28" s="200"/>
      <c r="AG28" s="208">
        <f>Roles!$D$6</f>
        <v>0.1</v>
      </c>
      <c r="AH28" s="199">
        <f>MIN(AE28,1)*Roles!$D$3+MAX(AE28-1,0)*AG28</f>
        <v>0</v>
      </c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 t="shared" si="1"/>
        <v>1</v>
      </c>
      <c r="F29" s="136">
        <v>0.0</v>
      </c>
      <c r="G29" s="105">
        <f t="shared" si="2"/>
        <v>0</v>
      </c>
      <c r="H29" s="115">
        <f t="shared" si="17"/>
        <v>0.0499569336778639</v>
      </c>
      <c r="I29" s="110">
        <f>F29</f>
        <v>0</v>
      </c>
      <c r="J29" s="110">
        <f t="shared" si="18"/>
        <v>119.5</v>
      </c>
      <c r="K29" s="115">
        <f t="shared" si="3"/>
        <v>0.0455672068636797</v>
      </c>
      <c r="L29" s="110">
        <v>0.0</v>
      </c>
      <c r="M29" s="110">
        <f t="shared" si="19"/>
        <v>33.78</v>
      </c>
      <c r="N29" s="115">
        <f t="shared" si="4"/>
        <v>0.0756398486307351</v>
      </c>
      <c r="O29" s="116"/>
      <c r="P29" s="118"/>
      <c r="Q29" s="119"/>
      <c r="R29" s="119"/>
      <c r="S29" s="119"/>
      <c r="T29" s="116"/>
      <c r="U29" s="195"/>
      <c r="V29" s="119"/>
      <c r="W29" s="119"/>
      <c r="X29" s="119"/>
      <c r="Y29" s="116"/>
      <c r="Z29" s="195"/>
      <c r="AA29" s="119"/>
      <c r="AB29" s="119"/>
      <c r="AC29" s="119"/>
      <c r="AD29" s="116"/>
      <c r="AE29" s="195"/>
      <c r="AF29" s="235"/>
      <c r="AG29" s="235"/>
      <c r="AH29" s="119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 t="shared" si="1"/>
        <v>15</v>
      </c>
      <c r="F30" s="240">
        <f>F31+F39+F47+F52+F58+F62+F66+F70+F74</f>
        <v>243</v>
      </c>
      <c r="G30" s="105">
        <f t="shared" si="2"/>
        <v>0.209302325581395</v>
      </c>
      <c r="H30" s="224">
        <f>H78</f>
        <v>0.259259259259259</v>
      </c>
      <c r="I30" s="241">
        <f>I31+I39+I47+I52+I58+I62+I66+I70+I74</f>
        <v>674</v>
      </c>
      <c r="J30" s="241">
        <f>J78</f>
        <v>793.5</v>
      </c>
      <c r="K30" s="138">
        <f t="shared" si="3"/>
        <v>0.302573879885605</v>
      </c>
      <c r="L30" s="241">
        <f>L31+L39+L47+L52+L58+L62+L66+L70+L74</f>
        <v>105</v>
      </c>
      <c r="M30" s="241">
        <f>M78</f>
        <v>138.78</v>
      </c>
      <c r="N30" s="138">
        <f t="shared" si="4"/>
        <v>0.310754831053091</v>
      </c>
      <c r="O30" s="142"/>
      <c r="P30" s="144"/>
      <c r="Q30" s="149"/>
      <c r="R30" s="149"/>
      <c r="S30" s="149"/>
      <c r="T30" s="142"/>
      <c r="U30" s="195"/>
      <c r="V30" s="149"/>
      <c r="W30" s="149"/>
      <c r="X30" s="149"/>
      <c r="Y30" s="142"/>
      <c r="Z30" s="195"/>
      <c r="AA30" s="149"/>
      <c r="AB30" s="149"/>
      <c r="AC30" s="149"/>
      <c r="AD30" s="142"/>
      <c r="AE30" s="195"/>
      <c r="AF30" s="150"/>
      <c r="AG30" s="150"/>
      <c r="AH30" s="149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 t="shared" si="1"/>
        <v>3</v>
      </c>
      <c r="F31" s="246">
        <f>SUM(F32:F38)</f>
        <v>18</v>
      </c>
      <c r="G31" s="105">
        <f t="shared" si="2"/>
        <v>0.0155038759689922</v>
      </c>
      <c r="H31" s="226">
        <f>H38</f>
        <v>0.0654608096468562</v>
      </c>
      <c r="I31" s="247">
        <f>SUM(I32:I38)</f>
        <v>40</v>
      </c>
      <c r="J31" s="247">
        <f>J38</f>
        <v>159.5</v>
      </c>
      <c r="K31" s="167">
        <f t="shared" si="3"/>
        <v>0.0608198284080076</v>
      </c>
      <c r="L31" s="247">
        <f>SUM(L32:L38)</f>
        <v>9.15</v>
      </c>
      <c r="M31" s="247">
        <f>M38</f>
        <v>42.93</v>
      </c>
      <c r="N31" s="167">
        <f t="shared" si="4"/>
        <v>0.0961284399561119</v>
      </c>
      <c r="O31" s="173"/>
      <c r="P31" s="174"/>
      <c r="Q31" s="178"/>
      <c r="R31" s="178"/>
      <c r="S31" s="178"/>
      <c r="T31" s="173"/>
      <c r="U31" s="195"/>
      <c r="V31" s="178"/>
      <c r="W31" s="178"/>
      <c r="X31" s="178"/>
      <c r="Y31" s="173"/>
      <c r="Z31" s="195"/>
      <c r="AA31" s="178"/>
      <c r="AB31" s="178"/>
      <c r="AC31" s="178"/>
      <c r="AD31" s="173"/>
      <c r="AE31" s="195"/>
      <c r="AF31" s="180"/>
      <c r="AG31" s="180"/>
      <c r="AH31" s="178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 t="shared" si="1"/>
        <v>1</v>
      </c>
      <c r="F32" s="80">
        <v>3.0</v>
      </c>
      <c r="G32" s="105">
        <f t="shared" si="2"/>
        <v>0.00258397932816538</v>
      </c>
      <c r="H32" s="47">
        <f>H29+G32</f>
        <v>0.0525409130060293</v>
      </c>
      <c r="I32" s="187">
        <f t="shared" ref="I32:I38" si="20">P32+U32+Z32+AE32</f>
        <v>6</v>
      </c>
      <c r="J32" s="172">
        <f>J29+I32</f>
        <v>125.5</v>
      </c>
      <c r="K32" s="115">
        <f t="shared" si="3"/>
        <v>0.0478551000953289</v>
      </c>
      <c r="L32" s="191">
        <f t="shared" ref="L32:L38" si="21">S32+X32+AC32+AH32</f>
        <v>1.04</v>
      </c>
      <c r="M32" s="172">
        <f>M29+L32</f>
        <v>34.82</v>
      </c>
      <c r="N32" s="47">
        <f t="shared" si="4"/>
        <v>0.0779686065518708</v>
      </c>
      <c r="O32" s="193">
        <f>P32/$F32</f>
        <v>0</v>
      </c>
      <c r="P32" s="206">
        <v>0.0</v>
      </c>
      <c r="Q32" s="195"/>
      <c r="R32" s="196">
        <f>Roles!$D$2</f>
        <v>0.61</v>
      </c>
      <c r="S32" s="196">
        <f>R32*P32</f>
        <v>0</v>
      </c>
      <c r="T32" s="193">
        <f>U32/$F32</f>
        <v>0</v>
      </c>
      <c r="U32" s="197">
        <v>0.0</v>
      </c>
      <c r="V32" s="195"/>
      <c r="W32" s="196">
        <f>Roles!$D$8</f>
        <v>0.09</v>
      </c>
      <c r="X32" s="199">
        <f>MIN(U32,1)*Roles!$D$5+MAX(U32-1,0)*W32</f>
        <v>0</v>
      </c>
      <c r="Y32" s="193">
        <f>Z32/$F32</f>
        <v>2</v>
      </c>
      <c r="Z32" s="197">
        <v>6.0</v>
      </c>
      <c r="AA32" s="195"/>
      <c r="AB32" s="196">
        <f>Roles!$D$7</f>
        <v>0.12</v>
      </c>
      <c r="AC32" s="199">
        <f>MIN(Z32,1)*Roles!$D$4+MAX(Z32-1,0)*AB32</f>
        <v>1.04</v>
      </c>
      <c r="AD32" s="193">
        <f>AE32/$F32</f>
        <v>0</v>
      </c>
      <c r="AE32" s="197">
        <v>0.0</v>
      </c>
      <c r="AF32" s="200"/>
      <c r="AG32" s="208">
        <f>Roles!$D$6</f>
        <v>0.1</v>
      </c>
      <c r="AH32" s="199">
        <f>MIN(AE32,1)*Roles!$D$3+MAX(AE32-1,0)*AG32</f>
        <v>0</v>
      </c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 t="shared" si="1"/>
        <v>2</v>
      </c>
      <c r="F33" s="80">
        <v>3.0</v>
      </c>
      <c r="G33" s="105">
        <f t="shared" si="2"/>
        <v>0.00258397932816538</v>
      </c>
      <c r="H33" s="47">
        <f t="shared" ref="H33:H38" si="22">H32+G33</f>
        <v>0.0551248923341947</v>
      </c>
      <c r="I33" s="187">
        <f t="shared" si="20"/>
        <v>6</v>
      </c>
      <c r="J33" s="172">
        <f t="shared" ref="J33:J38" si="23">J32+I33</f>
        <v>131.5</v>
      </c>
      <c r="K33" s="115">
        <f t="shared" si="3"/>
        <v>0.0501429933269781</v>
      </c>
      <c r="L33" s="191">
        <f t="shared" si="21"/>
        <v>1.04</v>
      </c>
      <c r="M33" s="172">
        <f t="shared" ref="M33:M38" si="24">M32+L33</f>
        <v>35.86</v>
      </c>
      <c r="N33" s="47">
        <f t="shared" si="4"/>
        <v>0.0802973644730066</v>
      </c>
      <c r="O33" s="193">
        <f>P33/$F33</f>
        <v>0</v>
      </c>
      <c r="P33" s="206">
        <v>0.0</v>
      </c>
      <c r="Q33" s="195"/>
      <c r="R33" s="196">
        <f>Roles!$D$2</f>
        <v>0.61</v>
      </c>
      <c r="S33" s="196">
        <f>R33*P33</f>
        <v>0</v>
      </c>
      <c r="T33" s="193">
        <f>U33/$F33</f>
        <v>0</v>
      </c>
      <c r="U33" s="197">
        <v>0.0</v>
      </c>
      <c r="V33" s="195"/>
      <c r="W33" s="196">
        <f>Roles!$D$8</f>
        <v>0.09</v>
      </c>
      <c r="X33" s="199">
        <f>MIN(U33,1)*Roles!$D$5+MAX(U33-1,0)*W33</f>
        <v>0</v>
      </c>
      <c r="Y33" s="193">
        <f>Z33/$F33</f>
        <v>2</v>
      </c>
      <c r="Z33" s="197">
        <v>6.0</v>
      </c>
      <c r="AA33" s="195"/>
      <c r="AB33" s="196">
        <f>Roles!$D$7</f>
        <v>0.12</v>
      </c>
      <c r="AC33" s="199">
        <f>MIN(Z33,1)*Roles!$D$4+MAX(Z33-1,0)*AB33</f>
        <v>1.04</v>
      </c>
      <c r="AD33" s="193">
        <f>AE33/$F33</f>
        <v>0</v>
      </c>
      <c r="AE33" s="197">
        <v>0.0</v>
      </c>
      <c r="AF33" s="200"/>
      <c r="AG33" s="208">
        <f>Roles!$D$6</f>
        <v>0.1</v>
      </c>
      <c r="AH33" s="199">
        <f>MIN(AE33,1)*Roles!$D$3+MAX(AE33-1,0)*AG33</f>
        <v>0</v>
      </c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 t="shared" si="1"/>
        <v>2</v>
      </c>
      <c r="F34" s="80">
        <v>3.0</v>
      </c>
      <c r="G34" s="105">
        <f t="shared" si="2"/>
        <v>0.00258397932816538</v>
      </c>
      <c r="H34" s="47">
        <f t="shared" si="22"/>
        <v>0.0577088716623601</v>
      </c>
      <c r="I34" s="187">
        <f t="shared" si="20"/>
        <v>6</v>
      </c>
      <c r="J34" s="172">
        <f t="shared" si="23"/>
        <v>137.5</v>
      </c>
      <c r="K34" s="115">
        <f t="shared" si="3"/>
        <v>0.0524308865586273</v>
      </c>
      <c r="L34" s="191">
        <f t="shared" si="21"/>
        <v>1.04</v>
      </c>
      <c r="M34" s="172">
        <f t="shared" si="24"/>
        <v>36.9</v>
      </c>
      <c r="N34" s="47">
        <f t="shared" si="4"/>
        <v>0.0826261223941423</v>
      </c>
      <c r="O34" s="193">
        <f>P34/$F34</f>
        <v>0</v>
      </c>
      <c r="P34" s="206">
        <v>0.0</v>
      </c>
      <c r="Q34" s="195"/>
      <c r="R34" s="196">
        <f>Roles!$D$2</f>
        <v>0.61</v>
      </c>
      <c r="S34" s="196">
        <f>R34*P34</f>
        <v>0</v>
      </c>
      <c r="T34" s="193">
        <f>U34/$F34</f>
        <v>0</v>
      </c>
      <c r="U34" s="197">
        <v>0.0</v>
      </c>
      <c r="V34" s="195"/>
      <c r="W34" s="196">
        <f>Roles!$D$8</f>
        <v>0.09</v>
      </c>
      <c r="X34" s="199">
        <f>MIN(U34,1)*Roles!$D$5+MAX(U34-1,0)*W34</f>
        <v>0</v>
      </c>
      <c r="Y34" s="193">
        <f>Z34/$F34</f>
        <v>2</v>
      </c>
      <c r="Z34" s="197">
        <v>6.0</v>
      </c>
      <c r="AA34" s="195"/>
      <c r="AB34" s="196">
        <f>Roles!$D$7</f>
        <v>0.12</v>
      </c>
      <c r="AC34" s="199">
        <f>MIN(Z34,1)*Roles!$D$4+MAX(Z34-1,0)*AB34</f>
        <v>1.04</v>
      </c>
      <c r="AD34" s="193">
        <f>AE34/$F34</f>
        <v>0</v>
      </c>
      <c r="AE34" s="197">
        <v>0.0</v>
      </c>
      <c r="AF34" s="200"/>
      <c r="AG34" s="208">
        <f>Roles!$D$6</f>
        <v>0.1</v>
      </c>
      <c r="AH34" s="199">
        <f>MIN(AE34,1)*Roles!$D$3+MAX(AE34-1,0)*AG34</f>
        <v>0</v>
      </c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 t="shared" si="1"/>
        <v>1</v>
      </c>
      <c r="F35" s="80">
        <v>2.0</v>
      </c>
      <c r="G35" s="105">
        <f t="shared" si="2"/>
        <v>0.00172265288544358</v>
      </c>
      <c r="H35" s="47">
        <f t="shared" si="22"/>
        <v>0.0594315245478036</v>
      </c>
      <c r="I35" s="187">
        <f t="shared" si="20"/>
        <v>4</v>
      </c>
      <c r="J35" s="172">
        <f t="shared" si="23"/>
        <v>141.5</v>
      </c>
      <c r="K35" s="115">
        <f t="shared" si="3"/>
        <v>0.0539561487130601</v>
      </c>
      <c r="L35" s="191">
        <f t="shared" si="21"/>
        <v>0.8</v>
      </c>
      <c r="M35" s="172">
        <f t="shared" si="24"/>
        <v>37.7</v>
      </c>
      <c r="N35" s="47">
        <f t="shared" si="4"/>
        <v>0.0844174746411697</v>
      </c>
      <c r="O35" s="193">
        <f>P35/$F35</f>
        <v>0</v>
      </c>
      <c r="P35" s="206">
        <v>0.0</v>
      </c>
      <c r="Q35" s="195"/>
      <c r="R35" s="196">
        <f>Roles!$D$2</f>
        <v>0.61</v>
      </c>
      <c r="S35" s="196">
        <f>R35*P35</f>
        <v>0</v>
      </c>
      <c r="T35" s="193">
        <f>U35/$F35</f>
        <v>0</v>
      </c>
      <c r="U35" s="197">
        <v>0.0</v>
      </c>
      <c r="V35" s="195"/>
      <c r="W35" s="196">
        <f>Roles!$D$8</f>
        <v>0.09</v>
      </c>
      <c r="X35" s="199">
        <f>MIN(U35,1)*Roles!$D$5+MAX(U35-1,0)*W35</f>
        <v>0</v>
      </c>
      <c r="Y35" s="193">
        <f>Z35/$F35</f>
        <v>2</v>
      </c>
      <c r="Z35" s="197">
        <v>4.0</v>
      </c>
      <c r="AA35" s="195"/>
      <c r="AB35" s="196">
        <f>Roles!$D$7</f>
        <v>0.12</v>
      </c>
      <c r="AC35" s="199">
        <f>MIN(Z35,1)*Roles!$D$4+MAX(Z35-1,0)*AB35</f>
        <v>0.8</v>
      </c>
      <c r="AD35" s="193">
        <f>AE35/$F35</f>
        <v>0</v>
      </c>
      <c r="AE35" s="197">
        <v>0.0</v>
      </c>
      <c r="AF35" s="200"/>
      <c r="AG35" s="208">
        <f>Roles!$D$6</f>
        <v>0.1</v>
      </c>
      <c r="AH35" s="199">
        <f>MIN(AE35,1)*Roles!$D$3+MAX(AE35-1,0)*AG35</f>
        <v>0</v>
      </c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 t="shared" si="1"/>
        <v>2</v>
      </c>
      <c r="F36" s="80">
        <v>4.0</v>
      </c>
      <c r="G36" s="105">
        <f t="shared" si="2"/>
        <v>0.00344530577088717</v>
      </c>
      <c r="H36" s="47">
        <f t="shared" si="22"/>
        <v>0.0628768303186908</v>
      </c>
      <c r="I36" s="187">
        <f t="shared" si="20"/>
        <v>9</v>
      </c>
      <c r="J36" s="172">
        <f t="shared" si="23"/>
        <v>150.5</v>
      </c>
      <c r="K36" s="115">
        <f t="shared" si="3"/>
        <v>0.0573879885605338</v>
      </c>
      <c r="L36" s="191">
        <f t="shared" si="21"/>
        <v>1.89</v>
      </c>
      <c r="M36" s="172">
        <f t="shared" si="24"/>
        <v>39.59</v>
      </c>
      <c r="N36" s="47">
        <f t="shared" si="4"/>
        <v>0.0886495443247722</v>
      </c>
      <c r="O36" s="193">
        <f>P36/$F36</f>
        <v>0.25</v>
      </c>
      <c r="P36" s="194">
        <v>1.0</v>
      </c>
      <c r="Q36" s="195"/>
      <c r="R36" s="196">
        <f>Roles!$D$2</f>
        <v>0.61</v>
      </c>
      <c r="S36" s="196">
        <f>R36*P36</f>
        <v>0.61</v>
      </c>
      <c r="T36" s="193">
        <f>U36/$F36</f>
        <v>0</v>
      </c>
      <c r="U36" s="197">
        <v>0.0</v>
      </c>
      <c r="V36" s="195"/>
      <c r="W36" s="196">
        <f>Roles!$D$8</f>
        <v>0.09</v>
      </c>
      <c r="X36" s="199">
        <f>MIN(U36,1)*Roles!$D$5+MAX(U36-1,0)*W36</f>
        <v>0</v>
      </c>
      <c r="Y36" s="193">
        <f>Z36/$F36</f>
        <v>2</v>
      </c>
      <c r="Z36" s="197">
        <v>8.0</v>
      </c>
      <c r="AA36" s="195"/>
      <c r="AB36" s="196">
        <f>Roles!$D$7</f>
        <v>0.12</v>
      </c>
      <c r="AC36" s="199">
        <f>MIN(Z36,1)*Roles!$D$4+MAX(Z36-1,0)*AB36</f>
        <v>1.28</v>
      </c>
      <c r="AD36" s="193">
        <f>AE36/$F36</f>
        <v>0</v>
      </c>
      <c r="AE36" s="197">
        <v>0.0</v>
      </c>
      <c r="AF36" s="200"/>
      <c r="AG36" s="208">
        <f>Roles!$D$6</f>
        <v>0.1</v>
      </c>
      <c r="AH36" s="199">
        <f>MIN(AE36,1)*Roles!$D$3+MAX(AE36-1,0)*AG36</f>
        <v>0</v>
      </c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 t="shared" si="1"/>
        <v>1</v>
      </c>
      <c r="F37" s="80">
        <v>2.0</v>
      </c>
      <c r="G37" s="105">
        <f t="shared" si="2"/>
        <v>0.00172265288544358</v>
      </c>
      <c r="H37" s="47">
        <f t="shared" si="22"/>
        <v>0.0645994832041344</v>
      </c>
      <c r="I37" s="187">
        <f t="shared" si="20"/>
        <v>5</v>
      </c>
      <c r="J37" s="172">
        <f t="shared" si="23"/>
        <v>155.5</v>
      </c>
      <c r="K37" s="115">
        <f t="shared" si="3"/>
        <v>0.0592945662535748</v>
      </c>
      <c r="L37" s="191">
        <f t="shared" si="21"/>
        <v>1.41</v>
      </c>
      <c r="M37" s="172">
        <f t="shared" si="24"/>
        <v>41</v>
      </c>
      <c r="N37" s="47">
        <f t="shared" si="4"/>
        <v>0.0918068026601581</v>
      </c>
      <c r="O37" s="193">
        <f>P37/$F37</f>
        <v>0.5</v>
      </c>
      <c r="P37" s="194">
        <v>1.0</v>
      </c>
      <c r="Q37" s="195"/>
      <c r="R37" s="196">
        <f>Roles!$D$2</f>
        <v>0.61</v>
      </c>
      <c r="S37" s="196">
        <f>R37*P37</f>
        <v>0.61</v>
      </c>
      <c r="T37" s="193">
        <f>U37/$F37</f>
        <v>0</v>
      </c>
      <c r="U37" s="197">
        <v>0.0</v>
      </c>
      <c r="V37" s="195"/>
      <c r="W37" s="196">
        <f>Roles!$D$8</f>
        <v>0.09</v>
      </c>
      <c r="X37" s="199">
        <f>MIN(U37,1)*Roles!$D$5+MAX(U37-1,0)*W37</f>
        <v>0</v>
      </c>
      <c r="Y37" s="193">
        <f>Z37/$F37</f>
        <v>2</v>
      </c>
      <c r="Z37" s="197">
        <v>4.0</v>
      </c>
      <c r="AA37" s="195"/>
      <c r="AB37" s="196">
        <f>Roles!$D$7</f>
        <v>0.12</v>
      </c>
      <c r="AC37" s="199">
        <f>MIN(Z37,1)*Roles!$D$4+MAX(Z37-1,0)*AB37</f>
        <v>0.8</v>
      </c>
      <c r="AD37" s="193">
        <f>AE37/$F37</f>
        <v>0</v>
      </c>
      <c r="AE37" s="197">
        <v>0.0</v>
      </c>
      <c r="AF37" s="200"/>
      <c r="AG37" s="208">
        <f>Roles!$D$6</f>
        <v>0.1</v>
      </c>
      <c r="AH37" s="199">
        <f>MIN(AE37,1)*Roles!$D$3+MAX(AE37-1,0)*AG37</f>
        <v>0</v>
      </c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 t="shared" si="1"/>
        <v>1</v>
      </c>
      <c r="F38" s="80">
        <v>1</v>
      </c>
      <c r="G38" s="105">
        <f t="shared" si="2"/>
        <v>0.000861326442721792</v>
      </c>
      <c r="H38" s="47">
        <f t="shared" si="22"/>
        <v>0.0654608096468562</v>
      </c>
      <c r="I38" s="187">
        <f t="shared" si="20"/>
        <v>4</v>
      </c>
      <c r="J38" s="172">
        <f t="shared" si="23"/>
        <v>159.5</v>
      </c>
      <c r="K38" s="248">
        <f t="shared" si="3"/>
        <v>0.0608198284080076</v>
      </c>
      <c r="L38" s="191">
        <f t="shared" si="21"/>
        <v>1.93</v>
      </c>
      <c r="M38" s="172">
        <f t="shared" si="24"/>
        <v>42.93</v>
      </c>
      <c r="N38" s="47">
        <f t="shared" si="4"/>
        <v>0.0961284399561119</v>
      </c>
      <c r="O38" s="193">
        <f>P38/$F38</f>
        <v>1</v>
      </c>
      <c r="P38" s="194">
        <v>1</v>
      </c>
      <c r="Q38" s="195"/>
      <c r="R38" s="196">
        <f>Roles!$D$2</f>
        <v>0.61</v>
      </c>
      <c r="S38" s="196">
        <f>R38*P38</f>
        <v>0.61</v>
      </c>
      <c r="T38" s="193">
        <f>U38/$F38</f>
        <v>1</v>
      </c>
      <c r="U38" s="197">
        <v>1</v>
      </c>
      <c r="V38" s="195"/>
      <c r="W38" s="195">
        <f>Roles!$D$5</f>
        <v>0.44</v>
      </c>
      <c r="X38" s="199">
        <f>U38*W38</f>
        <v>0.44</v>
      </c>
      <c r="Y38" s="193">
        <f>Z38/$F38</f>
        <v>1</v>
      </c>
      <c r="Z38" s="197">
        <v>1</v>
      </c>
      <c r="AA38" s="195"/>
      <c r="AB38" s="195">
        <f>Roles!$D$4</f>
        <v>0.44</v>
      </c>
      <c r="AC38" s="199">
        <f>Z38*AB38</f>
        <v>0.44</v>
      </c>
      <c r="AD38" s="193">
        <f>AE38/$F38</f>
        <v>1</v>
      </c>
      <c r="AE38" s="197">
        <v>1</v>
      </c>
      <c r="AF38" s="200"/>
      <c r="AG38" s="200">
        <f>Roles!$D$3</f>
        <v>0.44</v>
      </c>
      <c r="AH38" s="199">
        <f>AE38*AG38</f>
        <v>0.44</v>
      </c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 t="shared" si="1"/>
        <v>6</v>
      </c>
      <c r="F39" s="246">
        <f>SUM(F40:F46)</f>
        <v>36</v>
      </c>
      <c r="G39" s="105">
        <f t="shared" si="2"/>
        <v>0.0310077519379845</v>
      </c>
      <c r="H39" s="226">
        <f>H46</f>
        <v>0.0964685615848407</v>
      </c>
      <c r="I39" s="247">
        <f>SUM(I40:I46)</f>
        <v>230</v>
      </c>
      <c r="J39" s="247">
        <f>J46</f>
        <v>389.5</v>
      </c>
      <c r="K39" s="167">
        <f t="shared" si="3"/>
        <v>0.148522402287893</v>
      </c>
      <c r="L39" s="247">
        <f>SUM(L40:L46)</f>
        <v>30.45</v>
      </c>
      <c r="M39" s="247">
        <f>M46</f>
        <v>73.38</v>
      </c>
      <c r="N39" s="167">
        <f t="shared" si="4"/>
        <v>0.164311784858595</v>
      </c>
      <c r="O39" s="173"/>
      <c r="P39" s="174"/>
      <c r="Q39" s="178"/>
      <c r="R39" s="178"/>
      <c r="S39" s="178"/>
      <c r="T39" s="173"/>
      <c r="U39" s="195"/>
      <c r="V39" s="178"/>
      <c r="W39" s="178"/>
      <c r="X39" s="178"/>
      <c r="Y39" s="173"/>
      <c r="Z39" s="195"/>
      <c r="AA39" s="178"/>
      <c r="AB39" s="178"/>
      <c r="AC39" s="178"/>
      <c r="AD39" s="173"/>
      <c r="AE39" s="195"/>
      <c r="AF39" s="180"/>
      <c r="AG39" s="180"/>
      <c r="AH39" s="178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 t="shared" si="1"/>
        <v>3</v>
      </c>
      <c r="F40" s="80">
        <v>10.0</v>
      </c>
      <c r="G40" s="105">
        <f t="shared" si="2"/>
        <v>0.00861326442721792</v>
      </c>
      <c r="H40" s="47">
        <f>H38+G40</f>
        <v>0.0740740740740741</v>
      </c>
      <c r="I40" s="187">
        <f t="shared" ref="I40:I46" si="25">P40+U40+Z40+AE40</f>
        <v>86</v>
      </c>
      <c r="J40" s="172">
        <f>J38+I40</f>
        <v>245.5</v>
      </c>
      <c r="K40" s="115">
        <f t="shared" si="3"/>
        <v>0.0936129647283127</v>
      </c>
      <c r="L40" s="191">
        <f t="shared" ref="L40:L46" si="26">S40+X40+AC40+AH40</f>
        <v>11.18</v>
      </c>
      <c r="M40" s="172">
        <f>M38+L40</f>
        <v>54.11</v>
      </c>
      <c r="N40" s="47">
        <f t="shared" si="4"/>
        <v>0.121162587608321</v>
      </c>
      <c r="O40" s="193">
        <f>P40/$F40</f>
        <v>0.1</v>
      </c>
      <c r="P40" s="194">
        <v>1.0</v>
      </c>
      <c r="Q40" s="195"/>
      <c r="R40" s="196">
        <f>Roles!$D$2</f>
        <v>0.61</v>
      </c>
      <c r="S40" s="196">
        <f>R40*P40</f>
        <v>0.61</v>
      </c>
      <c r="T40" s="193">
        <f>U40/$F40</f>
        <v>1</v>
      </c>
      <c r="U40" s="197">
        <v>10</v>
      </c>
      <c r="V40" s="195"/>
      <c r="W40" s="195">
        <f>Roles!$D$8</f>
        <v>0.09</v>
      </c>
      <c r="X40" s="199">
        <f>MIN(U40,1)*Roles!$D$5+MAX(U40-1,0)*W40</f>
        <v>1.25</v>
      </c>
      <c r="Y40" s="193">
        <f>Z40/$F40</f>
        <v>7.5</v>
      </c>
      <c r="Z40" s="197">
        <v>75.0</v>
      </c>
      <c r="AA40" s="195"/>
      <c r="AB40" s="195">
        <f>Roles!$D$7</f>
        <v>0.12</v>
      </c>
      <c r="AC40" s="199">
        <f>MIN(Z40,1)*Roles!$D$4+MAX(Z40-1,0)*AB40</f>
        <v>9.32</v>
      </c>
      <c r="AD40" s="193">
        <f>AE40/$F40</f>
        <v>0</v>
      </c>
      <c r="AE40" s="197">
        <v>0.0</v>
      </c>
      <c r="AF40" s="200"/>
      <c r="AG40" s="200">
        <f>Roles!$D$6</f>
        <v>0.1</v>
      </c>
      <c r="AH40" s="199">
        <f>MIN(AE40,1)*Roles!$D$3+MAX(AE40-1,0)*AG40</f>
        <v>0</v>
      </c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 t="shared" si="1"/>
        <v>5</v>
      </c>
      <c r="F41" s="80">
        <v>5.0</v>
      </c>
      <c r="G41" s="105">
        <f t="shared" si="2"/>
        <v>0.00430663221360896</v>
      </c>
      <c r="H41" s="47">
        <f t="shared" ref="H41:H46" si="27">H40+G41</f>
        <v>0.0783807062876831</v>
      </c>
      <c r="I41" s="187">
        <f t="shared" si="25"/>
        <v>38</v>
      </c>
      <c r="J41" s="172">
        <f t="shared" ref="J41:J46" si="28">J40+I41</f>
        <v>283.5</v>
      </c>
      <c r="K41" s="115">
        <f t="shared" si="3"/>
        <v>0.108102955195424</v>
      </c>
      <c r="L41" s="191">
        <f t="shared" si="26"/>
        <v>4.99</v>
      </c>
      <c r="M41" s="172">
        <f t="shared" ref="M41:M46" si="29">M40+L41</f>
        <v>59.1</v>
      </c>
      <c r="N41" s="115">
        <f t="shared" si="4"/>
        <v>0.132336147249155</v>
      </c>
      <c r="O41" s="193">
        <f>P41/$F41</f>
        <v>0</v>
      </c>
      <c r="P41" s="206">
        <v>0.0</v>
      </c>
      <c r="Q41" s="195"/>
      <c r="R41" s="196">
        <f>Roles!$D$2</f>
        <v>0.61</v>
      </c>
      <c r="S41" s="196">
        <f>R41*P41</f>
        <v>0</v>
      </c>
      <c r="T41" s="193">
        <f>U41/$F41</f>
        <v>1.6</v>
      </c>
      <c r="U41" s="197">
        <v>8</v>
      </c>
      <c r="V41" s="195"/>
      <c r="W41" s="195">
        <f>Roles!$D$8</f>
        <v>0.09</v>
      </c>
      <c r="X41" s="199">
        <f>MIN(U41,1)*Roles!$D$5+MAX(U41-1,0)*W41</f>
        <v>1.07</v>
      </c>
      <c r="Y41" s="193">
        <f>Z41/$F41</f>
        <v>6</v>
      </c>
      <c r="Z41" s="197">
        <v>30.0</v>
      </c>
      <c r="AA41" s="195"/>
      <c r="AB41" s="195">
        <f>Roles!$D$7</f>
        <v>0.12</v>
      </c>
      <c r="AC41" s="199">
        <f>MIN(Z41,1)*Roles!$D$4+MAX(Z41-1,0)*AB41</f>
        <v>3.92</v>
      </c>
      <c r="AD41" s="193">
        <f>AE41/$F41</f>
        <v>0</v>
      </c>
      <c r="AE41" s="197">
        <v>0.0</v>
      </c>
      <c r="AF41" s="195"/>
      <c r="AG41" s="200">
        <f>Roles!$D$6</f>
        <v>0.1</v>
      </c>
      <c r="AH41" s="199">
        <f>MIN(AE41,1)*Roles!$D$3+MAX(AE41-1,0)*AG41</f>
        <v>0</v>
      </c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 t="shared" si="1"/>
        <v>5</v>
      </c>
      <c r="F42" s="80">
        <v>5.0</v>
      </c>
      <c r="G42" s="105">
        <f t="shared" si="2"/>
        <v>0.00430663221360896</v>
      </c>
      <c r="H42" s="47">
        <f t="shared" si="27"/>
        <v>0.082687338501292</v>
      </c>
      <c r="I42" s="187">
        <f t="shared" si="25"/>
        <v>65</v>
      </c>
      <c r="J42" s="172">
        <f t="shared" si="28"/>
        <v>348.5</v>
      </c>
      <c r="K42" s="115">
        <f t="shared" si="3"/>
        <v>0.132888465204957</v>
      </c>
      <c r="L42" s="191">
        <f t="shared" si="26"/>
        <v>8.23</v>
      </c>
      <c r="M42" s="172">
        <f t="shared" si="29"/>
        <v>67.33</v>
      </c>
      <c r="N42" s="47">
        <f t="shared" si="4"/>
        <v>0.15076468349045</v>
      </c>
      <c r="O42" s="193">
        <f>P42/$F42</f>
        <v>0</v>
      </c>
      <c r="P42" s="206">
        <v>0.0</v>
      </c>
      <c r="Q42" s="195"/>
      <c r="R42" s="196">
        <f>Roles!$D$2</f>
        <v>0.61</v>
      </c>
      <c r="S42" s="196">
        <f>R42*P42</f>
        <v>0</v>
      </c>
      <c r="T42" s="193">
        <f>U42/$F42</f>
        <v>1.6</v>
      </c>
      <c r="U42" s="197">
        <v>8</v>
      </c>
      <c r="V42" s="195"/>
      <c r="W42" s="195">
        <f>Roles!$D$8</f>
        <v>0.09</v>
      </c>
      <c r="X42" s="199">
        <f>MIN(U42,1)*Roles!$D$5+MAX(U42-1,0)*W42</f>
        <v>1.07</v>
      </c>
      <c r="Y42" s="193">
        <f>Z42/$F42</f>
        <v>11.4</v>
      </c>
      <c r="Z42" s="197">
        <v>57.0</v>
      </c>
      <c r="AA42" s="195"/>
      <c r="AB42" s="195">
        <f>Roles!$D$7</f>
        <v>0.12</v>
      </c>
      <c r="AC42" s="199">
        <f>MIN(Z42,1)*Roles!$D$4+MAX(Z42-1,0)*AB42</f>
        <v>7.16</v>
      </c>
      <c r="AD42" s="193">
        <f>AE42/$F42</f>
        <v>0</v>
      </c>
      <c r="AE42" s="197">
        <v>0.0</v>
      </c>
      <c r="AF42" s="200"/>
      <c r="AG42" s="200">
        <f>Roles!$D$6</f>
        <v>0.1</v>
      </c>
      <c r="AH42" s="199">
        <f>MIN(AE42,1)*Roles!$D$3+MAX(AE42-1,0)*AG42</f>
        <v>0</v>
      </c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 t="shared" si="1"/>
        <v>2</v>
      </c>
      <c r="F43" s="80">
        <v>5.0</v>
      </c>
      <c r="G43" s="105">
        <f t="shared" si="2"/>
        <v>0.00430663221360896</v>
      </c>
      <c r="H43" s="47">
        <f t="shared" si="27"/>
        <v>0.086993970714901</v>
      </c>
      <c r="I43" s="187">
        <f t="shared" si="25"/>
        <v>15</v>
      </c>
      <c r="J43" s="172">
        <f t="shared" si="28"/>
        <v>363.5</v>
      </c>
      <c r="K43" s="115">
        <f t="shared" si="3"/>
        <v>0.13860819828408</v>
      </c>
      <c r="L43" s="191">
        <f t="shared" si="26"/>
        <v>2.12</v>
      </c>
      <c r="M43" s="172">
        <f t="shared" si="29"/>
        <v>69.45</v>
      </c>
      <c r="N43" s="47">
        <f t="shared" si="4"/>
        <v>0.155511766945073</v>
      </c>
      <c r="O43" s="193">
        <f>P43/$F43</f>
        <v>0</v>
      </c>
      <c r="P43" s="206">
        <v>0.0</v>
      </c>
      <c r="Q43" s="195"/>
      <c r="R43" s="196">
        <f>Roles!$D$2</f>
        <v>0.61</v>
      </c>
      <c r="S43" s="196">
        <f>R43*P43</f>
        <v>0</v>
      </c>
      <c r="T43" s="193">
        <f>U43/$F43</f>
        <v>0</v>
      </c>
      <c r="U43" s="197">
        <v>0.0</v>
      </c>
      <c r="V43" s="195"/>
      <c r="W43" s="196">
        <f>Roles!$D$8</f>
        <v>0.09</v>
      </c>
      <c r="X43" s="199">
        <f>MIN(U43,1)*Roles!$D$5+MAX(U43-1,0)*W43</f>
        <v>0</v>
      </c>
      <c r="Y43" s="193">
        <f>Z43/$F43</f>
        <v>3</v>
      </c>
      <c r="Z43" s="197">
        <v>15.0</v>
      </c>
      <c r="AA43" s="195"/>
      <c r="AB43" s="196">
        <f>Roles!$D$7</f>
        <v>0.12</v>
      </c>
      <c r="AC43" s="199">
        <f>MIN(Z43,1)*Roles!$D$4+MAX(Z43-1,0)*AB43</f>
        <v>2.12</v>
      </c>
      <c r="AD43" s="193">
        <f>AE43/$F43</f>
        <v>0</v>
      </c>
      <c r="AE43" s="197">
        <v>0.0</v>
      </c>
      <c r="AF43" s="200"/>
      <c r="AG43" s="208">
        <f>Roles!$D$6</f>
        <v>0.1</v>
      </c>
      <c r="AH43" s="199">
        <f>MIN(AE43,1)*Roles!$D$3+MAX(AE43-1,0)*AG43</f>
        <v>0</v>
      </c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 t="shared" si="1"/>
        <v>2</v>
      </c>
      <c r="F44" s="80">
        <v>4.0</v>
      </c>
      <c r="G44" s="105">
        <f t="shared" si="2"/>
        <v>0.00344530577088717</v>
      </c>
      <c r="H44" s="47">
        <f t="shared" si="27"/>
        <v>0.0904392764857881</v>
      </c>
      <c r="I44" s="187">
        <f t="shared" si="25"/>
        <v>8</v>
      </c>
      <c r="J44" s="172">
        <f t="shared" si="28"/>
        <v>371.5</v>
      </c>
      <c r="K44" s="115">
        <f t="shared" si="3"/>
        <v>0.141658722592946</v>
      </c>
      <c r="L44" s="191">
        <f t="shared" si="26"/>
        <v>1.28</v>
      </c>
      <c r="M44" s="172">
        <f t="shared" si="29"/>
        <v>70.73</v>
      </c>
      <c r="N44" s="47">
        <f t="shared" si="4"/>
        <v>0.158377930540317</v>
      </c>
      <c r="O44" s="193">
        <f>P44/$F44</f>
        <v>0</v>
      </c>
      <c r="P44" s="206">
        <v>0.0</v>
      </c>
      <c r="Q44" s="195"/>
      <c r="R44" s="196">
        <f>Roles!$D$2</f>
        <v>0.61</v>
      </c>
      <c r="S44" s="196">
        <f>R44*P44</f>
        <v>0</v>
      </c>
      <c r="T44" s="193">
        <f>U44/$F44</f>
        <v>0</v>
      </c>
      <c r="U44" s="197">
        <v>0.0</v>
      </c>
      <c r="V44" s="195"/>
      <c r="W44" s="196">
        <f>Roles!$D$8</f>
        <v>0.09</v>
      </c>
      <c r="X44" s="199">
        <f>MIN(U44,1)*Roles!$D$5+MAX(U44-1,0)*W44</f>
        <v>0</v>
      </c>
      <c r="Y44" s="193">
        <f>Z44/$F44</f>
        <v>2</v>
      </c>
      <c r="Z44" s="197">
        <v>8.0</v>
      </c>
      <c r="AA44" s="195"/>
      <c r="AB44" s="196">
        <f>Roles!$D$7</f>
        <v>0.12</v>
      </c>
      <c r="AC44" s="199">
        <f>MIN(Z44,1)*Roles!$D$4+MAX(Z44-1,0)*AB44</f>
        <v>1.28</v>
      </c>
      <c r="AD44" s="193">
        <f>AE44/$F44</f>
        <v>0</v>
      </c>
      <c r="AE44" s="197">
        <v>0.0</v>
      </c>
      <c r="AF44" s="200"/>
      <c r="AG44" s="208">
        <f>Roles!$D$6</f>
        <v>0.1</v>
      </c>
      <c r="AH44" s="199">
        <f>MIN(AE44,1)*Roles!$D$3+MAX(AE44-1,0)*AG44</f>
        <v>0</v>
      </c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 t="shared" si="1"/>
        <v>1</v>
      </c>
      <c r="F45" s="80">
        <v>3.0</v>
      </c>
      <c r="G45" s="105">
        <f t="shared" si="2"/>
        <v>0.00258397932816538</v>
      </c>
      <c r="H45" s="47">
        <f t="shared" si="27"/>
        <v>0.0930232558139535</v>
      </c>
      <c r="I45" s="187">
        <f t="shared" si="25"/>
        <v>6</v>
      </c>
      <c r="J45" s="172">
        <f t="shared" si="28"/>
        <v>377.5</v>
      </c>
      <c r="K45" s="115">
        <f t="shared" si="3"/>
        <v>0.143946615824595</v>
      </c>
      <c r="L45" s="191">
        <f t="shared" si="26"/>
        <v>0.89</v>
      </c>
      <c r="M45" s="172">
        <f t="shared" si="29"/>
        <v>71.62</v>
      </c>
      <c r="N45" s="47">
        <f t="shared" si="4"/>
        <v>0.160370809915135</v>
      </c>
      <c r="O45" s="193">
        <f>P45/$F45</f>
        <v>0</v>
      </c>
      <c r="P45" s="206">
        <v>0.0</v>
      </c>
      <c r="Q45" s="195"/>
      <c r="R45" s="196">
        <f>Roles!$D$2</f>
        <v>0.61</v>
      </c>
      <c r="S45" s="196">
        <f>R45*P45</f>
        <v>0</v>
      </c>
      <c r="T45" s="193">
        <f>U45/$F45</f>
        <v>2</v>
      </c>
      <c r="U45" s="197">
        <v>6.0</v>
      </c>
      <c r="V45" s="195"/>
      <c r="W45" s="196">
        <f>Roles!$D$8</f>
        <v>0.09</v>
      </c>
      <c r="X45" s="199">
        <f>MIN(U45,1)*Roles!$D$5+MAX(U45-1,0)*W45</f>
        <v>0.89</v>
      </c>
      <c r="Y45" s="193">
        <f>Z45/$F45</f>
        <v>0</v>
      </c>
      <c r="Z45" s="197">
        <v>0.0</v>
      </c>
      <c r="AA45" s="195"/>
      <c r="AB45" s="196">
        <f>Roles!$D$7</f>
        <v>0.12</v>
      </c>
      <c r="AC45" s="199">
        <f>MIN(Z45,1)*Roles!$D$4+MAX(Z45-1,0)*AB45</f>
        <v>0</v>
      </c>
      <c r="AD45" s="193">
        <f>AE45/$F45</f>
        <v>0</v>
      </c>
      <c r="AE45" s="197">
        <v>0.0</v>
      </c>
      <c r="AF45" s="200"/>
      <c r="AG45" s="208">
        <f>Roles!$D$6</f>
        <v>0.1</v>
      </c>
      <c r="AH45" s="199">
        <f>MIN(AE45,1)*Roles!$D$3+MAX(AE45-1,0)*AG45</f>
        <v>0</v>
      </c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 t="shared" si="1"/>
        <v>2</v>
      </c>
      <c r="F46" s="80">
        <v>4.0</v>
      </c>
      <c r="G46" s="105">
        <f t="shared" si="2"/>
        <v>0.00344530577088717</v>
      </c>
      <c r="H46" s="47">
        <f t="shared" si="27"/>
        <v>0.0964685615848407</v>
      </c>
      <c r="I46" s="187">
        <f t="shared" si="25"/>
        <v>12</v>
      </c>
      <c r="J46" s="172">
        <f t="shared" si="28"/>
        <v>389.5</v>
      </c>
      <c r="K46" s="115">
        <f t="shared" si="3"/>
        <v>0.148522402287893</v>
      </c>
      <c r="L46" s="191">
        <f t="shared" si="26"/>
        <v>1.76</v>
      </c>
      <c r="M46" s="172">
        <f t="shared" si="29"/>
        <v>73.38</v>
      </c>
      <c r="N46" s="47">
        <f t="shared" si="4"/>
        <v>0.164311784858595</v>
      </c>
      <c r="O46" s="193">
        <f>P46/$F46</f>
        <v>0</v>
      </c>
      <c r="P46" s="206">
        <v>0.0</v>
      </c>
      <c r="Q46" s="195"/>
      <c r="R46" s="196">
        <f>Roles!$D$2</f>
        <v>0.61</v>
      </c>
      <c r="S46" s="196">
        <f>R46*P46</f>
        <v>0</v>
      </c>
      <c r="T46" s="193">
        <f>U46/$F46</f>
        <v>0</v>
      </c>
      <c r="U46" s="197">
        <v>0.0</v>
      </c>
      <c r="V46" s="195"/>
      <c r="W46" s="196">
        <f>Roles!$D$8</f>
        <v>0.09</v>
      </c>
      <c r="X46" s="199">
        <f>MIN(U46,1)*Roles!$D$5+MAX(U46-1,0)*W46</f>
        <v>0</v>
      </c>
      <c r="Y46" s="193">
        <f>Z46/$F46</f>
        <v>3</v>
      </c>
      <c r="Z46" s="197">
        <v>12.0</v>
      </c>
      <c r="AA46" s="195"/>
      <c r="AB46" s="196">
        <f>Roles!$D$7</f>
        <v>0.12</v>
      </c>
      <c r="AC46" s="199">
        <f>MIN(Z46,1)*Roles!$D$4+MAX(Z46-1,0)*AB46</f>
        <v>1.76</v>
      </c>
      <c r="AD46" s="193">
        <f>AE46/$F46</f>
        <v>0</v>
      </c>
      <c r="AE46" s="197">
        <v>0.0</v>
      </c>
      <c r="AF46" s="200"/>
      <c r="AG46" s="208">
        <f>Roles!$D$6</f>
        <v>0.1</v>
      </c>
      <c r="AH46" s="199">
        <f>MIN(AE46,1)*Roles!$D$3+MAX(AE46-1,0)*AG46</f>
        <v>0</v>
      </c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 t="shared" si="1"/>
        <v>6</v>
      </c>
      <c r="F47" s="246">
        <f>SUM(F48:F51)</f>
        <v>15</v>
      </c>
      <c r="G47" s="105">
        <f t="shared" si="2"/>
        <v>0.0129198966408269</v>
      </c>
      <c r="H47" s="226">
        <f>H51</f>
        <v>0.109388458225668</v>
      </c>
      <c r="I47" s="247">
        <f>SUM(I48:I51)</f>
        <v>33</v>
      </c>
      <c r="J47" s="247">
        <f>J51</f>
        <v>422.5</v>
      </c>
      <c r="K47" s="167">
        <f t="shared" si="3"/>
        <v>0.161105815061964</v>
      </c>
      <c r="L47" s="247">
        <f>SUM(L48:L51)</f>
        <v>5.73</v>
      </c>
      <c r="M47" s="247">
        <f>M51</f>
        <v>79.11</v>
      </c>
      <c r="N47" s="167">
        <f t="shared" si="4"/>
        <v>0.177142345327929</v>
      </c>
      <c r="O47" s="173"/>
      <c r="P47" s="174"/>
      <c r="Q47" s="178"/>
      <c r="R47" s="178"/>
      <c r="S47" s="178"/>
      <c r="T47" s="173"/>
      <c r="U47" s="195"/>
      <c r="V47" s="178"/>
      <c r="W47" s="178"/>
      <c r="X47" s="178"/>
      <c r="Y47" s="173"/>
      <c r="Z47" s="195"/>
      <c r="AA47" s="178"/>
      <c r="AB47" s="178"/>
      <c r="AC47" s="178"/>
      <c r="AD47" s="173"/>
      <c r="AE47" s="195"/>
      <c r="AF47" s="180"/>
      <c r="AG47" s="180"/>
      <c r="AH47" s="178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 t="shared" si="1"/>
        <v>2</v>
      </c>
      <c r="F48" s="80">
        <v>4.0</v>
      </c>
      <c r="G48" s="105">
        <f t="shared" si="2"/>
        <v>0.00344530577088717</v>
      </c>
      <c r="H48" s="47">
        <f>H46+G48</f>
        <v>0.0999138673557278</v>
      </c>
      <c r="I48" s="187">
        <f t="shared" ref="I48:I51" si="30">P48+U48+Z48+AE48</f>
        <v>8</v>
      </c>
      <c r="J48" s="172">
        <f>J46+I48</f>
        <v>397.5</v>
      </c>
      <c r="K48" s="115">
        <f t="shared" si="3"/>
        <v>0.151572926596759</v>
      </c>
      <c r="L48" s="191">
        <f t="shared" ref="L48:L51" si="31">S48+X48+AC48+AH48</f>
        <v>1.28</v>
      </c>
      <c r="M48" s="172">
        <f>M46+L48</f>
        <v>74.66</v>
      </c>
      <c r="N48" s="47">
        <f t="shared" si="4"/>
        <v>0.167177948453839</v>
      </c>
      <c r="O48" s="193">
        <f>P48/$F48</f>
        <v>0</v>
      </c>
      <c r="P48" s="206">
        <v>0.0</v>
      </c>
      <c r="Q48" s="195"/>
      <c r="R48" s="196">
        <f>Roles!$D$2</f>
        <v>0.61</v>
      </c>
      <c r="S48" s="196">
        <f>R48*P48</f>
        <v>0</v>
      </c>
      <c r="T48" s="193">
        <f>U48/$F48</f>
        <v>0</v>
      </c>
      <c r="U48" s="197">
        <v>0.0</v>
      </c>
      <c r="V48" s="195"/>
      <c r="W48" s="196">
        <f>Roles!$D$8</f>
        <v>0.09</v>
      </c>
      <c r="X48" s="199">
        <f>MIN(U48,1)*Roles!$D$5+MAX(U48-1,0)*W48</f>
        <v>0</v>
      </c>
      <c r="Y48" s="193">
        <f>Z48/$F48</f>
        <v>2</v>
      </c>
      <c r="Z48" s="197">
        <v>8.0</v>
      </c>
      <c r="AA48" s="195"/>
      <c r="AB48" s="196">
        <f>Roles!$D$7</f>
        <v>0.12</v>
      </c>
      <c r="AC48" s="199">
        <f>MIN(Z48,1)*Roles!$D$4+MAX(Z48-1,0)*AB48</f>
        <v>1.28</v>
      </c>
      <c r="AD48" s="193">
        <f>AE48/$F48</f>
        <v>0</v>
      </c>
      <c r="AE48" s="197">
        <v>0.0</v>
      </c>
      <c r="AF48" s="200"/>
      <c r="AG48" s="208">
        <f>Roles!$D$6</f>
        <v>0.1</v>
      </c>
      <c r="AH48" s="199">
        <f>MIN(AE48,1)*Roles!$D$3+MAX(AE48-1,0)*AG48</f>
        <v>0</v>
      </c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 t="shared" si="1"/>
        <v>1</v>
      </c>
      <c r="F49" s="80">
        <v>3.0</v>
      </c>
      <c r="G49" s="105">
        <f t="shared" si="2"/>
        <v>0.00258397932816538</v>
      </c>
      <c r="H49" s="47">
        <f t="shared" ref="H49:H51" si="32">H48+G49</f>
        <v>0.102497846683893</v>
      </c>
      <c r="I49" s="187">
        <f t="shared" si="30"/>
        <v>6</v>
      </c>
      <c r="J49" s="172">
        <f t="shared" ref="J49:J51" si="33">J48+I49</f>
        <v>403.5</v>
      </c>
      <c r="K49" s="115">
        <f t="shared" si="3"/>
        <v>0.153860819828408</v>
      </c>
      <c r="L49" s="191">
        <f t="shared" si="31"/>
        <v>1.04</v>
      </c>
      <c r="M49" s="172">
        <f t="shared" ref="M49:M51" si="34">M48+L49</f>
        <v>75.7</v>
      </c>
      <c r="N49" s="47">
        <f t="shared" si="4"/>
        <v>0.169506706374975</v>
      </c>
      <c r="O49" s="193">
        <f>P49/$F49</f>
        <v>0</v>
      </c>
      <c r="P49" s="206">
        <v>0.0</v>
      </c>
      <c r="Q49" s="195"/>
      <c r="R49" s="196">
        <f>Roles!$D$2</f>
        <v>0.61</v>
      </c>
      <c r="S49" s="196">
        <f>R49*P49</f>
        <v>0</v>
      </c>
      <c r="T49" s="193">
        <f>U49/$F49</f>
        <v>0</v>
      </c>
      <c r="U49" s="197">
        <v>0.0</v>
      </c>
      <c r="V49" s="195"/>
      <c r="W49" s="196">
        <f>Roles!$D$8</f>
        <v>0.09</v>
      </c>
      <c r="X49" s="199">
        <f>MIN(U49,1)*Roles!$D$5+MAX(U49-1,0)*W49</f>
        <v>0</v>
      </c>
      <c r="Y49" s="193">
        <f>Z49/$F49</f>
        <v>2</v>
      </c>
      <c r="Z49" s="197">
        <v>6.0</v>
      </c>
      <c r="AA49" s="195"/>
      <c r="AB49" s="196">
        <f>Roles!$D$7</f>
        <v>0.12</v>
      </c>
      <c r="AC49" s="199">
        <f>MIN(Z49,1)*Roles!$D$4+MAX(Z49-1,0)*AB49</f>
        <v>1.04</v>
      </c>
      <c r="AD49" s="193">
        <f>AE49/$F49</f>
        <v>0</v>
      </c>
      <c r="AE49" s="197">
        <v>0.0</v>
      </c>
      <c r="AF49" s="200"/>
      <c r="AG49" s="208">
        <f>Roles!$D$6</f>
        <v>0.1</v>
      </c>
      <c r="AH49" s="199">
        <f>MIN(AE49,1)*Roles!$D$3+MAX(AE49-1,0)*AG49</f>
        <v>0</v>
      </c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 t="shared" si="1"/>
        <v>3</v>
      </c>
      <c r="F50" s="80">
        <v>5.0</v>
      </c>
      <c r="G50" s="105">
        <f t="shared" si="2"/>
        <v>0.00430663221360896</v>
      </c>
      <c r="H50" s="47">
        <f t="shared" si="32"/>
        <v>0.106804478897502</v>
      </c>
      <c r="I50" s="187">
        <f t="shared" si="30"/>
        <v>12</v>
      </c>
      <c r="J50" s="172">
        <f t="shared" si="33"/>
        <v>415.5</v>
      </c>
      <c r="K50" s="115">
        <f t="shared" si="3"/>
        <v>0.158436606291706</v>
      </c>
      <c r="L50" s="191">
        <f t="shared" si="31"/>
        <v>1.76</v>
      </c>
      <c r="M50" s="172">
        <f t="shared" si="34"/>
        <v>77.46</v>
      </c>
      <c r="N50" s="47">
        <f t="shared" si="4"/>
        <v>0.173447681318435</v>
      </c>
      <c r="O50" s="193">
        <f>P50/$F50</f>
        <v>0</v>
      </c>
      <c r="P50" s="206">
        <v>0.0</v>
      </c>
      <c r="Q50" s="195"/>
      <c r="R50" s="196">
        <f>Roles!$D$2</f>
        <v>0.61</v>
      </c>
      <c r="S50" s="196">
        <f>R50*P50</f>
        <v>0</v>
      </c>
      <c r="T50" s="193">
        <f>U50/$F50</f>
        <v>0</v>
      </c>
      <c r="U50" s="197">
        <v>0.0</v>
      </c>
      <c r="V50" s="195"/>
      <c r="W50" s="196">
        <f>Roles!$D$8</f>
        <v>0.09</v>
      </c>
      <c r="X50" s="199">
        <f>MIN(U50,1)*Roles!$D$5+MAX(U50-1,0)*W50</f>
        <v>0</v>
      </c>
      <c r="Y50" s="193">
        <f>Z50/$F50</f>
        <v>2.4</v>
      </c>
      <c r="Z50" s="197">
        <v>12.0</v>
      </c>
      <c r="AA50" s="195"/>
      <c r="AB50" s="196">
        <f>Roles!$D$7</f>
        <v>0.12</v>
      </c>
      <c r="AC50" s="199">
        <f>MIN(Z50,1)*Roles!$D$4+MAX(Z50-1,0)*AB50</f>
        <v>1.76</v>
      </c>
      <c r="AD50" s="193">
        <f>AE50/$F50</f>
        <v>0</v>
      </c>
      <c r="AE50" s="197">
        <v>0.0</v>
      </c>
      <c r="AF50" s="200"/>
      <c r="AG50" s="208">
        <f>Roles!$D$6</f>
        <v>0.1</v>
      </c>
      <c r="AH50" s="199">
        <f>MIN(AE50,1)*Roles!$D$3+MAX(AE50-1,0)*AG50</f>
        <v>0</v>
      </c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 t="shared" si="1"/>
        <v>2</v>
      </c>
      <c r="F51" s="80">
        <v>3.0</v>
      </c>
      <c r="G51" s="105">
        <f t="shared" si="2"/>
        <v>0.00258397932816538</v>
      </c>
      <c r="H51" s="47">
        <f t="shared" si="32"/>
        <v>0.109388458225668</v>
      </c>
      <c r="I51" s="187">
        <f t="shared" si="30"/>
        <v>7</v>
      </c>
      <c r="J51" s="172">
        <f t="shared" si="33"/>
        <v>422.5</v>
      </c>
      <c r="K51" s="115">
        <f t="shared" si="3"/>
        <v>0.161105815061964</v>
      </c>
      <c r="L51" s="191">
        <f t="shared" si="31"/>
        <v>1.65</v>
      </c>
      <c r="M51" s="172">
        <f t="shared" si="34"/>
        <v>79.11</v>
      </c>
      <c r="N51" s="47">
        <f t="shared" si="4"/>
        <v>0.177142345327929</v>
      </c>
      <c r="O51" s="193">
        <f>P51/$F51</f>
        <v>0.333333333333333</v>
      </c>
      <c r="P51" s="194">
        <v>1.0</v>
      </c>
      <c r="Q51" s="195"/>
      <c r="R51" s="196">
        <f>Roles!$D$2</f>
        <v>0.61</v>
      </c>
      <c r="S51" s="196">
        <f>R51*P51</f>
        <v>0.61</v>
      </c>
      <c r="T51" s="193">
        <f>U51/$F51</f>
        <v>0</v>
      </c>
      <c r="U51" s="197">
        <v>0.0</v>
      </c>
      <c r="V51" s="195"/>
      <c r="W51" s="196">
        <f>Roles!$D$8</f>
        <v>0.09</v>
      </c>
      <c r="X51" s="199">
        <f>MIN(U51,1)*Roles!$D$5+MAX(U51-1,0)*W51</f>
        <v>0</v>
      </c>
      <c r="Y51" s="193">
        <f>Z51/$F51</f>
        <v>2</v>
      </c>
      <c r="Z51" s="197">
        <v>6.0</v>
      </c>
      <c r="AA51" s="195"/>
      <c r="AB51" s="196">
        <f>Roles!$D$7</f>
        <v>0.12</v>
      </c>
      <c r="AC51" s="199">
        <f>MIN(Z51,1)*Roles!$D$4+MAX(Z51-1,0)*AB51</f>
        <v>1.04</v>
      </c>
      <c r="AD51" s="193">
        <f>AE51/$F51</f>
        <v>0</v>
      </c>
      <c r="AE51" s="197">
        <v>0.0</v>
      </c>
      <c r="AF51" s="200"/>
      <c r="AG51" s="208">
        <f>Roles!$D$6</f>
        <v>0.1</v>
      </c>
      <c r="AH51" s="199">
        <f>MIN(AE51,1)*Roles!$D$3+MAX(AE51-1,0)*AG51</f>
        <v>0</v>
      </c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 t="shared" si="1"/>
        <v>4</v>
      </c>
      <c r="F52" s="246">
        <f>SUM(F53:F57)</f>
        <v>19</v>
      </c>
      <c r="G52" s="105">
        <f t="shared" si="2"/>
        <v>0.016365202411714</v>
      </c>
      <c r="H52" s="226">
        <f>H57</f>
        <v>0.125753660637382</v>
      </c>
      <c r="I52" s="247">
        <f>SUM(I53:I57)</f>
        <v>47</v>
      </c>
      <c r="J52" s="247">
        <f>J57</f>
        <v>469.5</v>
      </c>
      <c r="K52" s="167">
        <f t="shared" si="3"/>
        <v>0.179027645376549</v>
      </c>
      <c r="L52" s="247">
        <f>SUM(L53:L57)</f>
        <v>8.01</v>
      </c>
      <c r="M52" s="247">
        <f>M57</f>
        <v>87.12</v>
      </c>
      <c r="N52" s="167">
        <f t="shared" si="4"/>
        <v>0.195078259701292</v>
      </c>
      <c r="O52" s="173"/>
      <c r="P52" s="174"/>
      <c r="Q52" s="178"/>
      <c r="R52" s="178"/>
      <c r="S52" s="178"/>
      <c r="T52" s="173"/>
      <c r="U52" s="195"/>
      <c r="V52" s="178"/>
      <c r="W52" s="178"/>
      <c r="X52" s="178"/>
      <c r="Y52" s="173"/>
      <c r="Z52" s="195"/>
      <c r="AA52" s="178"/>
      <c r="AB52" s="178"/>
      <c r="AC52" s="178"/>
      <c r="AD52" s="173"/>
      <c r="AE52" s="195"/>
      <c r="AF52" s="180"/>
      <c r="AG52" s="180"/>
      <c r="AH52" s="178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 t="shared" si="1"/>
        <v>1</v>
      </c>
      <c r="F53" s="80">
        <v>3.0</v>
      </c>
      <c r="G53" s="105">
        <f t="shared" si="2"/>
        <v>0.00258397932816538</v>
      </c>
      <c r="H53" s="47">
        <f>H51+G53</f>
        <v>0.111972437553833</v>
      </c>
      <c r="I53" s="187">
        <f t="shared" ref="I53:I57" si="35">P53+U53+Z53+AE53</f>
        <v>6</v>
      </c>
      <c r="J53" s="172">
        <f>J51+I53</f>
        <v>428.5</v>
      </c>
      <c r="K53" s="115">
        <f t="shared" si="3"/>
        <v>0.163393708293613</v>
      </c>
      <c r="L53" s="191">
        <f t="shared" ref="L53:L57" si="36">S53+X53+AC53+AH53</f>
        <v>1.04</v>
      </c>
      <c r="M53" s="172">
        <f>M51+L53</f>
        <v>80.15</v>
      </c>
      <c r="N53" s="47">
        <f t="shared" si="4"/>
        <v>0.179471103249065</v>
      </c>
      <c r="O53" s="193">
        <f>P53/$F53</f>
        <v>0</v>
      </c>
      <c r="P53" s="206">
        <v>0.0</v>
      </c>
      <c r="Q53" s="195"/>
      <c r="R53" s="196">
        <f>Roles!$D$2</f>
        <v>0.61</v>
      </c>
      <c r="S53" s="196">
        <f>R53*P53</f>
        <v>0</v>
      </c>
      <c r="T53" s="193">
        <f>U53/$F53</f>
        <v>0</v>
      </c>
      <c r="U53" s="197">
        <v>0.0</v>
      </c>
      <c r="V53" s="195"/>
      <c r="W53" s="196">
        <f>Roles!$D$8</f>
        <v>0.09</v>
      </c>
      <c r="X53" s="199">
        <f>MIN(U53,1)*Roles!$D$5+MAX(U53-1,0)*W53</f>
        <v>0</v>
      </c>
      <c r="Y53" s="193">
        <f>Z53/$F53</f>
        <v>2</v>
      </c>
      <c r="Z53" s="197">
        <v>6.0</v>
      </c>
      <c r="AA53" s="195"/>
      <c r="AB53" s="196">
        <f>Roles!$D$7</f>
        <v>0.12</v>
      </c>
      <c r="AC53" s="199">
        <f>MIN(Z53,1)*Roles!$D$4+MAX(Z53-1,0)*AB53</f>
        <v>1.04</v>
      </c>
      <c r="AD53" s="193">
        <f>AE53/$F53</f>
        <v>0</v>
      </c>
      <c r="AE53" s="197">
        <v>0.0</v>
      </c>
      <c r="AF53" s="200"/>
      <c r="AG53" s="208">
        <f>Roles!$D$6</f>
        <v>0.1</v>
      </c>
      <c r="AH53" s="199">
        <f>MIN(AE53,1)*Roles!$D$3+MAX(AE53-1,0)*AG53</f>
        <v>0</v>
      </c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 t="shared" si="1"/>
        <v>3</v>
      </c>
      <c r="F54" s="80">
        <v>6.0</v>
      </c>
      <c r="G54" s="105">
        <f t="shared" si="2"/>
        <v>0.00516795865633075</v>
      </c>
      <c r="H54" s="47">
        <f t="shared" ref="H54:H57" si="37">H53+G54</f>
        <v>0.117140396210164</v>
      </c>
      <c r="I54" s="187">
        <f t="shared" si="35"/>
        <v>17</v>
      </c>
      <c r="J54" s="172">
        <f t="shared" ref="J54:J57" si="38">J53+I54</f>
        <v>445.5</v>
      </c>
      <c r="K54" s="115">
        <f t="shared" si="3"/>
        <v>0.169876072449952</v>
      </c>
      <c r="L54" s="191">
        <f t="shared" si="36"/>
        <v>3.08</v>
      </c>
      <c r="M54" s="172">
        <f t="shared" ref="M54:M57" si="39">M53+L54</f>
        <v>83.23</v>
      </c>
      <c r="N54" s="47">
        <f t="shared" si="4"/>
        <v>0.186367809400121</v>
      </c>
      <c r="O54" s="193">
        <f>P54/$F54</f>
        <v>0.166666666666667</v>
      </c>
      <c r="P54" s="194">
        <v>1.0</v>
      </c>
      <c r="Q54" s="195"/>
      <c r="R54" s="196">
        <f>Roles!$D$2</f>
        <v>0.61</v>
      </c>
      <c r="S54" s="196">
        <f>R54*P54</f>
        <v>0.61</v>
      </c>
      <c r="T54" s="193">
        <f>U54/$F54</f>
        <v>0.666666666666667</v>
      </c>
      <c r="U54" s="197">
        <v>4.0</v>
      </c>
      <c r="V54" s="195"/>
      <c r="W54" s="196">
        <f>Roles!$D$8</f>
        <v>0.09</v>
      </c>
      <c r="X54" s="199">
        <f>MIN(U54,1)*Roles!$D$5+MAX(U54-1,0)*W54</f>
        <v>0.71</v>
      </c>
      <c r="Y54" s="193">
        <f>Z54/$F54</f>
        <v>2</v>
      </c>
      <c r="Z54" s="197">
        <v>12.0</v>
      </c>
      <c r="AA54" s="195"/>
      <c r="AB54" s="196">
        <f>Roles!$D$7</f>
        <v>0.12</v>
      </c>
      <c r="AC54" s="199">
        <f>MIN(Z54,1)*Roles!$D$4+MAX(Z54-1,0)*AB54</f>
        <v>1.76</v>
      </c>
      <c r="AD54" s="193">
        <f>AE54/$F54</f>
        <v>0</v>
      </c>
      <c r="AE54" s="197">
        <v>0.0</v>
      </c>
      <c r="AF54" s="200"/>
      <c r="AG54" s="208">
        <f>Roles!$D$6</f>
        <v>0.1</v>
      </c>
      <c r="AH54" s="199">
        <f>MIN(AE54,1)*Roles!$D$3+MAX(AE54-1,0)*AG54</f>
        <v>0</v>
      </c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 t="shared" si="1"/>
        <v>3</v>
      </c>
      <c r="F55" s="80">
        <v>6.0</v>
      </c>
      <c r="G55" s="105">
        <f t="shared" si="2"/>
        <v>0.00516795865633075</v>
      </c>
      <c r="H55" s="47">
        <f t="shared" si="37"/>
        <v>0.122308354866494</v>
      </c>
      <c r="I55" s="187">
        <f t="shared" si="35"/>
        <v>16</v>
      </c>
      <c r="J55" s="172">
        <f t="shared" si="38"/>
        <v>461.5</v>
      </c>
      <c r="K55" s="115">
        <f t="shared" si="3"/>
        <v>0.175977121067684</v>
      </c>
      <c r="L55" s="191">
        <f t="shared" si="36"/>
        <v>2.47</v>
      </c>
      <c r="M55" s="172">
        <f t="shared" si="39"/>
        <v>85.7</v>
      </c>
      <c r="N55" s="47">
        <f t="shared" si="4"/>
        <v>0.191898609462818</v>
      </c>
      <c r="O55" s="193">
        <f>P55/$F55</f>
        <v>0</v>
      </c>
      <c r="P55" s="206">
        <v>0.0</v>
      </c>
      <c r="Q55" s="195"/>
      <c r="R55" s="196">
        <f>Roles!$D$2</f>
        <v>0.61</v>
      </c>
      <c r="S55" s="196">
        <f>R55*P55</f>
        <v>0</v>
      </c>
      <c r="T55" s="193">
        <f>U55/$F55</f>
        <v>0.666666666666667</v>
      </c>
      <c r="U55" s="197">
        <v>4.0</v>
      </c>
      <c r="V55" s="195"/>
      <c r="W55" s="196">
        <f>Roles!$D$8</f>
        <v>0.09</v>
      </c>
      <c r="X55" s="199">
        <f>MIN(U55,1)*Roles!$D$5+MAX(U55-1,0)*W55</f>
        <v>0.71</v>
      </c>
      <c r="Y55" s="193">
        <f>Z55/$F55</f>
        <v>2</v>
      </c>
      <c r="Z55" s="197">
        <v>12.0</v>
      </c>
      <c r="AA55" s="195"/>
      <c r="AB55" s="196">
        <f>Roles!$D$7</f>
        <v>0.12</v>
      </c>
      <c r="AC55" s="199">
        <f>MIN(Z55,1)*Roles!$D$4+MAX(Z55-1,0)*AB55</f>
        <v>1.76</v>
      </c>
      <c r="AD55" s="193">
        <f>AE55/$F55</f>
        <v>0</v>
      </c>
      <c r="AE55" s="197">
        <v>0.0</v>
      </c>
      <c r="AF55" s="200"/>
      <c r="AG55" s="208">
        <f>Roles!$D$6</f>
        <v>0.1</v>
      </c>
      <c r="AH55" s="199">
        <f>MIN(AE55,1)*Roles!$D$3+MAX(AE55-1,0)*AG55</f>
        <v>0</v>
      </c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 t="shared" si="1"/>
        <v>2</v>
      </c>
      <c r="F56" s="80">
        <v>3.0</v>
      </c>
      <c r="G56" s="105">
        <f t="shared" si="2"/>
        <v>0.00258397932816538</v>
      </c>
      <c r="H56" s="47">
        <f t="shared" si="37"/>
        <v>0.12489233419466</v>
      </c>
      <c r="I56" s="187">
        <f t="shared" si="35"/>
        <v>6</v>
      </c>
      <c r="J56" s="172">
        <f t="shared" si="38"/>
        <v>467.5</v>
      </c>
      <c r="K56" s="115">
        <f t="shared" si="3"/>
        <v>0.178265014299333</v>
      </c>
      <c r="L56" s="191">
        <f t="shared" si="36"/>
        <v>0.89</v>
      </c>
      <c r="M56" s="172">
        <f t="shared" si="39"/>
        <v>86.59</v>
      </c>
      <c r="N56" s="47">
        <f t="shared" si="4"/>
        <v>0.193891488837636</v>
      </c>
      <c r="O56" s="193">
        <f>P56/$F56</f>
        <v>0</v>
      </c>
      <c r="P56" s="206">
        <v>0.0</v>
      </c>
      <c r="Q56" s="195"/>
      <c r="R56" s="196">
        <f>Roles!$D$2</f>
        <v>0.61</v>
      </c>
      <c r="S56" s="196">
        <f>R56*P56</f>
        <v>0</v>
      </c>
      <c r="T56" s="193">
        <f>U56/$F56</f>
        <v>2</v>
      </c>
      <c r="U56" s="197">
        <v>6.0</v>
      </c>
      <c r="V56" s="195"/>
      <c r="W56" s="196">
        <f>Roles!$D$8</f>
        <v>0.09</v>
      </c>
      <c r="X56" s="199">
        <f>MIN(U56,1)*Roles!$D$5+MAX(U56-1,0)*W56</f>
        <v>0.89</v>
      </c>
      <c r="Y56" s="193">
        <f>Z56/$F56</f>
        <v>0</v>
      </c>
      <c r="Z56" s="197">
        <v>0.0</v>
      </c>
      <c r="AA56" s="195"/>
      <c r="AB56" s="196">
        <f>Roles!$D$7</f>
        <v>0.12</v>
      </c>
      <c r="AC56" s="199">
        <f>MIN(Z56,1)*Roles!$D$4+MAX(Z56-1,0)*AB56</f>
        <v>0</v>
      </c>
      <c r="AD56" s="193">
        <f>AE56/$F56</f>
        <v>0</v>
      </c>
      <c r="AE56" s="197">
        <v>0.0</v>
      </c>
      <c r="AF56" s="200"/>
      <c r="AG56" s="208">
        <f>Roles!$D$6</f>
        <v>0.1</v>
      </c>
      <c r="AH56" s="199">
        <f>MIN(AE56,1)*Roles!$D$3+MAX(AE56-1,0)*AG56</f>
        <v>0</v>
      </c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 t="shared" si="1"/>
        <v>1</v>
      </c>
      <c r="F57" s="80">
        <v>1.0</v>
      </c>
      <c r="G57" s="105">
        <f t="shared" si="2"/>
        <v>0.000861326442721792</v>
      </c>
      <c r="H57" s="47">
        <f t="shared" si="37"/>
        <v>0.125753660637382</v>
      </c>
      <c r="I57" s="187">
        <f t="shared" si="35"/>
        <v>2</v>
      </c>
      <c r="J57" s="172">
        <f t="shared" si="38"/>
        <v>469.5</v>
      </c>
      <c r="K57" s="115">
        <f t="shared" si="3"/>
        <v>0.179027645376549</v>
      </c>
      <c r="L57" s="191">
        <f t="shared" si="36"/>
        <v>0.53</v>
      </c>
      <c r="M57" s="172">
        <f t="shared" si="39"/>
        <v>87.12</v>
      </c>
      <c r="N57" s="47">
        <f t="shared" si="4"/>
        <v>0.195078259701292</v>
      </c>
      <c r="O57" s="193">
        <f>P57/$F57</f>
        <v>0</v>
      </c>
      <c r="P57" s="206">
        <v>0.0</v>
      </c>
      <c r="Q57" s="195"/>
      <c r="R57" s="196">
        <f>Roles!$D$2</f>
        <v>0.61</v>
      </c>
      <c r="S57" s="196">
        <f>R57*P57</f>
        <v>0</v>
      </c>
      <c r="T57" s="193">
        <f>U57/$F57</f>
        <v>2</v>
      </c>
      <c r="U57" s="197">
        <v>2.0</v>
      </c>
      <c r="V57" s="195"/>
      <c r="W57" s="196">
        <f>Roles!$D$8</f>
        <v>0.09</v>
      </c>
      <c r="X57" s="199">
        <f>MIN(U57,1)*Roles!$D$5+MAX(U57-1,0)*W57</f>
        <v>0.53</v>
      </c>
      <c r="Y57" s="193">
        <f>Z57/$F57</f>
        <v>0</v>
      </c>
      <c r="Z57" s="197">
        <v>0.0</v>
      </c>
      <c r="AA57" s="195"/>
      <c r="AB57" s="196">
        <f>Roles!$D$7</f>
        <v>0.12</v>
      </c>
      <c r="AC57" s="199">
        <f>MIN(Z57,1)*Roles!$D$4+MAX(Z57-1,0)*AB57</f>
        <v>0</v>
      </c>
      <c r="AD57" s="193">
        <f>AE57/$F57</f>
        <v>0</v>
      </c>
      <c r="AE57" s="197">
        <v>0.0</v>
      </c>
      <c r="AF57" s="200"/>
      <c r="AG57" s="208">
        <f>Roles!$D$6</f>
        <v>0.1</v>
      </c>
      <c r="AH57" s="199">
        <f>MIN(AE57,1)*Roles!$D$3+MAX(AE57-1,0)*AG57</f>
        <v>0</v>
      </c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 t="shared" si="1"/>
        <v>3</v>
      </c>
      <c r="F58" s="246">
        <f>SUM(F59:F61)</f>
        <v>22</v>
      </c>
      <c r="G58" s="105">
        <f t="shared" si="2"/>
        <v>0.0189491817398794</v>
      </c>
      <c r="H58" s="226">
        <f>H61</f>
        <v>0.144702842377261</v>
      </c>
      <c r="I58" s="247">
        <f>SUM(I59:I61)</f>
        <v>95</v>
      </c>
      <c r="J58" s="247">
        <f>J61</f>
        <v>564.5</v>
      </c>
      <c r="K58" s="167">
        <f t="shared" si="3"/>
        <v>0.215252621544328</v>
      </c>
      <c r="L58" s="247">
        <f>SUM(L59:L61)</f>
        <v>14.46</v>
      </c>
      <c r="M58" s="247">
        <f>M61</f>
        <v>101.58</v>
      </c>
      <c r="N58" s="226">
        <f t="shared" si="4"/>
        <v>0.227456951566314</v>
      </c>
      <c r="O58" s="264"/>
      <c r="P58" s="174"/>
      <c r="Q58" s="178"/>
      <c r="R58" s="178"/>
      <c r="S58" s="178"/>
      <c r="T58" s="178"/>
      <c r="U58" s="195"/>
      <c r="V58" s="178"/>
      <c r="W58" s="178"/>
      <c r="X58" s="178"/>
      <c r="Y58" s="178"/>
      <c r="Z58" s="195"/>
      <c r="AA58" s="178"/>
      <c r="AB58" s="178"/>
      <c r="AC58" s="178"/>
      <c r="AD58" s="173"/>
      <c r="AE58" s="195"/>
      <c r="AF58" s="180"/>
      <c r="AG58" s="180"/>
      <c r="AH58" s="178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 t="shared" si="1"/>
        <v>3</v>
      </c>
      <c r="F59" s="80">
        <v>10.0</v>
      </c>
      <c r="G59" s="105">
        <f t="shared" si="2"/>
        <v>0.00861326442721792</v>
      </c>
      <c r="H59" s="47">
        <f>H57+G59</f>
        <v>0.1343669250646</v>
      </c>
      <c r="I59" s="187">
        <f t="shared" ref="I59:I61" si="40">P59+U59+Z59+AE59</f>
        <v>45</v>
      </c>
      <c r="J59" s="172">
        <f>J57+I59</f>
        <v>514.5</v>
      </c>
      <c r="K59" s="115">
        <f t="shared" si="3"/>
        <v>0.196186844613918</v>
      </c>
      <c r="L59" s="191">
        <f t="shared" ref="L59:L61" si="41">S59+X59+AC59+AH59</f>
        <v>6.38</v>
      </c>
      <c r="M59" s="172">
        <f>M57+L59</f>
        <v>93.5</v>
      </c>
      <c r="N59" s="47">
        <f t="shared" si="4"/>
        <v>0.209364293871336</v>
      </c>
      <c r="O59" s="193">
        <f>P59/$F59</f>
        <v>0.1</v>
      </c>
      <c r="P59" s="194">
        <v>1.0</v>
      </c>
      <c r="Q59" s="195"/>
      <c r="R59" s="196">
        <f>Roles!$D$2</f>
        <v>0.61</v>
      </c>
      <c r="S59" s="196">
        <f>R59*P59</f>
        <v>0.61</v>
      </c>
      <c r="T59" s="193">
        <f>U59/$F59</f>
        <v>0.6</v>
      </c>
      <c r="U59" s="197">
        <v>6</v>
      </c>
      <c r="V59" s="195"/>
      <c r="W59" s="195">
        <f>Roles!$D$8</f>
        <v>0.09</v>
      </c>
      <c r="X59" s="199">
        <f>MIN(U59,1)*Roles!$D$5+MAX(U59-1,0)*W59</f>
        <v>0.89</v>
      </c>
      <c r="Y59" s="193">
        <f>Z59/$F59</f>
        <v>3.8</v>
      </c>
      <c r="Z59" s="197">
        <v>38.0</v>
      </c>
      <c r="AA59" s="195"/>
      <c r="AB59" s="195">
        <f>Roles!$D$7</f>
        <v>0.12</v>
      </c>
      <c r="AC59" s="199">
        <f>MIN(Z59,1)*Roles!$D$4+MAX(Z59-1,0)*AB59</f>
        <v>4.88</v>
      </c>
      <c r="AD59" s="193">
        <f>AE59/$F59</f>
        <v>0</v>
      </c>
      <c r="AE59" s="197">
        <v>0.0</v>
      </c>
      <c r="AF59" s="200"/>
      <c r="AG59" s="200">
        <f>Roles!$D$6</f>
        <v>0.1</v>
      </c>
      <c r="AH59" s="199">
        <f>MIN(AE59,1)*Roles!$D$3+MAX(AE59-1,0)*AG59</f>
        <v>0</v>
      </c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 t="shared" si="1"/>
        <v>2</v>
      </c>
      <c r="F60" s="80">
        <v>10.0</v>
      </c>
      <c r="G60" s="105">
        <f t="shared" si="2"/>
        <v>0.00861326442721792</v>
      </c>
      <c r="H60" s="47">
        <f t="shared" ref="H60:H61" si="42">H59+G60</f>
        <v>0.142980189491817</v>
      </c>
      <c r="I60" s="187">
        <f t="shared" si="40"/>
        <v>45</v>
      </c>
      <c r="J60" s="172">
        <f t="shared" ref="J60:J61" si="43">J59+I60</f>
        <v>559.5</v>
      </c>
      <c r="K60" s="115">
        <f t="shared" si="3"/>
        <v>0.213346043851287</v>
      </c>
      <c r="L60" s="191">
        <f t="shared" si="41"/>
        <v>6.38</v>
      </c>
      <c r="M60" s="172">
        <f t="shared" ref="M60:M61" si="44">M59+L60</f>
        <v>99.88</v>
      </c>
      <c r="N60" s="47">
        <f t="shared" si="4"/>
        <v>0.22365032804138</v>
      </c>
      <c r="O60" s="193">
        <f>P60/$F60</f>
        <v>0.1</v>
      </c>
      <c r="P60" s="194">
        <v>1.0</v>
      </c>
      <c r="Q60" s="195"/>
      <c r="R60" s="196">
        <f>Roles!$D$2</f>
        <v>0.61</v>
      </c>
      <c r="S60" s="196">
        <f>R60*P60</f>
        <v>0.61</v>
      </c>
      <c r="T60" s="193">
        <f>U60/$F60</f>
        <v>0.6</v>
      </c>
      <c r="U60" s="197">
        <v>6</v>
      </c>
      <c r="V60" s="195"/>
      <c r="W60" s="195">
        <f>Roles!$D$8</f>
        <v>0.09</v>
      </c>
      <c r="X60" s="199">
        <f>MIN(U60,1)*Roles!$D$5+MAX(U60-1,0)*W60</f>
        <v>0.89</v>
      </c>
      <c r="Y60" s="193">
        <f>Z60/$F60</f>
        <v>3.8</v>
      </c>
      <c r="Z60" s="197">
        <v>38.0</v>
      </c>
      <c r="AA60" s="195"/>
      <c r="AB60" s="195">
        <f>Roles!$D$7</f>
        <v>0.12</v>
      </c>
      <c r="AC60" s="199">
        <f>MIN(Z60,1)*Roles!$D$4+MAX(Z60-1,0)*AB60</f>
        <v>4.88</v>
      </c>
      <c r="AD60" s="193">
        <f>AE60/$F60</f>
        <v>0</v>
      </c>
      <c r="AE60" s="197">
        <v>0.0</v>
      </c>
      <c r="AF60" s="200"/>
      <c r="AG60" s="200">
        <f>Roles!$D$6</f>
        <v>0.1</v>
      </c>
      <c r="AH60" s="199">
        <f>MIN(AE60,1)*Roles!$D$3+MAX(AE60-1,0)*AG60</f>
        <v>0</v>
      </c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 t="shared" si="1"/>
        <v>1</v>
      </c>
      <c r="F61" s="80">
        <v>2.0</v>
      </c>
      <c r="G61" s="105">
        <f t="shared" si="2"/>
        <v>0.00172265288544358</v>
      </c>
      <c r="H61" s="47">
        <f t="shared" si="42"/>
        <v>0.144702842377261</v>
      </c>
      <c r="I61" s="187">
        <f t="shared" si="40"/>
        <v>5</v>
      </c>
      <c r="J61" s="172">
        <f t="shared" si="43"/>
        <v>564.5</v>
      </c>
      <c r="K61" s="115">
        <f t="shared" si="3"/>
        <v>0.215252621544328</v>
      </c>
      <c r="L61" s="191">
        <f t="shared" si="41"/>
        <v>1.7</v>
      </c>
      <c r="M61" s="172">
        <f t="shared" si="44"/>
        <v>101.58</v>
      </c>
      <c r="N61" s="47">
        <f t="shared" si="4"/>
        <v>0.227456951566314</v>
      </c>
      <c r="O61" s="193">
        <f>P61/$F61</f>
        <v>0.5</v>
      </c>
      <c r="P61" s="194">
        <v>1.0</v>
      </c>
      <c r="Q61" s="195"/>
      <c r="R61" s="196">
        <f>Roles!$D$2</f>
        <v>0.61</v>
      </c>
      <c r="S61" s="196">
        <f>R61*P61</f>
        <v>0.61</v>
      </c>
      <c r="T61" s="193">
        <f>U61/$F61</f>
        <v>1</v>
      </c>
      <c r="U61" s="197">
        <v>2.0</v>
      </c>
      <c r="V61" s="195"/>
      <c r="W61" s="196">
        <f>Roles!$D$8</f>
        <v>0.09</v>
      </c>
      <c r="X61" s="199">
        <f>MIN(U61,1)*Roles!$D$5+MAX(U61-1,0)*W61</f>
        <v>0.53</v>
      </c>
      <c r="Y61" s="193">
        <f>Z61/$F61</f>
        <v>1</v>
      </c>
      <c r="Z61" s="197">
        <v>2.0</v>
      </c>
      <c r="AA61" s="195"/>
      <c r="AB61" s="196">
        <f>Roles!$D$7</f>
        <v>0.12</v>
      </c>
      <c r="AC61" s="199">
        <f>MIN(Z61,1)*Roles!$D$4+MAX(Z61-1,0)*AB61</f>
        <v>0.56</v>
      </c>
      <c r="AD61" s="193">
        <f>AE61/$F61</f>
        <v>0</v>
      </c>
      <c r="AE61" s="197">
        <v>0.0</v>
      </c>
      <c r="AF61" s="200"/>
      <c r="AG61" s="208">
        <f>Roles!$D$6</f>
        <v>0.1</v>
      </c>
      <c r="AH61" s="199">
        <f>MIN(AE61,1)*Roles!$D$3+MAX(AE61-1,0)*AG61</f>
        <v>0</v>
      </c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 t="shared" si="1"/>
        <v>3</v>
      </c>
      <c r="F62" s="246">
        <f>SUM(F63:F65)</f>
        <v>25</v>
      </c>
      <c r="G62" s="105">
        <f t="shared" si="2"/>
        <v>0.0215331610680448</v>
      </c>
      <c r="H62" s="226">
        <f>H65</f>
        <v>0.166236003445306</v>
      </c>
      <c r="I62" s="247">
        <f>SUM(I63:I65)</f>
        <v>78</v>
      </c>
      <c r="J62" s="247">
        <f>J65</f>
        <v>642.5</v>
      </c>
      <c r="K62" s="167">
        <f t="shared" si="3"/>
        <v>0.244995233555767</v>
      </c>
      <c r="L62" s="247">
        <f>SUM(L63:L65)</f>
        <v>12.57</v>
      </c>
      <c r="M62" s="247">
        <f>M65</f>
        <v>114.15</v>
      </c>
      <c r="N62" s="226">
        <f t="shared" si="4"/>
        <v>0.255603573747733</v>
      </c>
      <c r="O62" s="264"/>
      <c r="P62" s="174"/>
      <c r="Q62" s="178"/>
      <c r="R62" s="178"/>
      <c r="S62" s="178"/>
      <c r="T62" s="178"/>
      <c r="U62" s="195"/>
      <c r="V62" s="178"/>
      <c r="W62" s="178"/>
      <c r="X62" s="178"/>
      <c r="Y62" s="178"/>
      <c r="Z62" s="195"/>
      <c r="AA62" s="178"/>
      <c r="AB62" s="178"/>
      <c r="AC62" s="178"/>
      <c r="AD62" s="173"/>
      <c r="AE62" s="195"/>
      <c r="AF62" s="180"/>
      <c r="AG62" s="180"/>
      <c r="AH62" s="178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 t="shared" si="1"/>
        <v>2</v>
      </c>
      <c r="F63" s="80">
        <v>10.0</v>
      </c>
      <c r="G63" s="105">
        <f t="shared" si="2"/>
        <v>0.00861326442721792</v>
      </c>
      <c r="H63" s="47">
        <f>H61+G63</f>
        <v>0.153316106804479</v>
      </c>
      <c r="I63" s="187">
        <f t="shared" ref="I63:I65" si="45">P63+U63+Z63+AE63</f>
        <v>36</v>
      </c>
      <c r="J63" s="172">
        <f>J61+I63</f>
        <v>600.5</v>
      </c>
      <c r="K63" s="115">
        <f t="shared" si="3"/>
        <v>0.228979980934223</v>
      </c>
      <c r="L63" s="191">
        <f t="shared" ref="L63:L65" si="46">S63+X63+AC63+AH63</f>
        <v>5.03</v>
      </c>
      <c r="M63" s="172">
        <f>M61+L63</f>
        <v>106.61</v>
      </c>
      <c r="N63" s="47">
        <f t="shared" si="4"/>
        <v>0.238720078819499</v>
      </c>
      <c r="O63" s="193">
        <f>P63/$F63</f>
        <v>0.1</v>
      </c>
      <c r="P63" s="194">
        <v>1.0</v>
      </c>
      <c r="Q63" s="195"/>
      <c r="R63" s="196">
        <f>Roles!$D$2</f>
        <v>0.61</v>
      </c>
      <c r="S63" s="196">
        <f>R63*P63</f>
        <v>0.61</v>
      </c>
      <c r="T63" s="193">
        <f>U63/$F63</f>
        <v>1.5</v>
      </c>
      <c r="U63" s="197">
        <v>15</v>
      </c>
      <c r="V63" s="195"/>
      <c r="W63" s="195">
        <f>Roles!$D$8</f>
        <v>0.09</v>
      </c>
      <c r="X63" s="199">
        <f>MIN(U63,1)*Roles!$D$5+MAX(U63-1,0)*W63</f>
        <v>1.7</v>
      </c>
      <c r="Y63" s="193">
        <f>Z63/$F63</f>
        <v>2</v>
      </c>
      <c r="Z63" s="197">
        <v>20.0</v>
      </c>
      <c r="AA63" s="195"/>
      <c r="AB63" s="195">
        <f>Roles!$D$7</f>
        <v>0.12</v>
      </c>
      <c r="AC63" s="199">
        <f>MIN(Z63,1)*Roles!$D$4+MAX(Z63-1,0)*AB63</f>
        <v>2.72</v>
      </c>
      <c r="AD63" s="193">
        <f>AE63/$F63</f>
        <v>0</v>
      </c>
      <c r="AE63" s="197">
        <v>0.0</v>
      </c>
      <c r="AF63" s="200"/>
      <c r="AG63" s="200">
        <f>Roles!$D$6</f>
        <v>0.1</v>
      </c>
      <c r="AH63" s="199">
        <f>MIN(AE63,1)*Roles!$D$3+MAX(AE63-1,0)*AG63</f>
        <v>0</v>
      </c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 t="shared" si="1"/>
        <v>2</v>
      </c>
      <c r="F64" s="80">
        <v>10.0</v>
      </c>
      <c r="G64" s="105">
        <f t="shared" si="2"/>
        <v>0.00861326442721792</v>
      </c>
      <c r="H64" s="47">
        <f t="shared" ref="H64:H65" si="47">H63+G64</f>
        <v>0.161929371231697</v>
      </c>
      <c r="I64" s="187">
        <f t="shared" si="45"/>
        <v>36</v>
      </c>
      <c r="J64" s="172">
        <f t="shared" ref="J64:J65" si="48">J63+I64</f>
        <v>636.5</v>
      </c>
      <c r="K64" s="115">
        <f t="shared" si="3"/>
        <v>0.242707340324118</v>
      </c>
      <c r="L64" s="191">
        <f t="shared" si="46"/>
        <v>5.03</v>
      </c>
      <c r="M64" s="172">
        <f t="shared" ref="M64:M65" si="49">M63+L64</f>
        <v>111.64</v>
      </c>
      <c r="N64" s="47">
        <f t="shared" si="4"/>
        <v>0.249983206072684</v>
      </c>
      <c r="O64" s="193">
        <f>P64/$F64</f>
        <v>0.1</v>
      </c>
      <c r="P64" s="194">
        <v>1.0</v>
      </c>
      <c r="Q64" s="195"/>
      <c r="R64" s="196">
        <f>Roles!$D$2</f>
        <v>0.61</v>
      </c>
      <c r="S64" s="196">
        <f>R64*P64</f>
        <v>0.61</v>
      </c>
      <c r="T64" s="193">
        <f>U64/$F64</f>
        <v>1.5</v>
      </c>
      <c r="U64" s="197">
        <v>15</v>
      </c>
      <c r="V64" s="195"/>
      <c r="W64" s="195">
        <f>Roles!$D$8</f>
        <v>0.09</v>
      </c>
      <c r="X64" s="199">
        <f>MIN(U64,1)*Roles!$D$5+MAX(U64-1,0)*W64</f>
        <v>1.7</v>
      </c>
      <c r="Y64" s="193">
        <f>Z64/$F64</f>
        <v>2</v>
      </c>
      <c r="Z64" s="197">
        <v>20.0</v>
      </c>
      <c r="AA64" s="195"/>
      <c r="AB64" s="195">
        <f>Roles!$D$7</f>
        <v>0.12</v>
      </c>
      <c r="AC64" s="199">
        <f>MIN(Z64,1)*Roles!$D$4+MAX(Z64-1,0)*AB64</f>
        <v>2.72</v>
      </c>
      <c r="AD64" s="193">
        <f>AE64/$F64</f>
        <v>0</v>
      </c>
      <c r="AE64" s="197">
        <v>0.0</v>
      </c>
      <c r="AF64" s="200"/>
      <c r="AG64" s="200">
        <f>Roles!$D$6</f>
        <v>0.1</v>
      </c>
      <c r="AH64" s="199">
        <f>MIN(AE64,1)*Roles!$D$3+MAX(AE64-1,0)*AG64</f>
        <v>0</v>
      </c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 t="shared" si="1"/>
        <v>1</v>
      </c>
      <c r="F65" s="80">
        <v>5.0</v>
      </c>
      <c r="G65" s="105">
        <f t="shared" si="2"/>
        <v>0.00430663221360896</v>
      </c>
      <c r="H65" s="47">
        <f t="shared" si="47"/>
        <v>0.166236003445306</v>
      </c>
      <c r="I65" s="187">
        <f t="shared" si="45"/>
        <v>6</v>
      </c>
      <c r="J65" s="172">
        <f t="shared" si="48"/>
        <v>642.5</v>
      </c>
      <c r="K65" s="115">
        <f t="shared" si="3"/>
        <v>0.244995233555767</v>
      </c>
      <c r="L65" s="191">
        <f t="shared" si="46"/>
        <v>2.51</v>
      </c>
      <c r="M65" s="172">
        <f t="shared" si="49"/>
        <v>114.15</v>
      </c>
      <c r="N65" s="47">
        <f t="shared" si="4"/>
        <v>0.255603573747733</v>
      </c>
      <c r="O65" s="193">
        <f>P65/$F65</f>
        <v>0.6</v>
      </c>
      <c r="P65" s="194">
        <v>3</v>
      </c>
      <c r="Q65" s="195"/>
      <c r="R65" s="196">
        <f>Roles!$D$2</f>
        <v>0.61</v>
      </c>
      <c r="S65" s="196">
        <f>R65*P65</f>
        <v>1.83</v>
      </c>
      <c r="T65" s="193">
        <f>U65/$F65</f>
        <v>0</v>
      </c>
      <c r="U65" s="197">
        <v>0.0</v>
      </c>
      <c r="V65" s="195"/>
      <c r="W65" s="195">
        <f>Roles!$D$8</f>
        <v>0.09</v>
      </c>
      <c r="X65" s="199">
        <f>MIN(U65,1)*Roles!$D$5+MAX(U65-1,0)*W65</f>
        <v>0</v>
      </c>
      <c r="Y65" s="193">
        <f>Z65/$F65</f>
        <v>0.6</v>
      </c>
      <c r="Z65" s="197">
        <v>3.0</v>
      </c>
      <c r="AA65" s="195"/>
      <c r="AB65" s="195">
        <f>Roles!$D$7</f>
        <v>0.12</v>
      </c>
      <c r="AC65" s="199">
        <f>MIN(Z65,1)*Roles!$D$4+MAX(Z65-1,0)*AB65</f>
        <v>0.68</v>
      </c>
      <c r="AD65" s="193">
        <f>AE65/$F65</f>
        <v>0</v>
      </c>
      <c r="AE65" s="197">
        <v>0.0</v>
      </c>
      <c r="AF65" s="200"/>
      <c r="AG65" s="200">
        <f>Roles!$D$6</f>
        <v>0.1</v>
      </c>
      <c r="AH65" s="199">
        <f>MIN(AE65,1)*Roles!$D$3+MAX(AE65-1,0)*AG65</f>
        <v>0</v>
      </c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 t="shared" si="1"/>
        <v>4</v>
      </c>
      <c r="F66" s="246">
        <f>SUM(F67:F69)</f>
        <v>36</v>
      </c>
      <c r="G66" s="105">
        <f t="shared" si="2"/>
        <v>0.0310077519379845</v>
      </c>
      <c r="H66" s="226">
        <f>H69</f>
        <v>0.19724375538329</v>
      </c>
      <c r="I66" s="247">
        <f>SUM(I67:I69)</f>
        <v>45</v>
      </c>
      <c r="J66" s="247">
        <f>J69</f>
        <v>687.5</v>
      </c>
      <c r="K66" s="167">
        <f t="shared" si="3"/>
        <v>0.262154432793136</v>
      </c>
      <c r="L66" s="247">
        <f>SUM(L67:L69)</f>
        <v>7.7</v>
      </c>
      <c r="M66" s="247">
        <f>M69</f>
        <v>121.85</v>
      </c>
      <c r="N66" s="226">
        <f t="shared" si="4"/>
        <v>0.272845339125372</v>
      </c>
      <c r="O66" s="264"/>
      <c r="P66" s="174"/>
      <c r="Q66" s="178"/>
      <c r="R66" s="178"/>
      <c r="S66" s="178"/>
      <c r="T66" s="178"/>
      <c r="U66" s="195"/>
      <c r="V66" s="178"/>
      <c r="W66" s="178"/>
      <c r="X66" s="178"/>
      <c r="Y66" s="178"/>
      <c r="Z66" s="195"/>
      <c r="AA66" s="178"/>
      <c r="AB66" s="178"/>
      <c r="AC66" s="178"/>
      <c r="AD66" s="173"/>
      <c r="AE66" s="195"/>
      <c r="AF66" s="180"/>
      <c r="AG66" s="180"/>
      <c r="AH66" s="178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 t="shared" si="1"/>
        <v>2</v>
      </c>
      <c r="F67" s="80">
        <v>15.0</v>
      </c>
      <c r="G67" s="105">
        <f t="shared" si="2"/>
        <v>0.0129198966408269</v>
      </c>
      <c r="H67" s="47">
        <f>H65+G67</f>
        <v>0.179155900086133</v>
      </c>
      <c r="I67" s="187">
        <f t="shared" ref="I67:I69" si="50">P67+U67+Z67+AE67</f>
        <v>17</v>
      </c>
      <c r="J67" s="172">
        <f>J65+I67</f>
        <v>659.5</v>
      </c>
      <c r="K67" s="115">
        <f t="shared" si="3"/>
        <v>0.251477597712107</v>
      </c>
      <c r="L67" s="191">
        <f t="shared" ref="L67:L69" si="51">S67+X67+AC67+AH67</f>
        <v>2.89</v>
      </c>
      <c r="M67" s="172">
        <f>M65+L67</f>
        <v>117.04</v>
      </c>
      <c r="N67" s="224">
        <f t="shared" si="4"/>
        <v>0.26207483374012</v>
      </c>
      <c r="O67" s="193">
        <f>P67/$F67</f>
        <v>0.0666666666666667</v>
      </c>
      <c r="P67" s="194">
        <v>1.0</v>
      </c>
      <c r="Q67" s="195"/>
      <c r="R67" s="196">
        <f>Roles!$D$2</f>
        <v>0.61</v>
      </c>
      <c r="S67" s="196">
        <f>R67*P67</f>
        <v>0.61</v>
      </c>
      <c r="T67" s="193">
        <f>U67/$F67</f>
        <v>0</v>
      </c>
      <c r="U67" s="197">
        <v>0.0</v>
      </c>
      <c r="V67" s="195"/>
      <c r="W67" s="195">
        <f>Roles!$D$8</f>
        <v>0.09</v>
      </c>
      <c r="X67" s="199">
        <f>MIN(U67,1)*Roles!$D$5+MAX(U67-1,0)*W67</f>
        <v>0</v>
      </c>
      <c r="Y67" s="193">
        <f>Z67/$F67</f>
        <v>0.0666666666666667</v>
      </c>
      <c r="Z67" s="197">
        <v>1.0</v>
      </c>
      <c r="AA67" s="195"/>
      <c r="AB67" s="195">
        <f>Roles!$D$7</f>
        <v>0.12</v>
      </c>
      <c r="AC67" s="199">
        <f>MIN(Z67,1)*Roles!$D$4+MAX(Z67-1,0)*AB67</f>
        <v>0.44</v>
      </c>
      <c r="AD67" s="193">
        <f>AE67/$F67</f>
        <v>1</v>
      </c>
      <c r="AE67" s="197">
        <v>15.0</v>
      </c>
      <c r="AF67" s="200"/>
      <c r="AG67" s="200">
        <f>Roles!$D$6</f>
        <v>0.1</v>
      </c>
      <c r="AH67" s="199">
        <f>MIN(AE67,1)*Roles!$D$3+MAX(AE67-1,0)*AG67</f>
        <v>1.84</v>
      </c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 t="shared" si="1"/>
        <v>2</v>
      </c>
      <c r="F68" s="80">
        <v>10.0</v>
      </c>
      <c r="G68" s="105">
        <f t="shared" si="2"/>
        <v>0.00861326442721792</v>
      </c>
      <c r="H68" s="47">
        <f t="shared" ref="H68:H69" si="52">H67+G68</f>
        <v>0.187769164513351</v>
      </c>
      <c r="I68" s="187">
        <f t="shared" si="50"/>
        <v>17</v>
      </c>
      <c r="J68" s="172">
        <f t="shared" ref="J68:J69" si="53">J67+I68</f>
        <v>676.5</v>
      </c>
      <c r="K68" s="115">
        <f t="shared" si="3"/>
        <v>0.257959961868446</v>
      </c>
      <c r="L68" s="191">
        <f t="shared" si="51"/>
        <v>2.86</v>
      </c>
      <c r="M68" s="172">
        <f t="shared" ref="M68:M69" si="54">M67+L68</f>
        <v>119.9</v>
      </c>
      <c r="N68" s="115">
        <f t="shared" si="4"/>
        <v>0.268478918023243</v>
      </c>
      <c r="O68" s="193">
        <f>P68/$F68</f>
        <v>0.1</v>
      </c>
      <c r="P68" s="194">
        <v>1.0</v>
      </c>
      <c r="Q68" s="195"/>
      <c r="R68" s="196">
        <f>Roles!$D$2</f>
        <v>0.61</v>
      </c>
      <c r="S68" s="196">
        <f>R68*P68</f>
        <v>0.61</v>
      </c>
      <c r="T68" s="193">
        <f>U68/$F68</f>
        <v>0.4</v>
      </c>
      <c r="U68" s="197">
        <v>4</v>
      </c>
      <c r="V68" s="195"/>
      <c r="W68" s="195">
        <f>Roles!$D$8</f>
        <v>0.09</v>
      </c>
      <c r="X68" s="199">
        <f>MIN(U68,1)*Roles!$D$5+MAX(U68-1,0)*W68</f>
        <v>0.71</v>
      </c>
      <c r="Y68" s="193">
        <f>Z68/$F68</f>
        <v>0</v>
      </c>
      <c r="Z68" s="197">
        <v>0.0</v>
      </c>
      <c r="AA68" s="195"/>
      <c r="AB68" s="195">
        <f>Roles!$D$7</f>
        <v>0.12</v>
      </c>
      <c r="AC68" s="199">
        <f>MIN(Z68,1)*Roles!$D$4+MAX(Z68-1,0)*AB68</f>
        <v>0</v>
      </c>
      <c r="AD68" s="193">
        <f>AE68/$F68</f>
        <v>1.2</v>
      </c>
      <c r="AE68" s="197">
        <v>12.0</v>
      </c>
      <c r="AF68" s="195"/>
      <c r="AG68" s="200">
        <f>Roles!$D$6</f>
        <v>0.1</v>
      </c>
      <c r="AH68" s="199">
        <f>MIN(AE68,1)*Roles!$D$3+MAX(AE68-1,0)*AG68</f>
        <v>1.54</v>
      </c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 t="shared" si="1"/>
        <v>2</v>
      </c>
      <c r="F69" s="80">
        <v>11.0</v>
      </c>
      <c r="G69" s="105">
        <f t="shared" si="2"/>
        <v>0.00947459086993971</v>
      </c>
      <c r="H69" s="47">
        <f t="shared" si="52"/>
        <v>0.19724375538329</v>
      </c>
      <c r="I69" s="187">
        <f t="shared" si="50"/>
        <v>11</v>
      </c>
      <c r="J69" s="172">
        <f t="shared" si="53"/>
        <v>687.5</v>
      </c>
      <c r="K69" s="115">
        <f t="shared" si="3"/>
        <v>0.262154432793136</v>
      </c>
      <c r="L69" s="191">
        <f t="shared" si="51"/>
        <v>1.95</v>
      </c>
      <c r="M69" s="172">
        <f t="shared" si="54"/>
        <v>121.85</v>
      </c>
      <c r="N69" s="111">
        <f t="shared" si="4"/>
        <v>0.272845339125372</v>
      </c>
      <c r="O69" s="193">
        <f>P69/$F69</f>
        <v>0.0909090909090909</v>
      </c>
      <c r="P69" s="194">
        <v>1.0</v>
      </c>
      <c r="Q69" s="195"/>
      <c r="R69" s="196">
        <f>Roles!$D$2</f>
        <v>0.61</v>
      </c>
      <c r="S69" s="196">
        <f>R69*P69</f>
        <v>0.61</v>
      </c>
      <c r="T69" s="193">
        <f>U69/$F69</f>
        <v>0</v>
      </c>
      <c r="U69" s="197">
        <v>0.0</v>
      </c>
      <c r="V69" s="195"/>
      <c r="W69" s="195">
        <f>Roles!$D$8</f>
        <v>0.09</v>
      </c>
      <c r="X69" s="199">
        <f>MIN(U69,1)*Roles!$D$5+MAX(U69-1,0)*W69</f>
        <v>0</v>
      </c>
      <c r="Y69" s="193">
        <f>Z69/$F69</f>
        <v>0</v>
      </c>
      <c r="Z69" s="197">
        <v>0.0</v>
      </c>
      <c r="AA69" s="195"/>
      <c r="AB69" s="195">
        <f>Roles!$D$7</f>
        <v>0.12</v>
      </c>
      <c r="AC69" s="199">
        <f>MIN(Z69,1)*Roles!$D$4+MAX(Z69-1,0)*AB69</f>
        <v>0</v>
      </c>
      <c r="AD69" s="193">
        <f>AE69/$F69</f>
        <v>0.909090909090909</v>
      </c>
      <c r="AE69" s="197">
        <v>10.0</v>
      </c>
      <c r="AF69" s="195"/>
      <c r="AG69" s="200">
        <f>Roles!$D$6</f>
        <v>0.1</v>
      </c>
      <c r="AH69" s="199">
        <f>MIN(AE69,1)*Roles!$D$3+MAX(AE69-1,0)*AG69</f>
        <v>1.34</v>
      </c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 t="shared" si="1"/>
        <v>6</v>
      </c>
      <c r="F70" s="246">
        <f>SUM(F71:F73)</f>
        <v>40</v>
      </c>
      <c r="G70" s="105">
        <f t="shared" si="2"/>
        <v>0.0344530577088717</v>
      </c>
      <c r="H70" s="226">
        <f>H73</f>
        <v>0.231696813092162</v>
      </c>
      <c r="I70" s="247">
        <f>SUM(I71:I73)</f>
        <v>46</v>
      </c>
      <c r="J70" s="247">
        <f>J73</f>
        <v>733.5</v>
      </c>
      <c r="K70" s="167">
        <f t="shared" si="3"/>
        <v>0.279694947569113</v>
      </c>
      <c r="L70" s="247">
        <f>SUM(L71:L73)</f>
        <v>7.15</v>
      </c>
      <c r="M70" s="247">
        <f>M73</f>
        <v>129</v>
      </c>
      <c r="N70" s="226">
        <f t="shared" si="4"/>
        <v>0.28885554983318</v>
      </c>
      <c r="O70" s="264"/>
      <c r="P70" s="174"/>
      <c r="Q70" s="178"/>
      <c r="R70" s="178"/>
      <c r="S70" s="178"/>
      <c r="T70" s="178"/>
      <c r="U70" s="272"/>
      <c r="V70" s="178"/>
      <c r="W70" s="178"/>
      <c r="X70" s="178"/>
      <c r="Y70" s="178"/>
      <c r="Z70" s="195"/>
      <c r="AA70" s="178"/>
      <c r="AB70" s="178"/>
      <c r="AC70" s="178"/>
      <c r="AD70" s="173"/>
      <c r="AE70" s="195"/>
      <c r="AF70" s="180"/>
      <c r="AG70" s="180"/>
      <c r="AH70" s="178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 t="shared" si="1"/>
        <v>3</v>
      </c>
      <c r="F71" s="80">
        <v>15.0</v>
      </c>
      <c r="G71" s="105">
        <f t="shared" si="2"/>
        <v>0.0129198966408269</v>
      </c>
      <c r="H71" s="47">
        <f>H69+G71</f>
        <v>0.210163652024117</v>
      </c>
      <c r="I71" s="187">
        <f t="shared" ref="I71:I73" si="55">P71+U71+Z71+AE71</f>
        <v>19</v>
      </c>
      <c r="J71" s="172">
        <f>J69+I71</f>
        <v>706.5</v>
      </c>
      <c r="K71" s="115">
        <f t="shared" si="3"/>
        <v>0.269399428026692</v>
      </c>
      <c r="L71" s="191">
        <f t="shared" ref="L71:L73" si="56">S71+X71+AC71+AH71</f>
        <v>2.75</v>
      </c>
      <c r="M71" s="172">
        <f>M69+L71</f>
        <v>124.6</v>
      </c>
      <c r="N71" s="47">
        <f t="shared" si="4"/>
        <v>0.279003112474529</v>
      </c>
      <c r="O71" s="193">
        <f>P71/$F71</f>
        <v>0.0666666666666667</v>
      </c>
      <c r="P71" s="194">
        <v>1.0</v>
      </c>
      <c r="Q71" s="195"/>
      <c r="R71" s="196">
        <f>Roles!$D$2</f>
        <v>0.61</v>
      </c>
      <c r="S71" s="196">
        <f>R71*P71</f>
        <v>0.61</v>
      </c>
      <c r="T71" s="193">
        <f>U71/$F71</f>
        <v>0</v>
      </c>
      <c r="U71" s="197">
        <v>0.0</v>
      </c>
      <c r="V71" s="195"/>
      <c r="W71" s="195">
        <f>Roles!$D$8</f>
        <v>0.09</v>
      </c>
      <c r="X71" s="199">
        <f>MIN(U71,1)*Roles!$D$5+MAX(U71-1,0)*W71</f>
        <v>0</v>
      </c>
      <c r="Y71" s="193">
        <f>Z71/$F71</f>
        <v>0</v>
      </c>
      <c r="Z71" s="197">
        <v>0.0</v>
      </c>
      <c r="AA71" s="195"/>
      <c r="AB71" s="195">
        <f>Roles!$D$7</f>
        <v>0.12</v>
      </c>
      <c r="AC71" s="199">
        <f>MIN(Z71,1)*Roles!$D$4+MAX(Z71-1,0)*AB71</f>
        <v>0</v>
      </c>
      <c r="AD71" s="193">
        <f>AE71/$F71</f>
        <v>1.2</v>
      </c>
      <c r="AE71" s="197">
        <v>18.0</v>
      </c>
      <c r="AF71" s="200"/>
      <c r="AG71" s="200">
        <f>Roles!$D$6</f>
        <v>0.1</v>
      </c>
      <c r="AH71" s="199">
        <f>MIN(AE71,1)*Roles!$D$3+MAX(AE71-1,0)*AG71</f>
        <v>2.14</v>
      </c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 t="shared" si="1"/>
        <v>2</v>
      </c>
      <c r="F72" s="80">
        <v>15.0</v>
      </c>
      <c r="G72" s="105">
        <f t="shared" si="2"/>
        <v>0.0129198966408269</v>
      </c>
      <c r="H72" s="47">
        <f t="shared" ref="H72:H73" si="57">H71+G72</f>
        <v>0.223083548664944</v>
      </c>
      <c r="I72" s="187">
        <f t="shared" si="55"/>
        <v>16</v>
      </c>
      <c r="J72" s="172">
        <f t="shared" ref="J72:J73" si="58">J71+I72</f>
        <v>722.5</v>
      </c>
      <c r="K72" s="115">
        <f t="shared" si="3"/>
        <v>0.275500476644423</v>
      </c>
      <c r="L72" s="191">
        <f t="shared" si="56"/>
        <v>2.45</v>
      </c>
      <c r="M72" s="172">
        <f t="shared" ref="M72:M73" si="59">M71+L72</f>
        <v>127.05</v>
      </c>
      <c r="N72" s="47">
        <f t="shared" si="4"/>
        <v>0.284489128731051</v>
      </c>
      <c r="O72" s="193">
        <f>P72/$F72</f>
        <v>0.0666666666666667</v>
      </c>
      <c r="P72" s="194">
        <v>1.0</v>
      </c>
      <c r="Q72" s="195"/>
      <c r="R72" s="196">
        <f>Roles!$D$2</f>
        <v>0.61</v>
      </c>
      <c r="S72" s="196">
        <f>R72*P72</f>
        <v>0.61</v>
      </c>
      <c r="T72" s="193">
        <f>U72/$F72</f>
        <v>0</v>
      </c>
      <c r="U72" s="197">
        <v>0.0</v>
      </c>
      <c r="V72" s="195"/>
      <c r="W72" s="195">
        <f>Roles!$D$8</f>
        <v>0.09</v>
      </c>
      <c r="X72" s="199">
        <f>MIN(U72,1)*Roles!$D$5+MAX(U72-1,0)*W72</f>
        <v>0</v>
      </c>
      <c r="Y72" s="193">
        <f>Z72/$F72</f>
        <v>0</v>
      </c>
      <c r="Z72" s="197">
        <v>0.0</v>
      </c>
      <c r="AA72" s="195"/>
      <c r="AB72" s="195">
        <f>Roles!$D$7</f>
        <v>0.12</v>
      </c>
      <c r="AC72" s="199">
        <f>MIN(Z72,1)*Roles!$D$4+MAX(Z72-1,0)*AB72</f>
        <v>0</v>
      </c>
      <c r="AD72" s="193">
        <f>AE72/$F72</f>
        <v>1</v>
      </c>
      <c r="AE72" s="197">
        <v>15.0</v>
      </c>
      <c r="AF72" s="200"/>
      <c r="AG72" s="200">
        <f>Roles!$D$6</f>
        <v>0.1</v>
      </c>
      <c r="AH72" s="199">
        <f>MIN(AE72,1)*Roles!$D$3+MAX(AE72-1,0)*AG72</f>
        <v>1.84</v>
      </c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 t="shared" si="1"/>
        <v>1</v>
      </c>
      <c r="F73" s="80">
        <v>10.0</v>
      </c>
      <c r="G73" s="105">
        <f t="shared" si="2"/>
        <v>0.00861326442721792</v>
      </c>
      <c r="H73" s="47">
        <f t="shared" si="57"/>
        <v>0.231696813092162</v>
      </c>
      <c r="I73" s="187">
        <f t="shared" si="55"/>
        <v>11</v>
      </c>
      <c r="J73" s="172">
        <f t="shared" si="58"/>
        <v>733.5</v>
      </c>
      <c r="K73" s="115">
        <f t="shared" si="3"/>
        <v>0.279694947569113</v>
      </c>
      <c r="L73" s="191">
        <f t="shared" si="56"/>
        <v>1.95</v>
      </c>
      <c r="M73" s="172">
        <f t="shared" si="59"/>
        <v>129</v>
      </c>
      <c r="N73" s="47">
        <f t="shared" si="4"/>
        <v>0.28885554983318</v>
      </c>
      <c r="O73" s="193">
        <f>P73/$F73</f>
        <v>0.1</v>
      </c>
      <c r="P73" s="194">
        <v>1.0</v>
      </c>
      <c r="Q73" s="195"/>
      <c r="R73" s="196">
        <f>Roles!$D$2</f>
        <v>0.61</v>
      </c>
      <c r="S73" s="196">
        <f>R73*P73</f>
        <v>0.61</v>
      </c>
      <c r="T73" s="193">
        <f>U73/$F73</f>
        <v>0</v>
      </c>
      <c r="U73" s="197">
        <v>0.0</v>
      </c>
      <c r="V73" s="195"/>
      <c r="W73" s="195">
        <f>Roles!$D$8</f>
        <v>0.09</v>
      </c>
      <c r="X73" s="199">
        <f>MIN(U73,1)*Roles!$D$5+MAX(U73-1,0)*W73</f>
        <v>0</v>
      </c>
      <c r="Y73" s="193">
        <f>Z73/$F73</f>
        <v>0</v>
      </c>
      <c r="Z73" s="197">
        <v>0.0</v>
      </c>
      <c r="AA73" s="195"/>
      <c r="AB73" s="195">
        <f>Roles!$D$7</f>
        <v>0.12</v>
      </c>
      <c r="AC73" s="199">
        <f>MIN(Z73,1)*Roles!$D$4+MAX(Z73-1,0)*AB73</f>
        <v>0</v>
      </c>
      <c r="AD73" s="193">
        <f>AE73/$F73</f>
        <v>1</v>
      </c>
      <c r="AE73" s="197">
        <v>10.0</v>
      </c>
      <c r="AF73" s="200"/>
      <c r="AG73" s="200">
        <f>Roles!$D$6</f>
        <v>0.1</v>
      </c>
      <c r="AH73" s="199">
        <f>MIN(AE73,1)*Roles!$D$3+MAX(AE73-1,0)*AG73</f>
        <v>1.34</v>
      </c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 t="shared" si="1"/>
        <v>3</v>
      </c>
      <c r="F74" s="246">
        <f>SUM(F75:F78)</f>
        <v>32</v>
      </c>
      <c r="G74" s="105">
        <f t="shared" si="2"/>
        <v>0.0275624461670973</v>
      </c>
      <c r="H74" s="226">
        <f>H78</f>
        <v>0.259259259259259</v>
      </c>
      <c r="I74" s="247">
        <f>SUM(I75:I78)</f>
        <v>60</v>
      </c>
      <c r="J74" s="247">
        <f>J78</f>
        <v>793.5</v>
      </c>
      <c r="K74" s="167">
        <f t="shared" si="3"/>
        <v>0.302573879885605</v>
      </c>
      <c r="L74" s="247">
        <f>SUM(L75:L78)</f>
        <v>9.78</v>
      </c>
      <c r="M74" s="247">
        <f>M78</f>
        <v>138.78</v>
      </c>
      <c r="N74" s="226">
        <f t="shared" si="4"/>
        <v>0.310754831053091</v>
      </c>
      <c r="O74" s="264"/>
      <c r="P74" s="174"/>
      <c r="Q74" s="178"/>
      <c r="R74" s="178"/>
      <c r="S74" s="178"/>
      <c r="T74" s="178"/>
      <c r="U74" s="272"/>
      <c r="V74" s="178"/>
      <c r="W74" s="178"/>
      <c r="X74" s="178"/>
      <c r="Y74" s="178"/>
      <c r="Z74" s="195"/>
      <c r="AA74" s="178"/>
      <c r="AB74" s="178"/>
      <c r="AC74" s="178"/>
      <c r="AD74" s="178"/>
      <c r="AE74" s="195"/>
      <c r="AF74" s="178"/>
      <c r="AG74" s="180"/>
      <c r="AH74" s="178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 t="shared" si="1"/>
        <v>2</v>
      </c>
      <c r="F75" s="80">
        <v>4.0</v>
      </c>
      <c r="G75" s="105">
        <f t="shared" si="2"/>
        <v>0.00344530577088717</v>
      </c>
      <c r="H75" s="47">
        <f>H73+G75</f>
        <v>0.235142118863049</v>
      </c>
      <c r="I75" s="187">
        <f t="shared" ref="I75:I78" si="60">P75+U75+Z75+AE75</f>
        <v>11</v>
      </c>
      <c r="J75" s="172">
        <f>J73+I75</f>
        <v>744.5</v>
      </c>
      <c r="K75" s="115">
        <f t="shared" si="3"/>
        <v>0.283889418493804</v>
      </c>
      <c r="L75" s="191">
        <f t="shared" ref="L75:L78" si="61">S75+X75+AC75+AH75</f>
        <v>2.24</v>
      </c>
      <c r="M75" s="172">
        <f>M73+L75</f>
        <v>131.24</v>
      </c>
      <c r="N75" s="47">
        <f t="shared" si="4"/>
        <v>0.293871336124857</v>
      </c>
      <c r="O75" s="193">
        <f>P75/$F75</f>
        <v>0.25</v>
      </c>
      <c r="P75" s="194">
        <v>1.0</v>
      </c>
      <c r="Q75" s="195"/>
      <c r="R75" s="196">
        <f>Roles!$D$2</f>
        <v>0.61</v>
      </c>
      <c r="S75" s="196">
        <f>R75*P75</f>
        <v>0.61</v>
      </c>
      <c r="T75" s="193">
        <f>U75/$F75</f>
        <v>2</v>
      </c>
      <c r="U75" s="197">
        <v>8.0</v>
      </c>
      <c r="V75" s="195"/>
      <c r="W75" s="196">
        <f>Roles!$D$8</f>
        <v>0.09</v>
      </c>
      <c r="X75" s="199">
        <f>MIN(U75,1)*Roles!$D$5+MAX(U75-1,0)*W75</f>
        <v>1.07</v>
      </c>
      <c r="Y75" s="193">
        <f>Z75/$F75</f>
        <v>0.5</v>
      </c>
      <c r="Z75" s="197">
        <v>2.0</v>
      </c>
      <c r="AA75" s="195"/>
      <c r="AB75" s="196">
        <f>Roles!$D$7</f>
        <v>0.12</v>
      </c>
      <c r="AC75" s="199">
        <f>MIN(Z75,1)*Roles!$D$4+MAX(Z75-1,0)*AB75</f>
        <v>0.56</v>
      </c>
      <c r="AD75" s="193">
        <f>AE75/$F75</f>
        <v>0</v>
      </c>
      <c r="AE75" s="197">
        <v>0.0</v>
      </c>
      <c r="AF75" s="200"/>
      <c r="AG75" s="208">
        <f>Roles!$D$6</f>
        <v>0.1</v>
      </c>
      <c r="AH75" s="199">
        <f>MIN(AE75,1)*Roles!$D$3+MAX(AE75-1,0)*AG75</f>
        <v>0</v>
      </c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 t="shared" si="1"/>
        <v>2</v>
      </c>
      <c r="F76" s="80">
        <v>15.0</v>
      </c>
      <c r="G76" s="105">
        <f t="shared" si="2"/>
        <v>0.0129198966408269</v>
      </c>
      <c r="H76" s="47">
        <f t="shared" ref="H76:H79" si="62">H75+G76</f>
        <v>0.248062015503876</v>
      </c>
      <c r="I76" s="187">
        <f t="shared" si="60"/>
        <v>25</v>
      </c>
      <c r="J76" s="172">
        <f t="shared" ref="J76:J79" si="63">J75+I76</f>
        <v>769.5</v>
      </c>
      <c r="K76" s="115">
        <f t="shared" si="3"/>
        <v>0.293422306959009</v>
      </c>
      <c r="L76" s="191">
        <f t="shared" si="61"/>
        <v>3.12</v>
      </c>
      <c r="M76" s="172">
        <f t="shared" ref="M76:M79" si="64">M75+L76</f>
        <v>134.36</v>
      </c>
      <c r="N76" s="282">
        <f t="shared" si="4"/>
        <v>0.300857609888265</v>
      </c>
      <c r="O76" s="193">
        <f>P76/$F76</f>
        <v>0.0666666666666667</v>
      </c>
      <c r="P76" s="194">
        <v>1.0</v>
      </c>
      <c r="Q76" s="195"/>
      <c r="R76" s="196">
        <f>Roles!$D$2</f>
        <v>0.61</v>
      </c>
      <c r="S76" s="196">
        <f>R76*P76</f>
        <v>0.61</v>
      </c>
      <c r="T76" s="193">
        <f>U76/$F76</f>
        <v>1.6</v>
      </c>
      <c r="U76" s="197">
        <v>24</v>
      </c>
      <c r="V76" s="195"/>
      <c r="W76" s="195">
        <f>Roles!$D$8</f>
        <v>0.09</v>
      </c>
      <c r="X76" s="199">
        <f>MIN(U76,1)*Roles!$D$5+MAX(U76-1,0)*W76</f>
        <v>2.51</v>
      </c>
      <c r="Y76" s="193">
        <f>Z76/$F76</f>
        <v>0</v>
      </c>
      <c r="Z76" s="197">
        <v>0.0</v>
      </c>
      <c r="AA76" s="195"/>
      <c r="AB76" s="195">
        <f>Roles!$D$7</f>
        <v>0.12</v>
      </c>
      <c r="AC76" s="199">
        <f>MIN(Z76,1)*Roles!$D$4+MAX(Z76-1,0)*AB76</f>
        <v>0</v>
      </c>
      <c r="AD76" s="193">
        <f>AE76/$F76</f>
        <v>0</v>
      </c>
      <c r="AE76" s="197">
        <v>0.0</v>
      </c>
      <c r="AF76" s="200"/>
      <c r="AG76" s="200">
        <f>Roles!$D$6</f>
        <v>0.1</v>
      </c>
      <c r="AH76" s="199">
        <f>MIN(AE76,1)*Roles!$D$3+MAX(AE76-1,0)*AG76</f>
        <v>0</v>
      </c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 t="shared" si="1"/>
        <v>1</v>
      </c>
      <c r="F77" s="80">
        <v>3.0</v>
      </c>
      <c r="G77" s="105">
        <f t="shared" si="2"/>
        <v>0.00258397932816538</v>
      </c>
      <c r="H77" s="47">
        <f t="shared" si="62"/>
        <v>0.250645994832041</v>
      </c>
      <c r="I77" s="187">
        <f t="shared" si="60"/>
        <v>5</v>
      </c>
      <c r="J77" s="172">
        <f t="shared" si="63"/>
        <v>774.5</v>
      </c>
      <c r="K77" s="115">
        <f t="shared" si="3"/>
        <v>0.29532888465205</v>
      </c>
      <c r="L77" s="191">
        <f t="shared" si="61"/>
        <v>1.84</v>
      </c>
      <c r="M77" s="172">
        <f t="shared" si="64"/>
        <v>136.2</v>
      </c>
      <c r="N77" s="47">
        <f t="shared" si="4"/>
        <v>0.304977720056428</v>
      </c>
      <c r="O77" s="193">
        <f>P77/$F77</f>
        <v>0.666666666666667</v>
      </c>
      <c r="P77" s="194">
        <v>2.0</v>
      </c>
      <c r="Q77" s="195"/>
      <c r="R77" s="196">
        <f>Roles!$D$2</f>
        <v>0.61</v>
      </c>
      <c r="S77" s="196">
        <f>R77*P77</f>
        <v>1.22</v>
      </c>
      <c r="T77" s="193">
        <f>U77/$F77</f>
        <v>1</v>
      </c>
      <c r="U77" s="197">
        <v>3.0</v>
      </c>
      <c r="V77" s="195"/>
      <c r="W77" s="196">
        <f>Roles!$D$8</f>
        <v>0.09</v>
      </c>
      <c r="X77" s="199">
        <f>MIN(U77,1)*Roles!$D$5+MAX(U77-1,0)*W77</f>
        <v>0.62</v>
      </c>
      <c r="Y77" s="193">
        <f>Z77/$F77</f>
        <v>0</v>
      </c>
      <c r="Z77" s="197">
        <v>0.0</v>
      </c>
      <c r="AA77" s="195"/>
      <c r="AB77" s="196">
        <f>Roles!$D$7</f>
        <v>0.12</v>
      </c>
      <c r="AC77" s="199">
        <f>MIN(Z77,1)*Roles!$D$4+MAX(Z77-1,0)*AB77</f>
        <v>0</v>
      </c>
      <c r="AD77" s="193">
        <f>AE77/$F77</f>
        <v>0</v>
      </c>
      <c r="AE77" s="197">
        <v>0.0</v>
      </c>
      <c r="AF77" s="200"/>
      <c r="AG77" s="208">
        <f>Roles!$D$6</f>
        <v>0.1</v>
      </c>
      <c r="AH77" s="199">
        <f>MIN(AE77,1)*Roles!$D$3+MAX(AE77-1,0)*AG77</f>
        <v>0</v>
      </c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 t="shared" si="1"/>
        <v>1</v>
      </c>
      <c r="F78" s="80">
        <v>10.0</v>
      </c>
      <c r="G78" s="105">
        <f t="shared" si="2"/>
        <v>0.00861326442721792</v>
      </c>
      <c r="H78" s="47">
        <f t="shared" si="62"/>
        <v>0.259259259259259</v>
      </c>
      <c r="I78" s="187">
        <f t="shared" si="60"/>
        <v>19</v>
      </c>
      <c r="J78" s="172">
        <f t="shared" si="63"/>
        <v>793.5</v>
      </c>
      <c r="K78" s="115">
        <f t="shared" si="3"/>
        <v>0.302573879885605</v>
      </c>
      <c r="L78" s="191">
        <f t="shared" si="61"/>
        <v>2.58</v>
      </c>
      <c r="M78" s="172">
        <f t="shared" si="64"/>
        <v>138.78</v>
      </c>
      <c r="N78" s="47">
        <f t="shared" si="4"/>
        <v>0.310754831053091</v>
      </c>
      <c r="O78" s="193">
        <f>P78/$F78</f>
        <v>0.1</v>
      </c>
      <c r="P78" s="194">
        <v>1.0</v>
      </c>
      <c r="Q78" s="195"/>
      <c r="R78" s="196">
        <f>Roles!$D$2</f>
        <v>0.61</v>
      </c>
      <c r="S78" s="196">
        <f>R78*P78</f>
        <v>0.61</v>
      </c>
      <c r="T78" s="193">
        <f>U78/$F78</f>
        <v>1.8</v>
      </c>
      <c r="U78" s="197">
        <v>18</v>
      </c>
      <c r="V78" s="195"/>
      <c r="W78" s="195">
        <f>Roles!$D$8</f>
        <v>0.09</v>
      </c>
      <c r="X78" s="199">
        <f>MIN(U78,1)*Roles!$D$5+MAX(U78-1,0)*W78</f>
        <v>1.97</v>
      </c>
      <c r="Y78" s="193">
        <f>Z78/$F78</f>
        <v>0</v>
      </c>
      <c r="Z78" s="197">
        <v>0.0</v>
      </c>
      <c r="AA78" s="195"/>
      <c r="AB78" s="195">
        <f>Roles!$D$7</f>
        <v>0.12</v>
      </c>
      <c r="AC78" s="199">
        <f>MIN(Z78,1)*Roles!$D$4+MAX(Z78-1,0)*AB78</f>
        <v>0</v>
      </c>
      <c r="AD78" s="193">
        <f>AE78/$F78</f>
        <v>0</v>
      </c>
      <c r="AE78" s="197">
        <v>0.0</v>
      </c>
      <c r="AF78" s="200"/>
      <c r="AG78" s="200">
        <f>Roles!$D$6</f>
        <v>0.1</v>
      </c>
      <c r="AH78" s="199">
        <f>MIN(AE78,1)*Roles!$D$3+MAX(AE78-1,0)*AG78</f>
        <v>0</v>
      </c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 t="shared" si="1"/>
        <v>1</v>
      </c>
      <c r="F79" s="136">
        <v>0.0</v>
      </c>
      <c r="G79" s="105">
        <f t="shared" si="2"/>
        <v>0</v>
      </c>
      <c r="H79" s="115">
        <f t="shared" si="62"/>
        <v>0.259259259259259</v>
      </c>
      <c r="I79" s="110">
        <f>F79</f>
        <v>0</v>
      </c>
      <c r="J79" s="110">
        <f t="shared" si="63"/>
        <v>793.5</v>
      </c>
      <c r="K79" s="115">
        <f t="shared" si="3"/>
        <v>0.302573879885605</v>
      </c>
      <c r="L79" s="110">
        <v>0.0</v>
      </c>
      <c r="M79" s="110">
        <f t="shared" si="64"/>
        <v>138.78</v>
      </c>
      <c r="N79" s="115">
        <f t="shared" si="4"/>
        <v>0.310754831053091</v>
      </c>
      <c r="O79" s="289"/>
      <c r="P79" s="118"/>
      <c r="Q79" s="119"/>
      <c r="R79" s="119"/>
      <c r="S79" s="119"/>
      <c r="T79" s="119"/>
      <c r="U79" s="195"/>
      <c r="V79" s="119"/>
      <c r="W79" s="119"/>
      <c r="X79" s="119"/>
      <c r="Y79" s="119"/>
      <c r="Z79" s="195"/>
      <c r="AA79" s="119"/>
      <c r="AB79" s="119"/>
      <c r="AC79" s="119"/>
      <c r="AD79" s="116"/>
      <c r="AE79" s="195"/>
      <c r="AF79" s="235"/>
      <c r="AG79" s="235"/>
      <c r="AH79" s="119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 t="shared" si="1"/>
        <v>21</v>
      </c>
      <c r="F80" s="240">
        <f>F81+F86+F97+F102+F110+F117+F122+F127+F131+F135+F139</f>
        <v>313</v>
      </c>
      <c r="G80" s="105">
        <f t="shared" si="2"/>
        <v>0.269595176571921</v>
      </c>
      <c r="H80" s="224">
        <f>H144</f>
        <v>0.52885443583118</v>
      </c>
      <c r="I80" s="241">
        <f>I81+I86+I97+I102+I110+I117+I122+I127+I131+I135+I139</f>
        <v>733</v>
      </c>
      <c r="J80" s="241">
        <f>J144</f>
        <v>1526.5</v>
      </c>
      <c r="K80" s="138">
        <f t="shared" si="3"/>
        <v>0.582078169685415</v>
      </c>
      <c r="L80" s="241">
        <f>L81+L86+L97+L102+L110+L117+L122+L127+L131+L135+L139</f>
        <v>121.44</v>
      </c>
      <c r="M80" s="241">
        <f>M144</f>
        <v>260.22</v>
      </c>
      <c r="N80" s="224">
        <f t="shared" si="4"/>
        <v>0.582682102151862</v>
      </c>
      <c r="O80" s="294"/>
      <c r="P80" s="144"/>
      <c r="Q80" s="149"/>
      <c r="R80" s="149"/>
      <c r="S80" s="149"/>
      <c r="T80" s="149"/>
      <c r="U80" s="195"/>
      <c r="V80" s="149"/>
      <c r="W80" s="149"/>
      <c r="X80" s="149"/>
      <c r="Y80" s="149"/>
      <c r="Z80" s="195"/>
      <c r="AA80" s="149"/>
      <c r="AB80" s="149"/>
      <c r="AC80" s="149"/>
      <c r="AD80" s="142"/>
      <c r="AE80" s="195"/>
      <c r="AF80" s="150"/>
      <c r="AG80" s="150"/>
      <c r="AH80" s="149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 t="shared" si="1"/>
        <v>6</v>
      </c>
      <c r="F81" s="246">
        <f>SUM(F82:F85)</f>
        <v>12</v>
      </c>
      <c r="G81" s="105">
        <f t="shared" si="2"/>
        <v>0.0103359173126615</v>
      </c>
      <c r="H81" s="226">
        <f>H85</f>
        <v>0.269595176571921</v>
      </c>
      <c r="I81" s="247">
        <f>SUM(I82:I85)</f>
        <v>69</v>
      </c>
      <c r="J81" s="247">
        <f>J85</f>
        <v>862.5</v>
      </c>
      <c r="K81" s="167">
        <f t="shared" si="3"/>
        <v>0.328884652049571</v>
      </c>
      <c r="L81" s="247">
        <f>SUM(L82:L85)</f>
        <v>10.62</v>
      </c>
      <c r="M81" s="247">
        <f>M85</f>
        <v>149.4</v>
      </c>
      <c r="N81" s="167">
        <f t="shared" si="4"/>
        <v>0.334535032132381</v>
      </c>
      <c r="O81" s="173"/>
      <c r="P81" s="174"/>
      <c r="Q81" s="178"/>
      <c r="R81" s="178"/>
      <c r="S81" s="178"/>
      <c r="T81" s="173"/>
      <c r="U81" s="195"/>
      <c r="V81" s="178"/>
      <c r="W81" s="178"/>
      <c r="X81" s="178"/>
      <c r="Y81" s="173"/>
      <c r="Z81" s="195"/>
      <c r="AA81" s="178"/>
      <c r="AB81" s="178"/>
      <c r="AC81" s="178"/>
      <c r="AD81" s="173"/>
      <c r="AE81" s="195"/>
      <c r="AF81" s="180"/>
      <c r="AG81" s="180"/>
      <c r="AH81" s="178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 t="shared" si="1"/>
        <v>2</v>
      </c>
      <c r="F82" s="80">
        <v>3.0</v>
      </c>
      <c r="G82" s="105">
        <f t="shared" si="2"/>
        <v>0.00258397932816538</v>
      </c>
      <c r="H82" s="47">
        <f>H79+G82</f>
        <v>0.261843238587425</v>
      </c>
      <c r="I82" s="187">
        <f t="shared" ref="I82:I85" si="65">P82+U82+Z82+AE82</f>
        <v>5</v>
      </c>
      <c r="J82" s="172">
        <f>J79+I82</f>
        <v>798.5</v>
      </c>
      <c r="K82" s="115">
        <f t="shared" si="3"/>
        <v>0.304480457578646</v>
      </c>
      <c r="L82" s="191">
        <f t="shared" ref="L82:L85" si="66">S82+X82+AC82+AH82</f>
        <v>1.73</v>
      </c>
      <c r="M82" s="172">
        <f>M79+L82</f>
        <v>140.51</v>
      </c>
      <c r="N82" s="47">
        <f t="shared" si="4"/>
        <v>0.314628630287288</v>
      </c>
      <c r="O82" s="193">
        <f>P82/$F82</f>
        <v>0.333333333333333</v>
      </c>
      <c r="P82" s="194">
        <v>1.0</v>
      </c>
      <c r="Q82" s="195"/>
      <c r="R82" s="196">
        <f>Roles!$D$2</f>
        <v>0.61</v>
      </c>
      <c r="S82" s="196">
        <f>R82*P82</f>
        <v>0.61</v>
      </c>
      <c r="T82" s="193">
        <f>U82/$F82</f>
        <v>0.333333333333333</v>
      </c>
      <c r="U82" s="197">
        <v>1.0</v>
      </c>
      <c r="V82" s="195"/>
      <c r="W82" s="196">
        <f>Roles!$D$8</f>
        <v>0.09</v>
      </c>
      <c r="X82" s="199">
        <f>MIN(U82,1)*Roles!$D$5+MAX(U82-1,0)*W82</f>
        <v>0.44</v>
      </c>
      <c r="Y82" s="193">
        <f>Z82/$F82</f>
        <v>1</v>
      </c>
      <c r="Z82" s="197">
        <v>3.0</v>
      </c>
      <c r="AA82" s="195"/>
      <c r="AB82" s="196">
        <f>Roles!$D$7</f>
        <v>0.12</v>
      </c>
      <c r="AC82" s="199">
        <f>MIN(Z82,1)*Roles!$D$4+MAX(Z82-1,0)*AB82</f>
        <v>0.68</v>
      </c>
      <c r="AD82" s="193">
        <f>AE82/$F82</f>
        <v>0</v>
      </c>
      <c r="AE82" s="197">
        <v>0.0</v>
      </c>
      <c r="AF82" s="200"/>
      <c r="AG82" s="208">
        <f>Roles!$D$6</f>
        <v>0.1</v>
      </c>
      <c r="AH82" s="199">
        <f>MIN(AE82,1)*Roles!$D$3+MAX(AE82-1,0)*AG82</f>
        <v>0</v>
      </c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 t="shared" si="1"/>
        <v>2</v>
      </c>
      <c r="F83" s="80">
        <v>4.0</v>
      </c>
      <c r="G83" s="105">
        <f t="shared" si="2"/>
        <v>0.00344530577088717</v>
      </c>
      <c r="H83" s="47">
        <f t="shared" ref="H83:H85" si="67">H82+G83</f>
        <v>0.265288544358312</v>
      </c>
      <c r="I83" s="187">
        <f t="shared" si="65"/>
        <v>8</v>
      </c>
      <c r="J83" s="172">
        <f t="shared" ref="J83:J85" si="68">J82+I83</f>
        <v>806.5</v>
      </c>
      <c r="K83" s="115">
        <f t="shared" si="3"/>
        <v>0.307530981887512</v>
      </c>
      <c r="L83" s="191">
        <f t="shared" si="66"/>
        <v>1.28</v>
      </c>
      <c r="M83" s="172">
        <f t="shared" ref="M83:M85" si="69">M82+L83</f>
        <v>141.79</v>
      </c>
      <c r="N83" s="47">
        <f t="shared" si="4"/>
        <v>0.317494793882532</v>
      </c>
      <c r="O83" s="193">
        <f>P83/$F83</f>
        <v>0</v>
      </c>
      <c r="P83" s="206">
        <v>0.0</v>
      </c>
      <c r="Q83" s="195"/>
      <c r="R83" s="196">
        <f>Roles!$D$2</f>
        <v>0.61</v>
      </c>
      <c r="S83" s="196">
        <f>R83*P83</f>
        <v>0</v>
      </c>
      <c r="T83" s="193">
        <f>U83/$F83</f>
        <v>0</v>
      </c>
      <c r="U83" s="197">
        <v>0.0</v>
      </c>
      <c r="V83" s="195"/>
      <c r="W83" s="196">
        <f>Roles!$D$8</f>
        <v>0.09</v>
      </c>
      <c r="X83" s="199">
        <f>MIN(U83,1)*Roles!$D$5+MAX(U83-1,0)*W83</f>
        <v>0</v>
      </c>
      <c r="Y83" s="193">
        <f>Z83/$F83</f>
        <v>2</v>
      </c>
      <c r="Z83" s="197">
        <v>8.0</v>
      </c>
      <c r="AA83" s="195"/>
      <c r="AB83" s="196">
        <f>Roles!$D$7</f>
        <v>0.12</v>
      </c>
      <c r="AC83" s="199">
        <f>MIN(Z83,1)*Roles!$D$4+MAX(Z83-1,0)*AB83</f>
        <v>1.28</v>
      </c>
      <c r="AD83" s="193">
        <f>AE83/$F83</f>
        <v>0</v>
      </c>
      <c r="AE83" s="197">
        <v>0.0</v>
      </c>
      <c r="AF83" s="200"/>
      <c r="AG83" s="208">
        <f>Roles!$D$6</f>
        <v>0.1</v>
      </c>
      <c r="AH83" s="199">
        <f>MIN(AE83,1)*Roles!$D$3+MAX(AE83-1,0)*AG83</f>
        <v>0</v>
      </c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 t="shared" si="1"/>
        <v>2</v>
      </c>
      <c r="F84" s="80">
        <v>3.0</v>
      </c>
      <c r="G84" s="105">
        <f t="shared" si="2"/>
        <v>0.00258397932816538</v>
      </c>
      <c r="H84" s="47">
        <f t="shared" si="67"/>
        <v>0.267872523686477</v>
      </c>
      <c r="I84" s="187">
        <f t="shared" si="65"/>
        <v>6</v>
      </c>
      <c r="J84" s="172">
        <f t="shared" si="68"/>
        <v>812.5</v>
      </c>
      <c r="K84" s="115">
        <f t="shared" si="3"/>
        <v>0.309818875119161</v>
      </c>
      <c r="L84" s="191">
        <f t="shared" si="66"/>
        <v>1.3</v>
      </c>
      <c r="M84" s="172">
        <f t="shared" si="69"/>
        <v>143.09</v>
      </c>
      <c r="N84" s="47">
        <f t="shared" si="4"/>
        <v>0.320405741283952</v>
      </c>
      <c r="O84" s="193">
        <f>P84/$F84</f>
        <v>0</v>
      </c>
      <c r="P84" s="206">
        <v>0.0</v>
      </c>
      <c r="Q84" s="195"/>
      <c r="R84" s="196">
        <f>Roles!$D$2</f>
        <v>0.61</v>
      </c>
      <c r="S84" s="196">
        <f>R84*P84</f>
        <v>0</v>
      </c>
      <c r="T84" s="193">
        <f>U84/$F84</f>
        <v>1</v>
      </c>
      <c r="U84" s="197">
        <v>3.0</v>
      </c>
      <c r="V84" s="195"/>
      <c r="W84" s="196">
        <f>Roles!$D$8</f>
        <v>0.09</v>
      </c>
      <c r="X84" s="199">
        <f>MIN(U84,1)*Roles!$D$5+MAX(U84-1,0)*W84</f>
        <v>0.62</v>
      </c>
      <c r="Y84" s="193">
        <f>Z84/$F84</f>
        <v>1</v>
      </c>
      <c r="Z84" s="197">
        <v>3.0</v>
      </c>
      <c r="AA84" s="195"/>
      <c r="AB84" s="196">
        <f>Roles!$D$7</f>
        <v>0.12</v>
      </c>
      <c r="AC84" s="199">
        <f>MIN(Z84,1)*Roles!$D$4+MAX(Z84-1,0)*AB84</f>
        <v>0.68</v>
      </c>
      <c r="AD84" s="193">
        <f>AE84/$F84</f>
        <v>0</v>
      </c>
      <c r="AE84" s="197">
        <v>0.0</v>
      </c>
      <c r="AF84" s="200"/>
      <c r="AG84" s="208">
        <f>Roles!$D$6</f>
        <v>0.1</v>
      </c>
      <c r="AH84" s="199">
        <f>MIN(AE84,1)*Roles!$D$3+MAX(AE84-1,0)*AG84</f>
        <v>0</v>
      </c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 t="shared" si="1"/>
        <v>1</v>
      </c>
      <c r="F85" s="80">
        <v>2.0</v>
      </c>
      <c r="G85" s="105">
        <f t="shared" si="2"/>
        <v>0.00172265288544358</v>
      </c>
      <c r="H85" s="47">
        <f t="shared" si="67"/>
        <v>0.269595176571921</v>
      </c>
      <c r="I85" s="187">
        <f t="shared" si="65"/>
        <v>50</v>
      </c>
      <c r="J85" s="172">
        <f t="shared" si="68"/>
        <v>862.5</v>
      </c>
      <c r="K85" s="115">
        <f t="shared" si="3"/>
        <v>0.328884652049571</v>
      </c>
      <c r="L85" s="191">
        <f t="shared" si="66"/>
        <v>6.31</v>
      </c>
      <c r="M85" s="172">
        <f t="shared" si="69"/>
        <v>149.4</v>
      </c>
      <c r="N85" s="47">
        <f t="shared" si="4"/>
        <v>0.334535032132381</v>
      </c>
      <c r="O85" s="193">
        <f>P85/$F85</f>
        <v>0</v>
      </c>
      <c r="P85" s="206">
        <v>0.0</v>
      </c>
      <c r="Q85" s="195"/>
      <c r="R85" s="196">
        <f>Roles!$D$2</f>
        <v>0.61</v>
      </c>
      <c r="S85" s="196">
        <f>R85*P85</f>
        <v>0</v>
      </c>
      <c r="T85" s="193">
        <f>U85/$F85</f>
        <v>6</v>
      </c>
      <c r="U85" s="197">
        <v>12.0</v>
      </c>
      <c r="V85" s="195"/>
      <c r="W85" s="196">
        <f>Roles!$D$8</f>
        <v>0.09</v>
      </c>
      <c r="X85" s="199">
        <f>MIN(U85,1)*Roles!$D$5+MAX(U85-1,0)*W85</f>
        <v>1.43</v>
      </c>
      <c r="Y85" s="193">
        <f>Z85/$F85</f>
        <v>19</v>
      </c>
      <c r="Z85" s="197">
        <v>38.0</v>
      </c>
      <c r="AA85" s="195"/>
      <c r="AB85" s="196">
        <f>Roles!$D$7</f>
        <v>0.12</v>
      </c>
      <c r="AC85" s="199">
        <f>MIN(Z85,1)*Roles!$D$4+MAX(Z85-1,0)*AB85</f>
        <v>4.88</v>
      </c>
      <c r="AD85" s="193">
        <f>AE85/$F85</f>
        <v>0</v>
      </c>
      <c r="AE85" s="197">
        <v>0.0</v>
      </c>
      <c r="AF85" s="200"/>
      <c r="AG85" s="208">
        <f>Roles!$D$6</f>
        <v>0.1</v>
      </c>
      <c r="AH85" s="199">
        <f>MIN(AE85,1)*Roles!$D$3+MAX(AE85-1,0)*AG85</f>
        <v>0</v>
      </c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 t="shared" si="1"/>
        <v>2</v>
      </c>
      <c r="F86" s="246">
        <f>SUM(F87:F96)</f>
        <v>42</v>
      </c>
      <c r="G86" s="105">
        <f t="shared" si="2"/>
        <v>0.0361757105943152</v>
      </c>
      <c r="H86" s="226">
        <f>H96</f>
        <v>0.305770887166236</v>
      </c>
      <c r="I86" s="247">
        <f>SUM(I87:I96)</f>
        <v>125</v>
      </c>
      <c r="J86" s="247">
        <f>J96</f>
        <v>987.5</v>
      </c>
      <c r="K86" s="167">
        <f t="shared" si="3"/>
        <v>0.376549094375596</v>
      </c>
      <c r="L86" s="247">
        <f>SUM(L87:L96)</f>
        <v>20.56</v>
      </c>
      <c r="M86" s="247">
        <f>M96</f>
        <v>169.96</v>
      </c>
      <c r="N86" s="167">
        <f t="shared" si="4"/>
        <v>0.380572784880987</v>
      </c>
      <c r="O86" s="173"/>
      <c r="P86" s="174"/>
      <c r="Q86" s="178"/>
      <c r="R86" s="178"/>
      <c r="S86" s="178"/>
      <c r="T86" s="173"/>
      <c r="U86" s="195"/>
      <c r="V86" s="178"/>
      <c r="W86" s="178"/>
      <c r="X86" s="178"/>
      <c r="Y86" s="173"/>
      <c r="Z86" s="195"/>
      <c r="AA86" s="178"/>
      <c r="AB86" s="178"/>
      <c r="AC86" s="178"/>
      <c r="AD86" s="173"/>
      <c r="AE86" s="195"/>
      <c r="AF86" s="180"/>
      <c r="AG86" s="180"/>
      <c r="AH86" s="178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 t="shared" si="1"/>
        <v>1</v>
      </c>
      <c r="F87" s="80">
        <v>4.0</v>
      </c>
      <c r="G87" s="105">
        <f t="shared" si="2"/>
        <v>0.00344530577088717</v>
      </c>
      <c r="H87" s="47">
        <f>H85+G87</f>
        <v>0.273040482342808</v>
      </c>
      <c r="I87" s="187">
        <f t="shared" ref="I87:I96" si="70">P87+U87+Z87+AE87</f>
        <v>17</v>
      </c>
      <c r="J87" s="172">
        <f>J85+I87</f>
        <v>879.5</v>
      </c>
      <c r="K87" s="115">
        <f t="shared" si="3"/>
        <v>0.33536701620591</v>
      </c>
      <c r="L87" s="191">
        <f t="shared" ref="L87:L96" si="71">S87+X87+AC87+AH87</f>
        <v>3.08</v>
      </c>
      <c r="M87" s="172">
        <f>M85+L87</f>
        <v>152.48</v>
      </c>
      <c r="N87" s="47">
        <f t="shared" si="4"/>
        <v>0.341431738283437</v>
      </c>
      <c r="O87" s="193">
        <f>P87/$F87</f>
        <v>0.25</v>
      </c>
      <c r="P87" s="194">
        <v>1.0</v>
      </c>
      <c r="Q87" s="195"/>
      <c r="R87" s="196">
        <f>Roles!$D$2</f>
        <v>0.61</v>
      </c>
      <c r="S87" s="196">
        <f>R87*P87</f>
        <v>0.61</v>
      </c>
      <c r="T87" s="193">
        <f>U87/$F87</f>
        <v>1</v>
      </c>
      <c r="U87" s="197">
        <v>4.0</v>
      </c>
      <c r="V87" s="195"/>
      <c r="W87" s="196">
        <f>Roles!$D$8</f>
        <v>0.09</v>
      </c>
      <c r="X87" s="199">
        <f>MIN(U87,1)*Roles!$D$5+MAX(U87-1,0)*W87</f>
        <v>0.71</v>
      </c>
      <c r="Y87" s="193">
        <f>Z87/$F87</f>
        <v>3</v>
      </c>
      <c r="Z87" s="197">
        <v>12.0</v>
      </c>
      <c r="AA87" s="195"/>
      <c r="AB87" s="196">
        <f>Roles!$D$7</f>
        <v>0.12</v>
      </c>
      <c r="AC87" s="199">
        <f>MIN(Z87,1)*Roles!$D$4+MAX(Z87-1,0)*AB87</f>
        <v>1.76</v>
      </c>
      <c r="AD87" s="193">
        <f>AE87/$F87</f>
        <v>0</v>
      </c>
      <c r="AE87" s="197">
        <v>0.0</v>
      </c>
      <c r="AF87" s="200"/>
      <c r="AG87" s="208">
        <f>Roles!$D$6</f>
        <v>0.1</v>
      </c>
      <c r="AH87" s="199">
        <f>MIN(AE87,1)*Roles!$D$3+MAX(AE87-1,0)*AG87</f>
        <v>0</v>
      </c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 t="shared" si="1"/>
        <v>1</v>
      </c>
      <c r="F88" s="80">
        <v>4.0</v>
      </c>
      <c r="G88" s="105">
        <f t="shared" si="2"/>
        <v>0.00344530577088717</v>
      </c>
      <c r="H88" s="47">
        <f t="shared" ref="H88:H96" si="72">H87+G88</f>
        <v>0.276485788113695</v>
      </c>
      <c r="I88" s="187">
        <f t="shared" si="70"/>
        <v>4</v>
      </c>
      <c r="J88" s="172">
        <f t="shared" ref="J88:J96" si="73">J87+I88</f>
        <v>883.5</v>
      </c>
      <c r="K88" s="115">
        <f t="shared" si="3"/>
        <v>0.336892278360343</v>
      </c>
      <c r="L88" s="191">
        <f t="shared" si="71"/>
        <v>0.8</v>
      </c>
      <c r="M88" s="172">
        <f t="shared" ref="M88:M96" si="74">M87+L88</f>
        <v>153.28</v>
      </c>
      <c r="N88" s="47">
        <f t="shared" si="4"/>
        <v>0.343223090530464</v>
      </c>
      <c r="O88" s="193">
        <f>P88/$F88</f>
        <v>0</v>
      </c>
      <c r="P88" s="206">
        <v>0.0</v>
      </c>
      <c r="Q88" s="195"/>
      <c r="R88" s="196">
        <f>Roles!$D$2</f>
        <v>0.61</v>
      </c>
      <c r="S88" s="196">
        <f>R88*P88</f>
        <v>0</v>
      </c>
      <c r="T88" s="193">
        <f>U88/$F88</f>
        <v>0</v>
      </c>
      <c r="U88" s="197">
        <v>0.0</v>
      </c>
      <c r="V88" s="195"/>
      <c r="W88" s="196">
        <f>Roles!$D$8</f>
        <v>0.09</v>
      </c>
      <c r="X88" s="199">
        <f>MIN(U88,1)*Roles!$D$5+MAX(U88-1,0)*W88</f>
        <v>0</v>
      </c>
      <c r="Y88" s="193">
        <f>Z88/$F88</f>
        <v>1</v>
      </c>
      <c r="Z88" s="197">
        <v>4.0</v>
      </c>
      <c r="AA88" s="195"/>
      <c r="AB88" s="196">
        <f>Roles!$D$7</f>
        <v>0.12</v>
      </c>
      <c r="AC88" s="199">
        <f>MIN(Z88,1)*Roles!$D$4+MAX(Z88-1,0)*AB88</f>
        <v>0.8</v>
      </c>
      <c r="AD88" s="193">
        <f>AE88/$F88</f>
        <v>0</v>
      </c>
      <c r="AE88" s="197">
        <v>0.0</v>
      </c>
      <c r="AF88" s="200"/>
      <c r="AG88" s="208">
        <f>Roles!$D$6</f>
        <v>0.1</v>
      </c>
      <c r="AH88" s="199">
        <f>MIN(AE88,1)*Roles!$D$3+MAX(AE88-1,0)*AG88</f>
        <v>0</v>
      </c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 t="shared" si="1"/>
        <v>1</v>
      </c>
      <c r="F89" s="80">
        <v>4.0</v>
      </c>
      <c r="G89" s="105">
        <f t="shared" si="2"/>
        <v>0.00344530577088717</v>
      </c>
      <c r="H89" s="47">
        <f t="shared" si="72"/>
        <v>0.279931093884582</v>
      </c>
      <c r="I89" s="187">
        <f t="shared" si="70"/>
        <v>16</v>
      </c>
      <c r="J89" s="172">
        <f t="shared" si="73"/>
        <v>899.5</v>
      </c>
      <c r="K89" s="115">
        <f t="shared" si="3"/>
        <v>0.342993326978074</v>
      </c>
      <c r="L89" s="191">
        <f t="shared" si="71"/>
        <v>2.47</v>
      </c>
      <c r="M89" s="172">
        <f t="shared" si="74"/>
        <v>155.75</v>
      </c>
      <c r="N89" s="47">
        <f t="shared" si="4"/>
        <v>0.348753890593162</v>
      </c>
      <c r="O89" s="193">
        <f>P89/$F89</f>
        <v>0</v>
      </c>
      <c r="P89" s="206">
        <v>0.0</v>
      </c>
      <c r="Q89" s="195"/>
      <c r="R89" s="196">
        <f>Roles!$D$2</f>
        <v>0.61</v>
      </c>
      <c r="S89" s="196">
        <f>R89*P89</f>
        <v>0</v>
      </c>
      <c r="T89" s="193">
        <f>U89/$F89</f>
        <v>1</v>
      </c>
      <c r="U89" s="197">
        <v>4.0</v>
      </c>
      <c r="V89" s="195"/>
      <c r="W89" s="196">
        <f>Roles!$D$8</f>
        <v>0.09</v>
      </c>
      <c r="X89" s="199">
        <f>MIN(U89,1)*Roles!$D$5+MAX(U89-1,0)*W89</f>
        <v>0.71</v>
      </c>
      <c r="Y89" s="193">
        <f>Z89/$F89</f>
        <v>3</v>
      </c>
      <c r="Z89" s="197">
        <v>12.0</v>
      </c>
      <c r="AA89" s="195"/>
      <c r="AB89" s="196">
        <f>Roles!$D$7</f>
        <v>0.12</v>
      </c>
      <c r="AC89" s="199">
        <f>MIN(Z89,1)*Roles!$D$4+MAX(Z89-1,0)*AB89</f>
        <v>1.76</v>
      </c>
      <c r="AD89" s="193">
        <f>AE89/$F89</f>
        <v>0</v>
      </c>
      <c r="AE89" s="197">
        <v>0.0</v>
      </c>
      <c r="AF89" s="200"/>
      <c r="AG89" s="208">
        <f>Roles!$D$6</f>
        <v>0.1</v>
      </c>
      <c r="AH89" s="199">
        <f>MIN(AE89,1)*Roles!$D$3+MAX(AE89-1,0)*AG89</f>
        <v>0</v>
      </c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 t="shared" si="1"/>
        <v>1</v>
      </c>
      <c r="F90" s="80">
        <v>4.0</v>
      </c>
      <c r="G90" s="105">
        <f t="shared" si="2"/>
        <v>0.00344530577088717</v>
      </c>
      <c r="H90" s="47">
        <f t="shared" si="72"/>
        <v>0.283376399655469</v>
      </c>
      <c r="I90" s="187">
        <f t="shared" si="70"/>
        <v>16</v>
      </c>
      <c r="J90" s="172">
        <f t="shared" si="73"/>
        <v>915.5</v>
      </c>
      <c r="K90" s="115">
        <f t="shared" si="3"/>
        <v>0.349094375595806</v>
      </c>
      <c r="L90" s="191">
        <f t="shared" si="71"/>
        <v>2.47</v>
      </c>
      <c r="M90" s="172">
        <f t="shared" si="74"/>
        <v>158.22</v>
      </c>
      <c r="N90" s="47">
        <f t="shared" si="4"/>
        <v>0.354284690655859</v>
      </c>
      <c r="O90" s="193">
        <f>P90/$F90</f>
        <v>0</v>
      </c>
      <c r="P90" s="206">
        <v>0.0</v>
      </c>
      <c r="Q90" s="195"/>
      <c r="R90" s="196">
        <f>Roles!$D$2</f>
        <v>0.61</v>
      </c>
      <c r="S90" s="196">
        <f>R90*P90</f>
        <v>0</v>
      </c>
      <c r="T90" s="193">
        <f>U90/$F90</f>
        <v>1</v>
      </c>
      <c r="U90" s="197">
        <v>4.0</v>
      </c>
      <c r="V90" s="195"/>
      <c r="W90" s="196">
        <f>Roles!$D$8</f>
        <v>0.09</v>
      </c>
      <c r="X90" s="199">
        <f>MIN(U90,1)*Roles!$D$5+MAX(U90-1,0)*W90</f>
        <v>0.71</v>
      </c>
      <c r="Y90" s="193">
        <f>Z90/$F90</f>
        <v>3</v>
      </c>
      <c r="Z90" s="197">
        <v>12.0</v>
      </c>
      <c r="AA90" s="195"/>
      <c r="AB90" s="196">
        <f>Roles!$D$7</f>
        <v>0.12</v>
      </c>
      <c r="AC90" s="199">
        <f>MIN(Z90,1)*Roles!$D$4+MAX(Z90-1,0)*AB90</f>
        <v>1.76</v>
      </c>
      <c r="AD90" s="193">
        <f>AE90/$F90</f>
        <v>0</v>
      </c>
      <c r="AE90" s="197">
        <v>0.0</v>
      </c>
      <c r="AF90" s="200"/>
      <c r="AG90" s="208">
        <f>Roles!$D$6</f>
        <v>0.1</v>
      </c>
      <c r="AH90" s="199">
        <f>MIN(AE90,1)*Roles!$D$3+MAX(AE90-1,0)*AG90</f>
        <v>0</v>
      </c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 t="shared" si="1"/>
        <v>2</v>
      </c>
      <c r="F91" s="80">
        <v>6.0</v>
      </c>
      <c r="G91" s="105">
        <f t="shared" si="2"/>
        <v>0.00516795865633075</v>
      </c>
      <c r="H91" s="47">
        <f t="shared" si="72"/>
        <v>0.2885443583118</v>
      </c>
      <c r="I91" s="187">
        <f t="shared" si="70"/>
        <v>22</v>
      </c>
      <c r="J91" s="172">
        <f t="shared" si="73"/>
        <v>937.5</v>
      </c>
      <c r="K91" s="115">
        <f t="shared" si="3"/>
        <v>0.357483317445186</v>
      </c>
      <c r="L91" s="191">
        <f t="shared" si="71"/>
        <v>3.19</v>
      </c>
      <c r="M91" s="172">
        <f t="shared" si="74"/>
        <v>161.41</v>
      </c>
      <c r="N91" s="47">
        <f t="shared" si="4"/>
        <v>0.361427707740881</v>
      </c>
      <c r="O91" s="193">
        <f>P91/$F91</f>
        <v>0</v>
      </c>
      <c r="P91" s="206">
        <v>0.0</v>
      </c>
      <c r="Q91" s="195"/>
      <c r="R91" s="196">
        <f>Roles!$D$2</f>
        <v>0.61</v>
      </c>
      <c r="S91" s="196">
        <f>R91*P91</f>
        <v>0</v>
      </c>
      <c r="T91" s="193">
        <f>U91/$F91</f>
        <v>0.666666666666667</v>
      </c>
      <c r="U91" s="197">
        <v>4</v>
      </c>
      <c r="V91" s="195"/>
      <c r="W91" s="196">
        <f>Roles!$D$8</f>
        <v>0.09</v>
      </c>
      <c r="X91" s="199">
        <f>MIN(U91,1)*Roles!$D$5+MAX(U91-1,0)*W91</f>
        <v>0.71</v>
      </c>
      <c r="Y91" s="193">
        <f>Z91/$F91</f>
        <v>3</v>
      </c>
      <c r="Z91" s="197">
        <v>18.0</v>
      </c>
      <c r="AA91" s="195"/>
      <c r="AB91" s="196">
        <f>Roles!$D$7</f>
        <v>0.12</v>
      </c>
      <c r="AC91" s="199">
        <f>MIN(Z91,1)*Roles!$D$4+MAX(Z91-1,0)*AB91</f>
        <v>2.48</v>
      </c>
      <c r="AD91" s="193">
        <f>AE91/$F91</f>
        <v>0</v>
      </c>
      <c r="AE91" s="197">
        <v>0.0</v>
      </c>
      <c r="AF91" s="200"/>
      <c r="AG91" s="208">
        <f>Roles!$D$6</f>
        <v>0.1</v>
      </c>
      <c r="AH91" s="199">
        <f>MIN(AE91,1)*Roles!$D$3+MAX(AE91-1,0)*AG91</f>
        <v>0</v>
      </c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 t="shared" si="1"/>
        <v>2</v>
      </c>
      <c r="F92" s="80">
        <v>4.0</v>
      </c>
      <c r="G92" s="105">
        <f t="shared" si="2"/>
        <v>0.00344530577088717</v>
      </c>
      <c r="H92" s="47">
        <f t="shared" si="72"/>
        <v>0.291989664082687</v>
      </c>
      <c r="I92" s="187">
        <f t="shared" si="70"/>
        <v>4</v>
      </c>
      <c r="J92" s="172">
        <f t="shared" si="73"/>
        <v>941.5</v>
      </c>
      <c r="K92" s="115">
        <f t="shared" si="3"/>
        <v>0.359008579599619</v>
      </c>
      <c r="L92" s="191">
        <f t="shared" si="71"/>
        <v>0.8</v>
      </c>
      <c r="M92" s="172">
        <f t="shared" si="74"/>
        <v>162.21</v>
      </c>
      <c r="N92" s="47">
        <f t="shared" si="4"/>
        <v>0.363219059987909</v>
      </c>
      <c r="O92" s="193">
        <f>P92/$F92</f>
        <v>0</v>
      </c>
      <c r="P92" s="206">
        <v>0.0</v>
      </c>
      <c r="Q92" s="195"/>
      <c r="R92" s="196">
        <f>Roles!$D$2</f>
        <v>0.61</v>
      </c>
      <c r="S92" s="196">
        <f>R92*P92</f>
        <v>0</v>
      </c>
      <c r="T92" s="193">
        <f>U92/$F92</f>
        <v>0</v>
      </c>
      <c r="U92" s="197">
        <v>0.0</v>
      </c>
      <c r="V92" s="195"/>
      <c r="W92" s="196">
        <f>Roles!$D$8</f>
        <v>0.09</v>
      </c>
      <c r="X92" s="199">
        <f>MIN(U92,1)*Roles!$D$5+MAX(U92-1,0)*W92</f>
        <v>0</v>
      </c>
      <c r="Y92" s="193">
        <f>Z92/$F92</f>
        <v>1</v>
      </c>
      <c r="Z92" s="197">
        <v>4.0</v>
      </c>
      <c r="AA92" s="195"/>
      <c r="AB92" s="196">
        <f>Roles!$D$7</f>
        <v>0.12</v>
      </c>
      <c r="AC92" s="199">
        <f>MIN(Z92,1)*Roles!$D$4+MAX(Z92-1,0)*AB92</f>
        <v>0.8</v>
      </c>
      <c r="AD92" s="193">
        <f>AE92/$F92</f>
        <v>0</v>
      </c>
      <c r="AE92" s="197">
        <v>0.0</v>
      </c>
      <c r="AF92" s="200"/>
      <c r="AG92" s="208">
        <f>Roles!$D$6</f>
        <v>0.1</v>
      </c>
      <c r="AH92" s="199">
        <f>MIN(AE92,1)*Roles!$D$3+MAX(AE92-1,0)*AG92</f>
        <v>0</v>
      </c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 t="shared" si="1"/>
        <v>2</v>
      </c>
      <c r="F93" s="80">
        <v>3.0</v>
      </c>
      <c r="G93" s="105">
        <f t="shared" si="2"/>
        <v>0.00258397932816538</v>
      </c>
      <c r="H93" s="47">
        <f t="shared" si="72"/>
        <v>0.294573643410853</v>
      </c>
      <c r="I93" s="187">
        <f t="shared" si="70"/>
        <v>4</v>
      </c>
      <c r="J93" s="172">
        <f t="shared" si="73"/>
        <v>945.5</v>
      </c>
      <c r="K93" s="115">
        <f t="shared" si="3"/>
        <v>0.360533841754051</v>
      </c>
      <c r="L93" s="191">
        <f t="shared" si="71"/>
        <v>1.29</v>
      </c>
      <c r="M93" s="172">
        <f t="shared" si="74"/>
        <v>163.5</v>
      </c>
      <c r="N93" s="47">
        <f t="shared" si="4"/>
        <v>0.36610761548624</v>
      </c>
      <c r="O93" s="193">
        <f>P93/$F93</f>
        <v>0.333333333333333</v>
      </c>
      <c r="P93" s="194">
        <v>1</v>
      </c>
      <c r="Q93" s="195"/>
      <c r="R93" s="196">
        <f>Roles!$D$2</f>
        <v>0.61</v>
      </c>
      <c r="S93" s="196">
        <f>R93*P93</f>
        <v>0.61</v>
      </c>
      <c r="T93" s="193">
        <f>U93/$F93</f>
        <v>0</v>
      </c>
      <c r="U93" s="197">
        <v>0.0</v>
      </c>
      <c r="V93" s="195"/>
      <c r="W93" s="196">
        <f>Roles!$D$8</f>
        <v>0.09</v>
      </c>
      <c r="X93" s="199">
        <f>MIN(U93,1)*Roles!$D$5+MAX(U93-1,0)*W93</f>
        <v>0</v>
      </c>
      <c r="Y93" s="193">
        <f>Z93/$F93</f>
        <v>1</v>
      </c>
      <c r="Z93" s="197">
        <v>3.0</v>
      </c>
      <c r="AA93" s="195"/>
      <c r="AB93" s="196">
        <f>Roles!$D$7</f>
        <v>0.12</v>
      </c>
      <c r="AC93" s="199">
        <f>MIN(Z93,1)*Roles!$D$4+MAX(Z93-1,0)*AB93</f>
        <v>0.68</v>
      </c>
      <c r="AD93" s="193">
        <f>AE93/$F93</f>
        <v>0</v>
      </c>
      <c r="AE93" s="197">
        <v>0.0</v>
      </c>
      <c r="AF93" s="200"/>
      <c r="AG93" s="208">
        <f>Roles!$D$6</f>
        <v>0.1</v>
      </c>
      <c r="AH93" s="199">
        <f>MIN(AE93,1)*Roles!$D$3+MAX(AE93-1,0)*AG93</f>
        <v>0</v>
      </c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 t="shared" si="1"/>
        <v>1</v>
      </c>
      <c r="F94" s="80">
        <v>4.0</v>
      </c>
      <c r="G94" s="105">
        <f t="shared" si="2"/>
        <v>0.00344530577088717</v>
      </c>
      <c r="H94" s="47">
        <f t="shared" si="72"/>
        <v>0.29801894918174</v>
      </c>
      <c r="I94" s="187">
        <f t="shared" si="70"/>
        <v>16</v>
      </c>
      <c r="J94" s="172">
        <f t="shared" si="73"/>
        <v>961.5</v>
      </c>
      <c r="K94" s="115">
        <f t="shared" si="3"/>
        <v>0.366634890371783</v>
      </c>
      <c r="L94" s="191">
        <f t="shared" si="71"/>
        <v>2.47</v>
      </c>
      <c r="M94" s="172">
        <f t="shared" si="74"/>
        <v>165.97</v>
      </c>
      <c r="N94" s="47">
        <f t="shared" si="4"/>
        <v>0.371638415548938</v>
      </c>
      <c r="O94" s="193">
        <f>P94/$F94</f>
        <v>0</v>
      </c>
      <c r="P94" s="206">
        <v>0.0</v>
      </c>
      <c r="Q94" s="195"/>
      <c r="R94" s="196">
        <f>Roles!$D$2</f>
        <v>0.61</v>
      </c>
      <c r="S94" s="196">
        <f>R94*P94</f>
        <v>0</v>
      </c>
      <c r="T94" s="193">
        <f>U94/$F94</f>
        <v>1</v>
      </c>
      <c r="U94" s="197">
        <v>4.0</v>
      </c>
      <c r="V94" s="195"/>
      <c r="W94" s="196">
        <f>Roles!$D$8</f>
        <v>0.09</v>
      </c>
      <c r="X94" s="199">
        <f>MIN(U94,1)*Roles!$D$5+MAX(U94-1,0)*W94</f>
        <v>0.71</v>
      </c>
      <c r="Y94" s="193">
        <f>Z94/$F94</f>
        <v>3</v>
      </c>
      <c r="Z94" s="197">
        <v>12.0</v>
      </c>
      <c r="AA94" s="195"/>
      <c r="AB94" s="196">
        <f>Roles!$D$7</f>
        <v>0.12</v>
      </c>
      <c r="AC94" s="199">
        <f>MIN(Z94,1)*Roles!$D$4+MAX(Z94-1,0)*AB94</f>
        <v>1.76</v>
      </c>
      <c r="AD94" s="193">
        <f>AE94/$F94</f>
        <v>0</v>
      </c>
      <c r="AE94" s="197">
        <v>0.0</v>
      </c>
      <c r="AF94" s="200"/>
      <c r="AG94" s="208">
        <f>Roles!$D$6</f>
        <v>0.1</v>
      </c>
      <c r="AH94" s="199">
        <f>MIN(AE94,1)*Roles!$D$3+MAX(AE94-1,0)*AG94</f>
        <v>0</v>
      </c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 t="shared" si="1"/>
        <v>1</v>
      </c>
      <c r="F95" s="80">
        <v>4.0</v>
      </c>
      <c r="G95" s="105">
        <f t="shared" si="2"/>
        <v>0.00344530577088717</v>
      </c>
      <c r="H95" s="47">
        <f t="shared" si="72"/>
        <v>0.301464254952627</v>
      </c>
      <c r="I95" s="187">
        <f t="shared" si="70"/>
        <v>16</v>
      </c>
      <c r="J95" s="172">
        <f t="shared" si="73"/>
        <v>977.5</v>
      </c>
      <c r="K95" s="115">
        <f t="shared" si="3"/>
        <v>0.372735938989514</v>
      </c>
      <c r="L95" s="191">
        <f t="shared" si="71"/>
        <v>2.47</v>
      </c>
      <c r="M95" s="172">
        <f t="shared" si="74"/>
        <v>168.44</v>
      </c>
      <c r="N95" s="47">
        <f t="shared" si="4"/>
        <v>0.377169215611635</v>
      </c>
      <c r="O95" s="193">
        <f>P95/$F95</f>
        <v>0</v>
      </c>
      <c r="P95" s="206">
        <v>0.0</v>
      </c>
      <c r="Q95" s="195"/>
      <c r="R95" s="196">
        <f>Roles!$D$2</f>
        <v>0.61</v>
      </c>
      <c r="S95" s="196">
        <f>R95*P95</f>
        <v>0</v>
      </c>
      <c r="T95" s="193">
        <f>U95/$F95</f>
        <v>1</v>
      </c>
      <c r="U95" s="197">
        <v>4.0</v>
      </c>
      <c r="V95" s="195"/>
      <c r="W95" s="196">
        <f>Roles!$D$8</f>
        <v>0.09</v>
      </c>
      <c r="X95" s="199">
        <f>MIN(U95,1)*Roles!$D$5+MAX(U95-1,0)*W95</f>
        <v>0.71</v>
      </c>
      <c r="Y95" s="193">
        <f>Z95/$F95</f>
        <v>3</v>
      </c>
      <c r="Z95" s="197">
        <v>12.0</v>
      </c>
      <c r="AA95" s="195"/>
      <c r="AB95" s="196">
        <f>Roles!$D$7</f>
        <v>0.12</v>
      </c>
      <c r="AC95" s="199">
        <f>MIN(Z95,1)*Roles!$D$4+MAX(Z95-1,0)*AB95</f>
        <v>1.76</v>
      </c>
      <c r="AD95" s="193">
        <f>AE95/$F95</f>
        <v>0</v>
      </c>
      <c r="AE95" s="197">
        <v>0.0</v>
      </c>
      <c r="AF95" s="200"/>
      <c r="AG95" s="208">
        <f>Roles!$D$6</f>
        <v>0.1</v>
      </c>
      <c r="AH95" s="199">
        <f>MIN(AE95,1)*Roles!$D$3+MAX(AE95-1,0)*AG95</f>
        <v>0</v>
      </c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 t="shared" si="1"/>
        <v>1</v>
      </c>
      <c r="F96" s="80">
        <v>5.0</v>
      </c>
      <c r="G96" s="105">
        <f t="shared" si="2"/>
        <v>0.00430663221360896</v>
      </c>
      <c r="H96" s="47">
        <f t="shared" si="72"/>
        <v>0.305770887166236</v>
      </c>
      <c r="I96" s="187">
        <f t="shared" si="70"/>
        <v>10</v>
      </c>
      <c r="J96" s="172">
        <f t="shared" si="73"/>
        <v>987.5</v>
      </c>
      <c r="K96" s="115">
        <f t="shared" si="3"/>
        <v>0.376549094375596</v>
      </c>
      <c r="L96" s="191">
        <f t="shared" si="71"/>
        <v>1.52</v>
      </c>
      <c r="M96" s="172">
        <f t="shared" si="74"/>
        <v>169.96</v>
      </c>
      <c r="N96" s="47">
        <f t="shared" si="4"/>
        <v>0.380572784880987</v>
      </c>
      <c r="O96" s="193">
        <f>P96/$F96</f>
        <v>0</v>
      </c>
      <c r="P96" s="194">
        <v>0</v>
      </c>
      <c r="Q96" s="195"/>
      <c r="R96" s="196">
        <f>Roles!$D$2</f>
        <v>0.61</v>
      </c>
      <c r="S96" s="196">
        <f>R96*P96</f>
        <v>0</v>
      </c>
      <c r="T96" s="193">
        <f>U96/$F96</f>
        <v>0</v>
      </c>
      <c r="U96" s="197">
        <v>0.0</v>
      </c>
      <c r="V96" s="195"/>
      <c r="W96" s="196">
        <f>Roles!$D$8</f>
        <v>0.09</v>
      </c>
      <c r="X96" s="199">
        <f>MIN(U96,1)*Roles!$D$5+MAX(U96-1,0)*W96</f>
        <v>0</v>
      </c>
      <c r="Y96" s="193">
        <f>Z96/$F96</f>
        <v>2</v>
      </c>
      <c r="Z96" s="197">
        <v>10.0</v>
      </c>
      <c r="AA96" s="195"/>
      <c r="AB96" s="196">
        <f>Roles!$D$7</f>
        <v>0.12</v>
      </c>
      <c r="AC96" s="199">
        <f>MIN(Z96,1)*Roles!$D$4+MAX(Z96-1,0)*AB96</f>
        <v>1.52</v>
      </c>
      <c r="AD96" s="193">
        <f>AE96/$F96</f>
        <v>0</v>
      </c>
      <c r="AE96" s="197">
        <v>0.0</v>
      </c>
      <c r="AF96" s="200"/>
      <c r="AG96" s="208">
        <f>Roles!$D$6</f>
        <v>0.1</v>
      </c>
      <c r="AH96" s="199">
        <f>MIN(AE96,1)*Roles!$D$3+MAX(AE96-1,0)*AG96</f>
        <v>0</v>
      </c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 t="shared" si="1"/>
        <v>1</v>
      </c>
      <c r="F97" s="246">
        <f>SUM(F98:F101)</f>
        <v>11</v>
      </c>
      <c r="G97" s="105">
        <f t="shared" si="2"/>
        <v>0.00947459086993971</v>
      </c>
      <c r="H97" s="226">
        <f>H101</f>
        <v>0.315245478036176</v>
      </c>
      <c r="I97" s="247">
        <f>SUM(I98:I101)</f>
        <v>109</v>
      </c>
      <c r="J97" s="247">
        <f>J101</f>
        <v>1096.5</v>
      </c>
      <c r="K97" s="167">
        <f t="shared" si="3"/>
        <v>0.418112488083889</v>
      </c>
      <c r="L97" s="247">
        <f>SUM(L98:L101)</f>
        <v>16.13</v>
      </c>
      <c r="M97" s="247">
        <f>M101</f>
        <v>186.09</v>
      </c>
      <c r="N97" s="167">
        <f t="shared" si="4"/>
        <v>0.416690924561679</v>
      </c>
      <c r="O97" s="173"/>
      <c r="P97" s="174"/>
      <c r="Q97" s="178"/>
      <c r="R97" s="178"/>
      <c r="S97" s="178"/>
      <c r="T97" s="173"/>
      <c r="U97" s="195"/>
      <c r="V97" s="178"/>
      <c r="W97" s="178"/>
      <c r="X97" s="178"/>
      <c r="Y97" s="173"/>
      <c r="Z97" s="195"/>
      <c r="AA97" s="178"/>
      <c r="AB97" s="178"/>
      <c r="AC97" s="178"/>
      <c r="AD97" s="173"/>
      <c r="AE97" s="195"/>
      <c r="AF97" s="180"/>
      <c r="AG97" s="180"/>
      <c r="AH97" s="178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 t="shared" si="1"/>
        <v>1</v>
      </c>
      <c r="F98" s="80">
        <v>4.0</v>
      </c>
      <c r="G98" s="105">
        <f t="shared" si="2"/>
        <v>0.00344530577088717</v>
      </c>
      <c r="H98" s="47">
        <f>H96+G98</f>
        <v>0.309216192937123</v>
      </c>
      <c r="I98" s="187">
        <f t="shared" ref="I98:I101" si="75">P98+U98+Z98+AE98</f>
        <v>51</v>
      </c>
      <c r="J98" s="172">
        <f>J96+I98</f>
        <v>1038.5</v>
      </c>
      <c r="K98" s="115">
        <f t="shared" si="3"/>
        <v>0.395996186844614</v>
      </c>
      <c r="L98" s="191">
        <f t="shared" ref="L98:L101" si="76">S98+X98+AC98+AH98</f>
        <v>6.92</v>
      </c>
      <c r="M98" s="172">
        <f>M96+L98</f>
        <v>176.88</v>
      </c>
      <c r="N98" s="47">
        <f t="shared" si="4"/>
        <v>0.396067981817775</v>
      </c>
      <c r="O98" s="193">
        <f>P98/$F98</f>
        <v>0.25</v>
      </c>
      <c r="P98" s="194">
        <v>1</v>
      </c>
      <c r="Q98" s="195"/>
      <c r="R98" s="196">
        <f>Roles!$D$2</f>
        <v>0.61</v>
      </c>
      <c r="S98" s="196">
        <f>R98*P98</f>
        <v>0.61</v>
      </c>
      <c r="T98" s="193">
        <f>U98/$F98</f>
        <v>3</v>
      </c>
      <c r="U98" s="197">
        <v>12</v>
      </c>
      <c r="V98" s="195"/>
      <c r="W98" s="196">
        <f>Roles!$D$8</f>
        <v>0.09</v>
      </c>
      <c r="X98" s="199">
        <f>MIN(U98,1)*Roles!$D$5+MAX(U98-1,0)*W98</f>
        <v>1.43</v>
      </c>
      <c r="Y98" s="193">
        <f>Z98/$F98</f>
        <v>9.5</v>
      </c>
      <c r="Z98" s="197">
        <v>38</v>
      </c>
      <c r="AA98" s="195"/>
      <c r="AB98" s="196">
        <f>Roles!$D$7</f>
        <v>0.12</v>
      </c>
      <c r="AC98" s="199">
        <f>MIN(Z98,1)*Roles!$D$4+MAX(Z98-1,0)*AB98</f>
        <v>4.88</v>
      </c>
      <c r="AD98" s="193">
        <f>AE98/$F98</f>
        <v>0</v>
      </c>
      <c r="AE98" s="197">
        <v>0.0</v>
      </c>
      <c r="AF98" s="200"/>
      <c r="AG98" s="208">
        <f>Roles!$D$6</f>
        <v>0.1</v>
      </c>
      <c r="AH98" s="199">
        <f>MIN(AE98,1)*Roles!$D$3+MAX(AE98-1,0)*AG98</f>
        <v>0</v>
      </c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 t="shared" si="1"/>
        <v>1</v>
      </c>
      <c r="F99" s="80">
        <v>2.0</v>
      </c>
      <c r="G99" s="105">
        <f t="shared" si="2"/>
        <v>0.00172265288544358</v>
      </c>
      <c r="H99" s="47">
        <f t="shared" ref="H99:H101" si="77">H98+G99</f>
        <v>0.310938845822567</v>
      </c>
      <c r="I99" s="187">
        <f t="shared" si="75"/>
        <v>3</v>
      </c>
      <c r="J99" s="172">
        <f t="shared" ref="J99:J101" si="78">J98+I99</f>
        <v>1041.5</v>
      </c>
      <c r="K99" s="115">
        <f t="shared" si="3"/>
        <v>0.397140133460439</v>
      </c>
      <c r="L99" s="191">
        <f t="shared" si="76"/>
        <v>1.17</v>
      </c>
      <c r="M99" s="172">
        <f t="shared" ref="M99:M101" si="79">M98+L99</f>
        <v>178.05</v>
      </c>
      <c r="N99" s="47">
        <f t="shared" si="4"/>
        <v>0.398687834479053</v>
      </c>
      <c r="O99" s="193">
        <f>P99/$F99</f>
        <v>0.5</v>
      </c>
      <c r="P99" s="194">
        <v>1</v>
      </c>
      <c r="Q99" s="195"/>
      <c r="R99" s="196">
        <f>Roles!$D$2</f>
        <v>0.61</v>
      </c>
      <c r="S99" s="196">
        <f>R99*P99</f>
        <v>0.61</v>
      </c>
      <c r="T99" s="193">
        <f>U99/$F99</f>
        <v>0</v>
      </c>
      <c r="U99" s="197">
        <v>0.0</v>
      </c>
      <c r="V99" s="195"/>
      <c r="W99" s="196">
        <f>Roles!$D$8</f>
        <v>0.09</v>
      </c>
      <c r="X99" s="199">
        <f>MIN(U99,1)*Roles!$D$5+MAX(U99-1,0)*W99</f>
        <v>0</v>
      </c>
      <c r="Y99" s="193">
        <f>Z99/$F99</f>
        <v>1</v>
      </c>
      <c r="Z99" s="197">
        <v>2.0</v>
      </c>
      <c r="AA99" s="195"/>
      <c r="AB99" s="196">
        <f>Roles!$D$7</f>
        <v>0.12</v>
      </c>
      <c r="AC99" s="199">
        <f>MIN(Z99,1)*Roles!$D$4+MAX(Z99-1,0)*AB99</f>
        <v>0.56</v>
      </c>
      <c r="AD99" s="193">
        <f>AE99/$F99</f>
        <v>0</v>
      </c>
      <c r="AE99" s="197">
        <v>0.0</v>
      </c>
      <c r="AF99" s="200"/>
      <c r="AG99" s="208">
        <f>Roles!$D$6</f>
        <v>0.1</v>
      </c>
      <c r="AH99" s="199">
        <f>MIN(AE99,1)*Roles!$D$3+MAX(AE99-1,0)*AG99</f>
        <v>0</v>
      </c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 t="shared" si="1"/>
        <v>1</v>
      </c>
      <c r="F100" s="80">
        <v>4.0</v>
      </c>
      <c r="G100" s="105">
        <f t="shared" si="2"/>
        <v>0.00344530577088717</v>
      </c>
      <c r="H100" s="47">
        <f t="shared" si="77"/>
        <v>0.314384151593454</v>
      </c>
      <c r="I100" s="187">
        <f t="shared" si="75"/>
        <v>51</v>
      </c>
      <c r="J100" s="172">
        <f t="shared" si="78"/>
        <v>1092.5</v>
      </c>
      <c r="K100" s="115">
        <f t="shared" si="3"/>
        <v>0.416587225929457</v>
      </c>
      <c r="L100" s="191">
        <f t="shared" si="76"/>
        <v>6.92</v>
      </c>
      <c r="M100" s="172">
        <f t="shared" si="79"/>
        <v>184.97</v>
      </c>
      <c r="N100" s="47">
        <f t="shared" si="4"/>
        <v>0.41418303141584</v>
      </c>
      <c r="O100" s="193">
        <f>P100/$F100</f>
        <v>0.25</v>
      </c>
      <c r="P100" s="194">
        <v>1.0</v>
      </c>
      <c r="Q100" s="195"/>
      <c r="R100" s="196">
        <f>Roles!$D$2</f>
        <v>0.61</v>
      </c>
      <c r="S100" s="196">
        <f>R100*P100</f>
        <v>0.61</v>
      </c>
      <c r="T100" s="193">
        <f>U100/$F100</f>
        <v>3</v>
      </c>
      <c r="U100" s="197">
        <v>12</v>
      </c>
      <c r="V100" s="195"/>
      <c r="W100" s="196">
        <f>Roles!$D$8</f>
        <v>0.09</v>
      </c>
      <c r="X100" s="199">
        <f>MIN(U100,1)*Roles!$D$5+MAX(U100-1,0)*W100</f>
        <v>1.43</v>
      </c>
      <c r="Y100" s="193">
        <f>Z100/$F100</f>
        <v>9.5</v>
      </c>
      <c r="Z100" s="197">
        <v>38</v>
      </c>
      <c r="AA100" s="195"/>
      <c r="AB100" s="196">
        <f>Roles!$D$7</f>
        <v>0.12</v>
      </c>
      <c r="AC100" s="199">
        <f>MIN(Z100,1)*Roles!$D$4+MAX(Z100-1,0)*AB100</f>
        <v>4.88</v>
      </c>
      <c r="AD100" s="193">
        <f>AE100/$F100</f>
        <v>0</v>
      </c>
      <c r="AE100" s="197">
        <v>0.0</v>
      </c>
      <c r="AF100" s="200"/>
      <c r="AG100" s="208">
        <f>Roles!$D$6</f>
        <v>0.1</v>
      </c>
      <c r="AH100" s="199">
        <f>MIN(AE100,1)*Roles!$D$3+MAX(AE100-1,0)*AG100</f>
        <v>0</v>
      </c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 t="shared" si="1"/>
        <v>1</v>
      </c>
      <c r="F101" s="80">
        <v>1.0</v>
      </c>
      <c r="G101" s="105">
        <f t="shared" si="2"/>
        <v>0.000861326442721792</v>
      </c>
      <c r="H101" s="47">
        <f t="shared" si="77"/>
        <v>0.315245478036176</v>
      </c>
      <c r="I101" s="187">
        <f t="shared" si="75"/>
        <v>4</v>
      </c>
      <c r="J101" s="172">
        <f t="shared" si="78"/>
        <v>1096.5</v>
      </c>
      <c r="K101" s="115">
        <f t="shared" si="3"/>
        <v>0.418112488083889</v>
      </c>
      <c r="L101" s="191">
        <f t="shared" si="76"/>
        <v>1.12</v>
      </c>
      <c r="M101" s="172">
        <f t="shared" si="79"/>
        <v>186.09</v>
      </c>
      <c r="N101" s="47">
        <f t="shared" si="4"/>
        <v>0.416690924561679</v>
      </c>
      <c r="O101" s="193">
        <f>P101/$F101</f>
        <v>0</v>
      </c>
      <c r="P101" s="206">
        <v>0.0</v>
      </c>
      <c r="Q101" s="195"/>
      <c r="R101" s="196">
        <f>Roles!$D$2</f>
        <v>0.61</v>
      </c>
      <c r="S101" s="196">
        <f>R101*P101</f>
        <v>0</v>
      </c>
      <c r="T101" s="193">
        <f>U101/$F101</f>
        <v>1</v>
      </c>
      <c r="U101" s="197">
        <v>1.0</v>
      </c>
      <c r="V101" s="195"/>
      <c r="W101" s="196">
        <f>Roles!$D$8</f>
        <v>0.09</v>
      </c>
      <c r="X101" s="199">
        <f>MIN(U101,1)*Roles!$D$5+MAX(U101-1,0)*W101</f>
        <v>0.44</v>
      </c>
      <c r="Y101" s="193">
        <f>Z101/$F101</f>
        <v>3</v>
      </c>
      <c r="Z101" s="197">
        <v>3.0</v>
      </c>
      <c r="AA101" s="195"/>
      <c r="AB101" s="196">
        <f>Roles!$D$7</f>
        <v>0.12</v>
      </c>
      <c r="AC101" s="199">
        <f>MIN(Z101,1)*Roles!$D$4+MAX(Z101-1,0)*AB101</f>
        <v>0.68</v>
      </c>
      <c r="AD101" s="193">
        <f>AE101/$F101</f>
        <v>0</v>
      </c>
      <c r="AE101" s="197">
        <v>0.0</v>
      </c>
      <c r="AF101" s="200"/>
      <c r="AG101" s="208">
        <f>Roles!$D$6</f>
        <v>0.1</v>
      </c>
      <c r="AH101" s="199">
        <f>MIN(AE101,1)*Roles!$D$3+MAX(AE101-1,0)*AG101</f>
        <v>0</v>
      </c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 t="shared" si="1"/>
        <v>3</v>
      </c>
      <c r="F102" s="246">
        <f>SUM(F103:F109)</f>
        <v>29</v>
      </c>
      <c r="G102" s="105">
        <f t="shared" si="2"/>
        <v>0.024978466838932</v>
      </c>
      <c r="H102" s="226">
        <f>H109</f>
        <v>0.340223944875108</v>
      </c>
      <c r="I102" s="247">
        <f>SUM(I103:I109)</f>
        <v>87</v>
      </c>
      <c r="J102" s="247">
        <f>J109</f>
        <v>1183.5</v>
      </c>
      <c r="K102" s="167">
        <f t="shared" si="3"/>
        <v>0.451286939942803</v>
      </c>
      <c r="L102" s="247">
        <f>SUM(L103:L109)</f>
        <v>13.51</v>
      </c>
      <c r="M102" s="247">
        <f>M109</f>
        <v>199.6</v>
      </c>
      <c r="N102" s="167">
        <f t="shared" si="4"/>
        <v>0.446942385633355</v>
      </c>
      <c r="O102" s="173"/>
      <c r="P102" s="174"/>
      <c r="Q102" s="178"/>
      <c r="R102" s="178"/>
      <c r="S102" s="178"/>
      <c r="T102" s="173"/>
      <c r="U102" s="195"/>
      <c r="V102" s="178"/>
      <c r="W102" s="178"/>
      <c r="X102" s="178"/>
      <c r="Y102" s="173"/>
      <c r="Z102" s="195"/>
      <c r="AA102" s="178"/>
      <c r="AB102" s="178"/>
      <c r="AC102" s="178"/>
      <c r="AD102" s="173"/>
      <c r="AE102" s="195"/>
      <c r="AF102" s="180"/>
      <c r="AG102" s="180"/>
      <c r="AH102" s="178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 t="shared" si="1"/>
        <v>3</v>
      </c>
      <c r="F103" s="80">
        <v>8.0</v>
      </c>
      <c r="G103" s="105">
        <f t="shared" si="2"/>
        <v>0.00689061154177433</v>
      </c>
      <c r="H103" s="47">
        <f>H101+G103</f>
        <v>0.32213608957795</v>
      </c>
      <c r="I103" s="187">
        <f t="shared" ref="I103:I109" si="80">P103+U103+Z103+AE103</f>
        <v>8</v>
      </c>
      <c r="J103" s="172">
        <f>J101+I103</f>
        <v>1104.5</v>
      </c>
      <c r="K103" s="115">
        <f t="shared" si="3"/>
        <v>0.421163012392755</v>
      </c>
      <c r="L103" s="191">
        <f t="shared" ref="L103:L109" si="81">S103+X103+AC103+AH103</f>
        <v>1.28</v>
      </c>
      <c r="M103" s="172">
        <f>M101+L103</f>
        <v>187.37</v>
      </c>
      <c r="N103" s="47">
        <f t="shared" si="4"/>
        <v>0.419557088156923</v>
      </c>
      <c r="O103" s="193">
        <f>P103/$F103</f>
        <v>0</v>
      </c>
      <c r="P103" s="206">
        <v>0.0</v>
      </c>
      <c r="Q103" s="195"/>
      <c r="R103" s="196">
        <f>Roles!$D$2</f>
        <v>0.61</v>
      </c>
      <c r="S103" s="196">
        <f>R103*P103</f>
        <v>0</v>
      </c>
      <c r="T103" s="193">
        <f>U103/$F103</f>
        <v>0</v>
      </c>
      <c r="U103" s="197">
        <v>0.0</v>
      </c>
      <c r="V103" s="195"/>
      <c r="W103" s="196">
        <f>Roles!$D$8</f>
        <v>0.09</v>
      </c>
      <c r="X103" s="199">
        <f>MIN(U103,1)*Roles!$D$5+MAX(U103-1,0)*W103</f>
        <v>0</v>
      </c>
      <c r="Y103" s="193">
        <f>Z103/$F103</f>
        <v>1</v>
      </c>
      <c r="Z103" s="197">
        <v>8.0</v>
      </c>
      <c r="AA103" s="195"/>
      <c r="AB103" s="196">
        <f>Roles!$D$7</f>
        <v>0.12</v>
      </c>
      <c r="AC103" s="199">
        <f>MIN(Z103,1)*Roles!$D$4+MAX(Z103-1,0)*AB103</f>
        <v>1.28</v>
      </c>
      <c r="AD103" s="193">
        <f>AE103/$F103</f>
        <v>0</v>
      </c>
      <c r="AE103" s="197">
        <v>0.0</v>
      </c>
      <c r="AF103" s="200"/>
      <c r="AG103" s="208">
        <f>Roles!$D$6</f>
        <v>0.1</v>
      </c>
      <c r="AH103" s="199">
        <f>MIN(AE103,1)*Roles!$D$3+MAX(AE103-1,0)*AG103</f>
        <v>0</v>
      </c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 t="shared" si="1"/>
        <v>1</v>
      </c>
      <c r="F104" s="80">
        <v>4.0</v>
      </c>
      <c r="G104" s="105">
        <f t="shared" si="2"/>
        <v>0.00344530577088717</v>
      </c>
      <c r="H104" s="47">
        <f t="shared" ref="H104:H109" si="82">H103+G104</f>
        <v>0.325581395348837</v>
      </c>
      <c r="I104" s="187">
        <f t="shared" si="80"/>
        <v>8</v>
      </c>
      <c r="J104" s="172">
        <f t="shared" ref="J104:J109" si="83">J103+I104</f>
        <v>1112.5</v>
      </c>
      <c r="K104" s="115">
        <f t="shared" si="3"/>
        <v>0.424213536701621</v>
      </c>
      <c r="L104" s="191">
        <f t="shared" si="81"/>
        <v>1.28</v>
      </c>
      <c r="M104" s="172">
        <f t="shared" ref="M104:M109" si="84">M103+L104</f>
        <v>188.65</v>
      </c>
      <c r="N104" s="47">
        <f t="shared" si="4"/>
        <v>0.422423251752167</v>
      </c>
      <c r="O104" s="193">
        <f>P104/$F104</f>
        <v>0</v>
      </c>
      <c r="P104" s="206">
        <v>0.0</v>
      </c>
      <c r="Q104" s="195"/>
      <c r="R104" s="196">
        <f>Roles!$D$2</f>
        <v>0.61</v>
      </c>
      <c r="S104" s="196">
        <f>R104*P104</f>
        <v>0</v>
      </c>
      <c r="T104" s="193">
        <f>U104/$F104</f>
        <v>0</v>
      </c>
      <c r="U104" s="197">
        <v>0.0</v>
      </c>
      <c r="V104" s="195"/>
      <c r="W104" s="196">
        <f>Roles!$D$8</f>
        <v>0.09</v>
      </c>
      <c r="X104" s="199">
        <f>MIN(U104,1)*Roles!$D$5+MAX(U104-1,0)*W104</f>
        <v>0</v>
      </c>
      <c r="Y104" s="193">
        <f>Z104/$F104</f>
        <v>2</v>
      </c>
      <c r="Z104" s="197">
        <v>8.0</v>
      </c>
      <c r="AA104" s="195"/>
      <c r="AB104" s="196">
        <f>Roles!$D$7</f>
        <v>0.12</v>
      </c>
      <c r="AC104" s="199">
        <f>MIN(Z104,1)*Roles!$D$4+MAX(Z104-1,0)*AB104</f>
        <v>1.28</v>
      </c>
      <c r="AD104" s="193">
        <f>AE104/$F104</f>
        <v>0</v>
      </c>
      <c r="AE104" s="197">
        <v>0.0</v>
      </c>
      <c r="AF104" s="200"/>
      <c r="AG104" s="208">
        <f>Roles!$D$6</f>
        <v>0.1</v>
      </c>
      <c r="AH104" s="199">
        <f>MIN(AE104,1)*Roles!$D$3+MAX(AE104-1,0)*AG104</f>
        <v>0</v>
      </c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 t="shared" si="1"/>
        <v>1</v>
      </c>
      <c r="F105" s="80">
        <v>3.0</v>
      </c>
      <c r="G105" s="105">
        <f t="shared" si="2"/>
        <v>0.00258397932816538</v>
      </c>
      <c r="H105" s="47">
        <f t="shared" si="82"/>
        <v>0.328165374677002</v>
      </c>
      <c r="I105" s="187">
        <f t="shared" si="80"/>
        <v>36</v>
      </c>
      <c r="J105" s="172">
        <f t="shared" si="83"/>
        <v>1148.5</v>
      </c>
      <c r="K105" s="115">
        <f t="shared" si="3"/>
        <v>0.437940896091516</v>
      </c>
      <c r="L105" s="191">
        <f t="shared" si="81"/>
        <v>4.75</v>
      </c>
      <c r="M105" s="172">
        <f t="shared" si="84"/>
        <v>193.4</v>
      </c>
      <c r="N105" s="47">
        <f t="shared" si="4"/>
        <v>0.433059405718892</v>
      </c>
      <c r="O105" s="193">
        <f>P105/$F105</f>
        <v>0</v>
      </c>
      <c r="P105" s="206">
        <v>0.0</v>
      </c>
      <c r="Q105" s="195"/>
      <c r="R105" s="196">
        <f>Roles!$D$2</f>
        <v>0.61</v>
      </c>
      <c r="S105" s="196">
        <f>R105*P105</f>
        <v>0</v>
      </c>
      <c r="T105" s="193">
        <f>U105/$F105</f>
        <v>2.66666666666667</v>
      </c>
      <c r="U105" s="197">
        <v>8</v>
      </c>
      <c r="V105" s="195"/>
      <c r="W105" s="196">
        <f>Roles!$D$8</f>
        <v>0.09</v>
      </c>
      <c r="X105" s="199">
        <f>MIN(U105,1)*Roles!$D$5+MAX(U105-1,0)*W105</f>
        <v>1.07</v>
      </c>
      <c r="Y105" s="193">
        <f>Z105/$F105</f>
        <v>9.33333333333333</v>
      </c>
      <c r="Z105" s="197">
        <v>28</v>
      </c>
      <c r="AA105" s="195"/>
      <c r="AB105" s="196">
        <f>Roles!$D$7</f>
        <v>0.12</v>
      </c>
      <c r="AC105" s="199">
        <f>MIN(Z105,1)*Roles!$D$4+MAX(Z105-1,0)*AB105</f>
        <v>3.68</v>
      </c>
      <c r="AD105" s="193">
        <f>AE105/$F105</f>
        <v>0</v>
      </c>
      <c r="AE105" s="197">
        <v>0.0</v>
      </c>
      <c r="AF105" s="200"/>
      <c r="AG105" s="208">
        <f>Roles!$D$6</f>
        <v>0.1</v>
      </c>
      <c r="AH105" s="199">
        <f>MIN(AE105,1)*Roles!$D$3+MAX(AE105-1,0)*AG105</f>
        <v>0</v>
      </c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 t="shared" si="1"/>
        <v>1</v>
      </c>
      <c r="F106" s="80">
        <v>4.0</v>
      </c>
      <c r="G106" s="105">
        <f t="shared" si="2"/>
        <v>0.00344530577088717</v>
      </c>
      <c r="H106" s="47">
        <f t="shared" si="82"/>
        <v>0.33161068044789</v>
      </c>
      <c r="I106" s="187">
        <f t="shared" si="80"/>
        <v>8</v>
      </c>
      <c r="J106" s="172">
        <f t="shared" si="83"/>
        <v>1156.5</v>
      </c>
      <c r="K106" s="115">
        <f t="shared" si="3"/>
        <v>0.440991420400381</v>
      </c>
      <c r="L106" s="191">
        <f t="shared" si="81"/>
        <v>1.28</v>
      </c>
      <c r="M106" s="172">
        <f t="shared" si="84"/>
        <v>194.68</v>
      </c>
      <c r="N106" s="47">
        <f t="shared" si="4"/>
        <v>0.435925569314136</v>
      </c>
      <c r="O106" s="193">
        <f>P106/$F106</f>
        <v>0</v>
      </c>
      <c r="P106" s="206">
        <v>0.0</v>
      </c>
      <c r="Q106" s="195"/>
      <c r="R106" s="196">
        <f>Roles!$D$2</f>
        <v>0.61</v>
      </c>
      <c r="S106" s="196">
        <f>R106*P106</f>
        <v>0</v>
      </c>
      <c r="T106" s="193">
        <f>U106/$F106</f>
        <v>0</v>
      </c>
      <c r="U106" s="197">
        <v>0.0</v>
      </c>
      <c r="V106" s="195"/>
      <c r="W106" s="196">
        <f>Roles!$D$8</f>
        <v>0.09</v>
      </c>
      <c r="X106" s="199">
        <f>MIN(U106,1)*Roles!$D$5+MAX(U106-1,0)*W106</f>
        <v>0</v>
      </c>
      <c r="Y106" s="193">
        <f>Z106/$F106</f>
        <v>2</v>
      </c>
      <c r="Z106" s="197">
        <v>8.0</v>
      </c>
      <c r="AA106" s="195"/>
      <c r="AB106" s="196">
        <f>Roles!$D$7</f>
        <v>0.12</v>
      </c>
      <c r="AC106" s="199">
        <f>MIN(Z106,1)*Roles!$D$4+MAX(Z106-1,0)*AB106</f>
        <v>1.28</v>
      </c>
      <c r="AD106" s="193">
        <f>AE106/$F106</f>
        <v>0</v>
      </c>
      <c r="AE106" s="197">
        <v>0.0</v>
      </c>
      <c r="AF106" s="200"/>
      <c r="AG106" s="208">
        <f>Roles!$D$6</f>
        <v>0.1</v>
      </c>
      <c r="AH106" s="199">
        <f>MIN(AE106,1)*Roles!$D$3+MAX(AE106-1,0)*AG106</f>
        <v>0</v>
      </c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 t="shared" si="1"/>
        <v>1</v>
      </c>
      <c r="F107" s="80">
        <v>4.0</v>
      </c>
      <c r="G107" s="105">
        <f t="shared" si="2"/>
        <v>0.00344530577088717</v>
      </c>
      <c r="H107" s="47">
        <f t="shared" si="82"/>
        <v>0.335055986218777</v>
      </c>
      <c r="I107" s="187">
        <f t="shared" si="80"/>
        <v>20</v>
      </c>
      <c r="J107" s="172">
        <f t="shared" si="83"/>
        <v>1176.5</v>
      </c>
      <c r="K107" s="115">
        <f t="shared" si="3"/>
        <v>0.448617731172545</v>
      </c>
      <c r="L107" s="191">
        <f t="shared" si="81"/>
        <v>2.95</v>
      </c>
      <c r="M107" s="172">
        <f t="shared" si="84"/>
        <v>197.63</v>
      </c>
      <c r="N107" s="47">
        <f t="shared" si="4"/>
        <v>0.44253118072505</v>
      </c>
      <c r="O107" s="193">
        <f>P107/$F107</f>
        <v>0</v>
      </c>
      <c r="P107" s="194">
        <v>0</v>
      </c>
      <c r="Q107" s="195"/>
      <c r="R107" s="196">
        <f>Roles!$D$2</f>
        <v>0.61</v>
      </c>
      <c r="S107" s="196">
        <f>R107*P107</f>
        <v>0</v>
      </c>
      <c r="T107" s="193">
        <f>U107/$F107</f>
        <v>1</v>
      </c>
      <c r="U107" s="197">
        <v>4.0</v>
      </c>
      <c r="V107" s="195"/>
      <c r="W107" s="196">
        <f>Roles!$D$8</f>
        <v>0.09</v>
      </c>
      <c r="X107" s="199">
        <f>MIN(U107,1)*Roles!$D$5+MAX(U107-1,0)*W107</f>
        <v>0.71</v>
      </c>
      <c r="Y107" s="193">
        <f>Z107/$F107</f>
        <v>4</v>
      </c>
      <c r="Z107" s="197">
        <v>16.0</v>
      </c>
      <c r="AA107" s="195"/>
      <c r="AB107" s="196">
        <f>Roles!$D$7</f>
        <v>0.12</v>
      </c>
      <c r="AC107" s="199">
        <f>MIN(Z107,1)*Roles!$D$4+MAX(Z107-1,0)*AB107</f>
        <v>2.24</v>
      </c>
      <c r="AD107" s="193">
        <f>AE107/$F107</f>
        <v>0</v>
      </c>
      <c r="AE107" s="197">
        <v>0.0</v>
      </c>
      <c r="AF107" s="200"/>
      <c r="AG107" s="208">
        <f>Roles!$D$6</f>
        <v>0.1</v>
      </c>
      <c r="AH107" s="199">
        <f>MIN(AE107,1)*Roles!$D$3+MAX(AE107-1,0)*AG107</f>
        <v>0</v>
      </c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 t="shared" si="1"/>
        <v>1</v>
      </c>
      <c r="F108" s="80">
        <v>3.0</v>
      </c>
      <c r="G108" s="105">
        <f t="shared" si="2"/>
        <v>0.00258397932816538</v>
      </c>
      <c r="H108" s="47">
        <f t="shared" si="82"/>
        <v>0.337639965546942</v>
      </c>
      <c r="I108" s="187">
        <f t="shared" si="80"/>
        <v>4</v>
      </c>
      <c r="J108" s="172">
        <f t="shared" si="83"/>
        <v>1180.5</v>
      </c>
      <c r="K108" s="115">
        <f t="shared" si="3"/>
        <v>0.450142993326978</v>
      </c>
      <c r="L108" s="191">
        <f t="shared" si="81"/>
        <v>1.29</v>
      </c>
      <c r="M108" s="172">
        <f t="shared" si="84"/>
        <v>198.92</v>
      </c>
      <c r="N108" s="47">
        <f t="shared" si="4"/>
        <v>0.445419736223382</v>
      </c>
      <c r="O108" s="193">
        <f>P108/$F108</f>
        <v>0.333333333333333</v>
      </c>
      <c r="P108" s="194">
        <v>1</v>
      </c>
      <c r="Q108" s="195"/>
      <c r="R108" s="196">
        <f>Roles!$D$2</f>
        <v>0.61</v>
      </c>
      <c r="S108" s="196">
        <f>R108*P108</f>
        <v>0.61</v>
      </c>
      <c r="T108" s="193">
        <f>U108/$F108</f>
        <v>0</v>
      </c>
      <c r="U108" s="197">
        <v>0.0</v>
      </c>
      <c r="V108" s="195"/>
      <c r="W108" s="196">
        <f>Roles!$D$8</f>
        <v>0.09</v>
      </c>
      <c r="X108" s="199">
        <f>MIN(U108,1)*Roles!$D$5+MAX(U108-1,0)*W108</f>
        <v>0</v>
      </c>
      <c r="Y108" s="193">
        <f>Z108/$F108</f>
        <v>1</v>
      </c>
      <c r="Z108" s="197">
        <v>3.0</v>
      </c>
      <c r="AA108" s="195"/>
      <c r="AB108" s="196">
        <f>Roles!$D$7</f>
        <v>0.12</v>
      </c>
      <c r="AC108" s="199">
        <f>MIN(Z108,1)*Roles!$D$4+MAX(Z108-1,0)*AB108</f>
        <v>0.68</v>
      </c>
      <c r="AD108" s="193">
        <f>AE108/$F108</f>
        <v>0</v>
      </c>
      <c r="AE108" s="197">
        <v>0.0</v>
      </c>
      <c r="AF108" s="200"/>
      <c r="AG108" s="208">
        <f>Roles!$D$6</f>
        <v>0.1</v>
      </c>
      <c r="AH108" s="199">
        <f>MIN(AE108,1)*Roles!$D$3+MAX(AE108-1,0)*AG108</f>
        <v>0</v>
      </c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 t="shared" si="1"/>
        <v>1</v>
      </c>
      <c r="F109" s="80">
        <v>3.0</v>
      </c>
      <c r="G109" s="105">
        <f t="shared" si="2"/>
        <v>0.00258397932816538</v>
      </c>
      <c r="H109" s="47">
        <f t="shared" si="82"/>
        <v>0.340223944875108</v>
      </c>
      <c r="I109" s="187">
        <f t="shared" si="80"/>
        <v>3</v>
      </c>
      <c r="J109" s="172">
        <f t="shared" si="83"/>
        <v>1183.5</v>
      </c>
      <c r="K109" s="115">
        <f t="shared" si="3"/>
        <v>0.451286939942803</v>
      </c>
      <c r="L109" s="191">
        <f t="shared" si="81"/>
        <v>0.68</v>
      </c>
      <c r="M109" s="172">
        <f t="shared" si="84"/>
        <v>199.6</v>
      </c>
      <c r="N109" s="47">
        <f t="shared" si="4"/>
        <v>0.446942385633355</v>
      </c>
      <c r="O109" s="193">
        <f>P109/$F109</f>
        <v>0</v>
      </c>
      <c r="P109" s="194">
        <v>0</v>
      </c>
      <c r="Q109" s="195"/>
      <c r="R109" s="196">
        <f>Roles!$D$2</f>
        <v>0.61</v>
      </c>
      <c r="S109" s="196">
        <f>R109*P109</f>
        <v>0</v>
      </c>
      <c r="T109" s="193">
        <f>U109/$F109</f>
        <v>0</v>
      </c>
      <c r="U109" s="197">
        <v>0.0</v>
      </c>
      <c r="V109" s="195"/>
      <c r="W109" s="196">
        <f>Roles!$D$8</f>
        <v>0.09</v>
      </c>
      <c r="X109" s="199">
        <f>MIN(U109,1)*Roles!$D$5+MAX(U109-1,0)*W109</f>
        <v>0</v>
      </c>
      <c r="Y109" s="193">
        <f>Z109/$F109</f>
        <v>1</v>
      </c>
      <c r="Z109" s="197">
        <v>3.0</v>
      </c>
      <c r="AA109" s="195"/>
      <c r="AB109" s="196">
        <f>Roles!$D$7</f>
        <v>0.12</v>
      </c>
      <c r="AC109" s="199">
        <f>MIN(Z109,1)*Roles!$D$4+MAX(Z109-1,0)*AB109</f>
        <v>0.68</v>
      </c>
      <c r="AD109" s="193">
        <f>AE109/$F109</f>
        <v>0</v>
      </c>
      <c r="AE109" s="197">
        <v>0.0</v>
      </c>
      <c r="AF109" s="200"/>
      <c r="AG109" s="208">
        <f>Roles!$D$6</f>
        <v>0.1</v>
      </c>
      <c r="AH109" s="199">
        <f>MIN(AE109,1)*Roles!$D$3+MAX(AE109-1,0)*AG109</f>
        <v>0</v>
      </c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 t="shared" si="1"/>
        <v>6</v>
      </c>
      <c r="F110" s="246">
        <f>SUM(F111:F116)</f>
        <v>21</v>
      </c>
      <c r="G110" s="105">
        <f t="shared" si="2"/>
        <v>0.0180878552971576</v>
      </c>
      <c r="H110" s="226">
        <f>H116</f>
        <v>0.358311800172265</v>
      </c>
      <c r="I110" s="247">
        <f>SUM(I111:I116)</f>
        <v>57</v>
      </c>
      <c r="J110" s="247">
        <f>J116</f>
        <v>1240.5</v>
      </c>
      <c r="K110" s="167">
        <f t="shared" si="3"/>
        <v>0.47302192564347</v>
      </c>
      <c r="L110" s="247">
        <f>SUM(L111:L116)</f>
        <v>9.96</v>
      </c>
      <c r="M110" s="247">
        <f>M116</f>
        <v>209.56</v>
      </c>
      <c r="N110" s="167">
        <f t="shared" si="4"/>
        <v>0.469244721108847</v>
      </c>
      <c r="O110" s="173"/>
      <c r="P110" s="174"/>
      <c r="Q110" s="178"/>
      <c r="R110" s="178"/>
      <c r="S110" s="178"/>
      <c r="T110" s="173"/>
      <c r="U110" s="195"/>
      <c r="V110" s="178"/>
      <c r="W110" s="178"/>
      <c r="X110" s="178"/>
      <c r="Y110" s="173"/>
      <c r="Z110" s="195"/>
      <c r="AA110" s="178"/>
      <c r="AB110" s="178"/>
      <c r="AC110" s="178"/>
      <c r="AD110" s="173"/>
      <c r="AE110" s="195"/>
      <c r="AF110" s="180"/>
      <c r="AG110" s="180"/>
      <c r="AH110" s="178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 t="shared" si="1"/>
        <v>5</v>
      </c>
      <c r="F111" s="80">
        <v>8.0</v>
      </c>
      <c r="G111" s="105">
        <f t="shared" si="2"/>
        <v>0.00689061154177433</v>
      </c>
      <c r="H111" s="47">
        <f>H109+G111</f>
        <v>0.347114556416882</v>
      </c>
      <c r="I111" s="187">
        <f t="shared" ref="I111:I116" si="85">P111+U111+Z111+AE111</f>
        <v>6</v>
      </c>
      <c r="J111" s="172">
        <f>J109+I111</f>
        <v>1189.5</v>
      </c>
      <c r="K111" s="115">
        <f t="shared" si="3"/>
        <v>0.453574833174452</v>
      </c>
      <c r="L111" s="191">
        <f t="shared" ref="L111:L116" si="86">S111+X111+AC111+AH111</f>
        <v>0.89</v>
      </c>
      <c r="M111" s="172">
        <f>M109+L111</f>
        <v>200.49</v>
      </c>
      <c r="N111" s="47">
        <f t="shared" si="4"/>
        <v>0.448935265008173</v>
      </c>
      <c r="O111" s="193">
        <f>P111/$F111</f>
        <v>0</v>
      </c>
      <c r="P111" s="206">
        <v>0.0</v>
      </c>
      <c r="Q111" s="195"/>
      <c r="R111" s="196">
        <f>Roles!$D$2</f>
        <v>0.61</v>
      </c>
      <c r="S111" s="196">
        <f>R111*P111</f>
        <v>0</v>
      </c>
      <c r="T111" s="193">
        <f>U111/$F111</f>
        <v>0.75</v>
      </c>
      <c r="U111" s="197">
        <v>6</v>
      </c>
      <c r="V111" s="195"/>
      <c r="W111" s="196">
        <f>Roles!$D$8</f>
        <v>0.09</v>
      </c>
      <c r="X111" s="199">
        <f>MIN(U111,1)*Roles!$D$5+MAX(U111-1,0)*W111</f>
        <v>0.89</v>
      </c>
      <c r="Y111" s="193">
        <f>Z111/$F111</f>
        <v>0</v>
      </c>
      <c r="Z111" s="197">
        <v>0.0</v>
      </c>
      <c r="AA111" s="195"/>
      <c r="AB111" s="196">
        <f>Roles!$D$7</f>
        <v>0.12</v>
      </c>
      <c r="AC111" s="199">
        <f>MIN(Z111,1)*Roles!$D$4+MAX(Z111-1,0)*AB111</f>
        <v>0</v>
      </c>
      <c r="AD111" s="193">
        <f>AE111/$F111</f>
        <v>0</v>
      </c>
      <c r="AE111" s="197">
        <v>0.0</v>
      </c>
      <c r="AF111" s="200"/>
      <c r="AG111" s="208">
        <f>Roles!$D$6</f>
        <v>0.1</v>
      </c>
      <c r="AH111" s="199">
        <f>MIN(AE111,1)*Roles!$D$3+MAX(AE111-1,0)*AG111</f>
        <v>0</v>
      </c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 t="shared" si="1"/>
        <v>1</v>
      </c>
      <c r="F112" s="80">
        <v>3.0</v>
      </c>
      <c r="G112" s="105">
        <f t="shared" si="2"/>
        <v>0.00258397932816538</v>
      </c>
      <c r="H112" s="47">
        <f t="shared" ref="H112:H116" si="87">H111+G112</f>
        <v>0.349698535745047</v>
      </c>
      <c r="I112" s="187">
        <f t="shared" si="85"/>
        <v>24</v>
      </c>
      <c r="J112" s="172">
        <f t="shared" ref="J112:J116" si="88">J111+I112</f>
        <v>1213.5</v>
      </c>
      <c r="K112" s="115">
        <f t="shared" si="3"/>
        <v>0.462726406101049</v>
      </c>
      <c r="L112" s="191">
        <f t="shared" si="86"/>
        <v>3.37</v>
      </c>
      <c r="M112" s="172">
        <f t="shared" ref="M112:M116" si="89">M111+L112</f>
        <v>203.86</v>
      </c>
      <c r="N112" s="47">
        <f t="shared" si="4"/>
        <v>0.456481336348776</v>
      </c>
      <c r="O112" s="193">
        <f>P112/$F112</f>
        <v>0</v>
      </c>
      <c r="P112" s="206">
        <v>0.0</v>
      </c>
      <c r="Q112" s="195"/>
      <c r="R112" s="196">
        <f>Roles!$D$2</f>
        <v>0.61</v>
      </c>
      <c r="S112" s="196">
        <f>R112*P112</f>
        <v>0</v>
      </c>
      <c r="T112" s="193">
        <f>U112/$F112</f>
        <v>2</v>
      </c>
      <c r="U112" s="197">
        <v>6.0</v>
      </c>
      <c r="V112" s="195"/>
      <c r="W112" s="196">
        <f>Roles!$D$8</f>
        <v>0.09</v>
      </c>
      <c r="X112" s="199">
        <f>MIN(U112,1)*Roles!$D$5+MAX(U112-1,0)*W112</f>
        <v>0.89</v>
      </c>
      <c r="Y112" s="193">
        <f>Z112/$F112</f>
        <v>6</v>
      </c>
      <c r="Z112" s="197">
        <v>18.0</v>
      </c>
      <c r="AA112" s="195"/>
      <c r="AB112" s="196">
        <f>Roles!$D$7</f>
        <v>0.12</v>
      </c>
      <c r="AC112" s="199">
        <f>MIN(Z112,1)*Roles!$D$4+MAX(Z112-1,0)*AB112</f>
        <v>2.48</v>
      </c>
      <c r="AD112" s="193">
        <f>AE112/$F112</f>
        <v>0</v>
      </c>
      <c r="AE112" s="197">
        <v>0.0</v>
      </c>
      <c r="AF112" s="200"/>
      <c r="AG112" s="208">
        <f>Roles!$D$6</f>
        <v>0.1</v>
      </c>
      <c r="AH112" s="199">
        <f>MIN(AE112,1)*Roles!$D$3+MAX(AE112-1,0)*AG112</f>
        <v>0</v>
      </c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 t="shared" si="1"/>
        <v>1</v>
      </c>
      <c r="F113" s="80">
        <v>3.0</v>
      </c>
      <c r="G113" s="105">
        <f t="shared" si="2"/>
        <v>0.00258397932816538</v>
      </c>
      <c r="H113" s="47">
        <f t="shared" si="87"/>
        <v>0.352282515073213</v>
      </c>
      <c r="I113" s="187">
        <f t="shared" si="85"/>
        <v>15</v>
      </c>
      <c r="J113" s="172">
        <f t="shared" si="88"/>
        <v>1228.5</v>
      </c>
      <c r="K113" s="115">
        <f t="shared" si="3"/>
        <v>0.468446139180172</v>
      </c>
      <c r="L113" s="191">
        <f t="shared" si="86"/>
        <v>2.12</v>
      </c>
      <c r="M113" s="172">
        <f t="shared" si="89"/>
        <v>205.98</v>
      </c>
      <c r="N113" s="47">
        <f t="shared" si="4"/>
        <v>0.461228419803399</v>
      </c>
      <c r="O113" s="193">
        <f>P113/$F113</f>
        <v>0</v>
      </c>
      <c r="P113" s="206">
        <v>0.0</v>
      </c>
      <c r="Q113" s="195"/>
      <c r="R113" s="196">
        <f>Roles!$D$2</f>
        <v>0.61</v>
      </c>
      <c r="S113" s="196">
        <f>R113*P113</f>
        <v>0</v>
      </c>
      <c r="T113" s="193">
        <f>U113/$F113</f>
        <v>0</v>
      </c>
      <c r="U113" s="197">
        <v>0.0</v>
      </c>
      <c r="V113" s="195"/>
      <c r="W113" s="196">
        <f>Roles!$D$8</f>
        <v>0.09</v>
      </c>
      <c r="X113" s="199">
        <f>MIN(U113,1)*Roles!$D$5+MAX(U113-1,0)*W113</f>
        <v>0</v>
      </c>
      <c r="Y113" s="193">
        <f>Z113/$F113</f>
        <v>5</v>
      </c>
      <c r="Z113" s="197">
        <v>15.0</v>
      </c>
      <c r="AA113" s="195"/>
      <c r="AB113" s="196">
        <f>Roles!$D$7</f>
        <v>0.12</v>
      </c>
      <c r="AC113" s="199">
        <f>MIN(Z113,1)*Roles!$D$4+MAX(Z113-1,0)*AB113</f>
        <v>2.12</v>
      </c>
      <c r="AD113" s="193">
        <f>AE113/$F113</f>
        <v>0</v>
      </c>
      <c r="AE113" s="197">
        <v>0.0</v>
      </c>
      <c r="AF113" s="200"/>
      <c r="AG113" s="208">
        <f>Roles!$D$6</f>
        <v>0.1</v>
      </c>
      <c r="AH113" s="199">
        <f>MIN(AE113,1)*Roles!$D$3+MAX(AE113-1,0)*AG113</f>
        <v>0</v>
      </c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 t="shared" si="1"/>
        <v>1</v>
      </c>
      <c r="F114" s="80">
        <v>4.0</v>
      </c>
      <c r="G114" s="105">
        <f t="shared" si="2"/>
        <v>0.00344530577088717</v>
      </c>
      <c r="H114" s="47">
        <f t="shared" si="87"/>
        <v>0.3557278208441</v>
      </c>
      <c r="I114" s="187">
        <f t="shared" si="85"/>
        <v>5</v>
      </c>
      <c r="J114" s="172">
        <f t="shared" si="88"/>
        <v>1233.5</v>
      </c>
      <c r="K114" s="115">
        <f t="shared" si="3"/>
        <v>0.470352716873213</v>
      </c>
      <c r="L114" s="191">
        <f t="shared" si="86"/>
        <v>1.32</v>
      </c>
      <c r="M114" s="172">
        <f t="shared" si="89"/>
        <v>207.3</v>
      </c>
      <c r="N114" s="47">
        <f t="shared" si="4"/>
        <v>0.464184151010995</v>
      </c>
      <c r="O114" s="193">
        <f>P114/$F114</f>
        <v>0.25</v>
      </c>
      <c r="P114" s="194">
        <v>1.0</v>
      </c>
      <c r="Q114" s="195"/>
      <c r="R114" s="196">
        <f>Roles!$D$2</f>
        <v>0.61</v>
      </c>
      <c r="S114" s="196">
        <f>R114*P114</f>
        <v>0.61</v>
      </c>
      <c r="T114" s="193">
        <f>U114/$F114</f>
        <v>1</v>
      </c>
      <c r="U114" s="197">
        <v>4.0</v>
      </c>
      <c r="V114" s="195"/>
      <c r="W114" s="196">
        <f>Roles!$D$8</f>
        <v>0.09</v>
      </c>
      <c r="X114" s="199">
        <f>MIN(U114,1)*Roles!$D$5+MAX(U114-1,0)*W114</f>
        <v>0.71</v>
      </c>
      <c r="Y114" s="193">
        <f>Z114/$F114</f>
        <v>0</v>
      </c>
      <c r="Z114" s="197">
        <v>0.0</v>
      </c>
      <c r="AA114" s="195"/>
      <c r="AB114" s="196">
        <f>Roles!$D$7</f>
        <v>0.12</v>
      </c>
      <c r="AC114" s="199">
        <f>MIN(Z114,1)*Roles!$D$4+MAX(Z114-1,0)*AB114</f>
        <v>0</v>
      </c>
      <c r="AD114" s="193">
        <f>AE114/$F114</f>
        <v>0</v>
      </c>
      <c r="AE114" s="197">
        <v>0.0</v>
      </c>
      <c r="AF114" s="200"/>
      <c r="AG114" s="208">
        <f>Roles!$D$6</f>
        <v>0.1</v>
      </c>
      <c r="AH114" s="199">
        <f>MIN(AE114,1)*Roles!$D$3+MAX(AE114-1,0)*AG114</f>
        <v>0</v>
      </c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 t="shared" si="1"/>
        <v>1</v>
      </c>
      <c r="F115" s="80">
        <v>2.0</v>
      </c>
      <c r="G115" s="105">
        <f t="shared" si="2"/>
        <v>0.00172265288544358</v>
      </c>
      <c r="H115" s="47">
        <f t="shared" si="87"/>
        <v>0.357450473729543</v>
      </c>
      <c r="I115" s="187">
        <f t="shared" si="85"/>
        <v>5</v>
      </c>
      <c r="J115" s="172">
        <f t="shared" si="88"/>
        <v>1238.5</v>
      </c>
      <c r="K115" s="115">
        <f t="shared" si="3"/>
        <v>0.472259294566254</v>
      </c>
      <c r="L115" s="191">
        <f t="shared" si="86"/>
        <v>1.7</v>
      </c>
      <c r="M115" s="172">
        <f t="shared" si="89"/>
        <v>209</v>
      </c>
      <c r="N115" s="47">
        <f t="shared" si="4"/>
        <v>0.467990774535928</v>
      </c>
      <c r="O115" s="193">
        <f>P115/$F115</f>
        <v>0.5</v>
      </c>
      <c r="P115" s="194">
        <v>1</v>
      </c>
      <c r="Q115" s="195"/>
      <c r="R115" s="196">
        <f>Roles!$D$2</f>
        <v>0.61</v>
      </c>
      <c r="S115" s="196">
        <f>R115*P115</f>
        <v>0.61</v>
      </c>
      <c r="T115" s="193">
        <f>U115/$F115</f>
        <v>1</v>
      </c>
      <c r="U115" s="197">
        <v>2.0</v>
      </c>
      <c r="V115" s="195"/>
      <c r="W115" s="196">
        <f>Roles!$D$8</f>
        <v>0.09</v>
      </c>
      <c r="X115" s="199">
        <f>MIN(U115,1)*Roles!$D$5+MAX(U115-1,0)*W115</f>
        <v>0.53</v>
      </c>
      <c r="Y115" s="193">
        <f>Z115/$F115</f>
        <v>1</v>
      </c>
      <c r="Z115" s="197">
        <v>2.0</v>
      </c>
      <c r="AA115" s="195"/>
      <c r="AB115" s="196">
        <f>Roles!$D$7</f>
        <v>0.12</v>
      </c>
      <c r="AC115" s="199">
        <f>MIN(Z115,1)*Roles!$D$4+MAX(Z115-1,0)*AB115</f>
        <v>0.56</v>
      </c>
      <c r="AD115" s="193">
        <f>AE115/$F115</f>
        <v>0</v>
      </c>
      <c r="AE115" s="197">
        <v>0.0</v>
      </c>
      <c r="AF115" s="200"/>
      <c r="AG115" s="208">
        <f>Roles!$D$6</f>
        <v>0.1</v>
      </c>
      <c r="AH115" s="199">
        <f>MIN(AE115,1)*Roles!$D$3+MAX(AE115-1,0)*AG115</f>
        <v>0</v>
      </c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 t="shared" si="1"/>
        <v>1</v>
      </c>
      <c r="F116" s="80">
        <v>1.0</v>
      </c>
      <c r="G116" s="105">
        <f t="shared" si="2"/>
        <v>0.000861326442721792</v>
      </c>
      <c r="H116" s="47">
        <f t="shared" si="87"/>
        <v>0.358311800172265</v>
      </c>
      <c r="I116" s="187">
        <f t="shared" si="85"/>
        <v>2</v>
      </c>
      <c r="J116" s="172">
        <f t="shared" si="88"/>
        <v>1240.5</v>
      </c>
      <c r="K116" s="115">
        <f t="shared" si="3"/>
        <v>0.47302192564347</v>
      </c>
      <c r="L116" s="191">
        <f t="shared" si="86"/>
        <v>0.56</v>
      </c>
      <c r="M116" s="172">
        <f t="shared" si="89"/>
        <v>209.56</v>
      </c>
      <c r="N116" s="47">
        <f t="shared" si="4"/>
        <v>0.469244721108847</v>
      </c>
      <c r="O116" s="193">
        <f>P116/$F116</f>
        <v>0</v>
      </c>
      <c r="P116" s="206">
        <v>0.0</v>
      </c>
      <c r="Q116" s="195"/>
      <c r="R116" s="196">
        <f>Roles!$D$2</f>
        <v>0.61</v>
      </c>
      <c r="S116" s="196">
        <f>R116*P116</f>
        <v>0</v>
      </c>
      <c r="T116" s="193">
        <f>U116/$F116</f>
        <v>0</v>
      </c>
      <c r="U116" s="197">
        <v>0.0</v>
      </c>
      <c r="V116" s="195"/>
      <c r="W116" s="196">
        <f>Roles!$D$8</f>
        <v>0.09</v>
      </c>
      <c r="X116" s="199">
        <f>MIN(U116,1)*Roles!$D$5+MAX(U116-1,0)*W116</f>
        <v>0</v>
      </c>
      <c r="Y116" s="193">
        <f>Z116/$F116</f>
        <v>2</v>
      </c>
      <c r="Z116" s="197">
        <v>2.0</v>
      </c>
      <c r="AA116" s="195"/>
      <c r="AB116" s="196">
        <f>Roles!$D$7</f>
        <v>0.12</v>
      </c>
      <c r="AC116" s="199">
        <f>MIN(Z116,1)*Roles!$D$4+MAX(Z116-1,0)*AB116</f>
        <v>0.56</v>
      </c>
      <c r="AD116" s="193">
        <f>AE116/$F116</f>
        <v>0</v>
      </c>
      <c r="AE116" s="197">
        <v>0.0</v>
      </c>
      <c r="AF116" s="200"/>
      <c r="AG116" s="208">
        <f>Roles!$D$6</f>
        <v>0.1</v>
      </c>
      <c r="AH116" s="199">
        <f>MIN(AE116,1)*Roles!$D$3+MAX(AE116-1,0)*AG116</f>
        <v>0</v>
      </c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 t="shared" si="1"/>
        <v>4</v>
      </c>
      <c r="F117" s="246">
        <f>SUM(F118:F121)</f>
        <v>17</v>
      </c>
      <c r="G117" s="105">
        <f t="shared" si="2"/>
        <v>0.0146425495262705</v>
      </c>
      <c r="H117" s="226">
        <f>H121</f>
        <v>0.372954349698536</v>
      </c>
      <c r="I117" s="247">
        <f>SUM(I118:I121)</f>
        <v>51</v>
      </c>
      <c r="J117" s="247">
        <f>J121</f>
        <v>1291.5</v>
      </c>
      <c r="K117" s="167">
        <f t="shared" si="3"/>
        <v>0.492469018112488</v>
      </c>
      <c r="L117" s="247">
        <f>SUM(L118:L121)</f>
        <v>8.41</v>
      </c>
      <c r="M117" s="247">
        <f>M121</f>
        <v>217.97</v>
      </c>
      <c r="N117" s="167">
        <f t="shared" si="4"/>
        <v>0.488076311605723</v>
      </c>
      <c r="O117" s="173"/>
      <c r="P117" s="174"/>
      <c r="Q117" s="178"/>
      <c r="R117" s="178"/>
      <c r="S117" s="178"/>
      <c r="T117" s="173"/>
      <c r="U117" s="195"/>
      <c r="V117" s="178"/>
      <c r="W117" s="178"/>
      <c r="X117" s="178"/>
      <c r="Y117" s="173"/>
      <c r="Z117" s="195"/>
      <c r="AA117" s="178"/>
      <c r="AB117" s="178"/>
      <c r="AC117" s="178"/>
      <c r="AD117" s="173"/>
      <c r="AE117" s="195"/>
      <c r="AF117" s="180"/>
      <c r="AG117" s="180"/>
      <c r="AH117" s="178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 t="shared" si="1"/>
        <v>2</v>
      </c>
      <c r="F118" s="80">
        <v>4.0</v>
      </c>
      <c r="G118" s="105">
        <f t="shared" si="2"/>
        <v>0.00344530577088717</v>
      </c>
      <c r="H118" s="47">
        <f>H116+G118</f>
        <v>0.361757105943152</v>
      </c>
      <c r="I118" s="187">
        <f t="shared" ref="I118:I121" si="90">P118+U118+Z118+AE118</f>
        <v>12</v>
      </c>
      <c r="J118" s="172">
        <f>J116+I118</f>
        <v>1252.5</v>
      </c>
      <c r="K118" s="115">
        <f t="shared" si="3"/>
        <v>0.477597712106768</v>
      </c>
      <c r="L118" s="191">
        <f t="shared" ref="L118:L121" si="91">S118+X118+AC118+AH118</f>
        <v>1.76</v>
      </c>
      <c r="M118" s="172">
        <f>M116+L118</f>
        <v>211.32</v>
      </c>
      <c r="N118" s="47">
        <f t="shared" si="4"/>
        <v>0.473185696052308</v>
      </c>
      <c r="O118" s="193">
        <f>P118/$F118</f>
        <v>0</v>
      </c>
      <c r="P118" s="206">
        <v>0.0</v>
      </c>
      <c r="Q118" s="195"/>
      <c r="R118" s="196">
        <f>Roles!$D$2</f>
        <v>0.61</v>
      </c>
      <c r="S118" s="196">
        <f>R118*P118</f>
        <v>0</v>
      </c>
      <c r="T118" s="193">
        <f>U118/$F118</f>
        <v>0</v>
      </c>
      <c r="U118" s="197">
        <v>0.0</v>
      </c>
      <c r="V118" s="195"/>
      <c r="W118" s="196">
        <f>Roles!$D$8</f>
        <v>0.09</v>
      </c>
      <c r="X118" s="199">
        <f>MIN(U118,1)*Roles!$D$5+MAX(U118-1,0)*W118</f>
        <v>0</v>
      </c>
      <c r="Y118" s="193">
        <f>Z118/$F118</f>
        <v>3</v>
      </c>
      <c r="Z118" s="197">
        <v>12.0</v>
      </c>
      <c r="AA118" s="195"/>
      <c r="AB118" s="196">
        <f>Roles!$D$7</f>
        <v>0.12</v>
      </c>
      <c r="AC118" s="199">
        <f>MIN(Z118,1)*Roles!$D$4+MAX(Z118-1,0)*AB118</f>
        <v>1.76</v>
      </c>
      <c r="AD118" s="193">
        <f>AE118/$F118</f>
        <v>0</v>
      </c>
      <c r="AE118" s="197">
        <v>0.0</v>
      </c>
      <c r="AF118" s="200"/>
      <c r="AG118" s="208">
        <f>Roles!$D$6</f>
        <v>0.1</v>
      </c>
      <c r="AH118" s="199">
        <f>MIN(AE118,1)*Roles!$D$3+MAX(AE118-1,0)*AG118</f>
        <v>0</v>
      </c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 t="shared" si="1"/>
        <v>1</v>
      </c>
      <c r="F119" s="80">
        <v>3.0</v>
      </c>
      <c r="G119" s="105">
        <f t="shared" si="2"/>
        <v>0.00258397932816538</v>
      </c>
      <c r="H119" s="47">
        <f t="shared" ref="H119:H121" si="92">H118+G119</f>
        <v>0.364341085271318</v>
      </c>
      <c r="I119" s="187">
        <f t="shared" si="90"/>
        <v>6</v>
      </c>
      <c r="J119" s="172">
        <f t="shared" ref="J119:J121" si="93">J118+I119</f>
        <v>1258.5</v>
      </c>
      <c r="K119" s="115">
        <f t="shared" si="3"/>
        <v>0.479885605338418</v>
      </c>
      <c r="L119" s="191">
        <f t="shared" si="91"/>
        <v>1.04</v>
      </c>
      <c r="M119" s="172">
        <f t="shared" ref="M119:M121" si="94">M118+L119</f>
        <v>212.36</v>
      </c>
      <c r="N119" s="47">
        <f t="shared" si="4"/>
        <v>0.475514453973443</v>
      </c>
      <c r="O119" s="193">
        <f>P119/$F119</f>
        <v>0</v>
      </c>
      <c r="P119" s="206">
        <v>0.0</v>
      </c>
      <c r="Q119" s="195"/>
      <c r="R119" s="196">
        <f>Roles!$D$2</f>
        <v>0.61</v>
      </c>
      <c r="S119" s="196">
        <f>R119*P119</f>
        <v>0</v>
      </c>
      <c r="T119" s="193">
        <f>U119/$F119</f>
        <v>0</v>
      </c>
      <c r="U119" s="197">
        <v>0.0</v>
      </c>
      <c r="V119" s="195"/>
      <c r="W119" s="196">
        <f>Roles!$D$8</f>
        <v>0.09</v>
      </c>
      <c r="X119" s="199">
        <f>MIN(U119,1)*Roles!$D$5+MAX(U119-1,0)*W119</f>
        <v>0</v>
      </c>
      <c r="Y119" s="193">
        <f>Z119/$F119</f>
        <v>2</v>
      </c>
      <c r="Z119" s="197">
        <v>6.0</v>
      </c>
      <c r="AA119" s="195"/>
      <c r="AB119" s="196">
        <f>Roles!$D$7</f>
        <v>0.12</v>
      </c>
      <c r="AC119" s="199">
        <f>MIN(Z119,1)*Roles!$D$4+MAX(Z119-1,0)*AB119</f>
        <v>1.04</v>
      </c>
      <c r="AD119" s="193">
        <f>AE119/$F119</f>
        <v>0</v>
      </c>
      <c r="AE119" s="197">
        <v>0.0</v>
      </c>
      <c r="AF119" s="200"/>
      <c r="AG119" s="208">
        <f>Roles!$D$6</f>
        <v>0.1</v>
      </c>
      <c r="AH119" s="199">
        <f>MIN(AE119,1)*Roles!$D$3+MAX(AE119-1,0)*AG119</f>
        <v>0</v>
      </c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 t="shared" si="1"/>
        <v>3</v>
      </c>
      <c r="F120" s="80">
        <v>6.0</v>
      </c>
      <c r="G120" s="105">
        <f t="shared" si="2"/>
        <v>0.00516795865633075</v>
      </c>
      <c r="H120" s="47">
        <f t="shared" si="92"/>
        <v>0.369509043927649</v>
      </c>
      <c r="I120" s="187">
        <f t="shared" si="90"/>
        <v>23</v>
      </c>
      <c r="J120" s="172">
        <f t="shared" si="93"/>
        <v>1281.5</v>
      </c>
      <c r="K120" s="115">
        <f t="shared" si="3"/>
        <v>0.488655862726406</v>
      </c>
      <c r="L120" s="191">
        <f t="shared" si="91"/>
        <v>3.8</v>
      </c>
      <c r="M120" s="172">
        <f t="shared" si="94"/>
        <v>216.16</v>
      </c>
      <c r="N120" s="47">
        <f t="shared" si="4"/>
        <v>0.484023377146824</v>
      </c>
      <c r="O120" s="193">
        <f>P120/$F120</f>
        <v>0.166666666666667</v>
      </c>
      <c r="P120" s="194">
        <v>1.0</v>
      </c>
      <c r="Q120" s="195"/>
      <c r="R120" s="196">
        <f>Roles!$D$2</f>
        <v>0.61</v>
      </c>
      <c r="S120" s="196">
        <f>R120*P120</f>
        <v>0.61</v>
      </c>
      <c r="T120" s="193">
        <f>U120/$F120</f>
        <v>0.666666666666667</v>
      </c>
      <c r="U120" s="197">
        <v>4.0</v>
      </c>
      <c r="V120" s="195"/>
      <c r="W120" s="196">
        <f>Roles!$D$8</f>
        <v>0.09</v>
      </c>
      <c r="X120" s="199">
        <f>MIN(U120,1)*Roles!$D$5+MAX(U120-1,0)*W120</f>
        <v>0.71</v>
      </c>
      <c r="Y120" s="193">
        <f>Z120/$F120</f>
        <v>3</v>
      </c>
      <c r="Z120" s="197">
        <v>18.0</v>
      </c>
      <c r="AA120" s="195"/>
      <c r="AB120" s="196">
        <f>Roles!$D$7</f>
        <v>0.12</v>
      </c>
      <c r="AC120" s="199">
        <f>MIN(Z120,1)*Roles!$D$4+MAX(Z120-1,0)*AB120</f>
        <v>2.48</v>
      </c>
      <c r="AD120" s="193">
        <f>AE120/$F120</f>
        <v>0</v>
      </c>
      <c r="AE120" s="197">
        <v>0.0</v>
      </c>
      <c r="AF120" s="200"/>
      <c r="AG120" s="208">
        <f>Roles!$D$6</f>
        <v>0.1</v>
      </c>
      <c r="AH120" s="199">
        <f>MIN(AE120,1)*Roles!$D$3+MAX(AE120-1,0)*AG120</f>
        <v>0</v>
      </c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 t="shared" si="1"/>
        <v>2</v>
      </c>
      <c r="F121" s="80">
        <v>4.0</v>
      </c>
      <c r="G121" s="105">
        <f t="shared" si="2"/>
        <v>0.00344530577088717</v>
      </c>
      <c r="H121" s="47">
        <f t="shared" si="92"/>
        <v>0.372954349698536</v>
      </c>
      <c r="I121" s="187">
        <f t="shared" si="90"/>
        <v>10</v>
      </c>
      <c r="J121" s="172">
        <f t="shared" si="93"/>
        <v>1291.5</v>
      </c>
      <c r="K121" s="115">
        <f t="shared" si="3"/>
        <v>0.492469018112488</v>
      </c>
      <c r="L121" s="191">
        <f t="shared" si="91"/>
        <v>1.81</v>
      </c>
      <c r="M121" s="172">
        <f t="shared" si="94"/>
        <v>217.97</v>
      </c>
      <c r="N121" s="47">
        <f t="shared" si="4"/>
        <v>0.488076311605723</v>
      </c>
      <c r="O121" s="193">
        <f>P121/$F121</f>
        <v>0</v>
      </c>
      <c r="P121" s="206">
        <v>0.0</v>
      </c>
      <c r="Q121" s="195"/>
      <c r="R121" s="196">
        <f>Roles!$D$2</f>
        <v>0.61</v>
      </c>
      <c r="S121" s="196">
        <f>R121*P121</f>
        <v>0</v>
      </c>
      <c r="T121" s="193">
        <f>U121/$F121</f>
        <v>0.5</v>
      </c>
      <c r="U121" s="197">
        <v>2.0</v>
      </c>
      <c r="V121" s="195"/>
      <c r="W121" s="196">
        <f>Roles!$D$8</f>
        <v>0.09</v>
      </c>
      <c r="X121" s="199">
        <f>MIN(U121,1)*Roles!$D$5+MAX(U121-1,0)*W121</f>
        <v>0.53</v>
      </c>
      <c r="Y121" s="193">
        <f>Z121/$F121</f>
        <v>2</v>
      </c>
      <c r="Z121" s="197">
        <v>8.0</v>
      </c>
      <c r="AA121" s="195"/>
      <c r="AB121" s="196">
        <f>Roles!$D$7</f>
        <v>0.12</v>
      </c>
      <c r="AC121" s="199">
        <f>MIN(Z121,1)*Roles!$D$4+MAX(Z121-1,0)*AB121</f>
        <v>1.28</v>
      </c>
      <c r="AD121" s="193">
        <f>AE121/$F121</f>
        <v>0</v>
      </c>
      <c r="AE121" s="197">
        <v>0.0</v>
      </c>
      <c r="AF121" s="200"/>
      <c r="AG121" s="208">
        <f>Roles!$D$6</f>
        <v>0.1</v>
      </c>
      <c r="AH121" s="199">
        <f>MIN(AE121,1)*Roles!$D$3+MAX(AE121-1,0)*AG121</f>
        <v>0</v>
      </c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 t="shared" si="1"/>
        <v>6</v>
      </c>
      <c r="F122" s="246">
        <f>SUM(F123:F126)</f>
        <v>12</v>
      </c>
      <c r="G122" s="105">
        <f t="shared" si="2"/>
        <v>0.0103359173126615</v>
      </c>
      <c r="H122" s="226">
        <f>H126</f>
        <v>0.383290267011197</v>
      </c>
      <c r="I122" s="247">
        <f>SUM(I123:I126)</f>
        <v>30</v>
      </c>
      <c r="J122" s="247">
        <f>J126</f>
        <v>1321.5</v>
      </c>
      <c r="K122" s="167">
        <f t="shared" si="3"/>
        <v>0.503908484270734</v>
      </c>
      <c r="L122" s="247">
        <f>SUM(L123:L126)</f>
        <v>7.07</v>
      </c>
      <c r="M122" s="247">
        <f>M126</f>
        <v>225.04</v>
      </c>
      <c r="N122" s="167">
        <f t="shared" si="4"/>
        <v>0.503907387088829</v>
      </c>
      <c r="O122" s="173"/>
      <c r="P122" s="174"/>
      <c r="Q122" s="178"/>
      <c r="R122" s="178"/>
      <c r="S122" s="178"/>
      <c r="T122" s="173"/>
      <c r="U122" s="195"/>
      <c r="V122" s="178"/>
      <c r="W122" s="178"/>
      <c r="X122" s="178"/>
      <c r="Y122" s="173"/>
      <c r="Z122" s="195"/>
      <c r="AA122" s="178"/>
      <c r="AB122" s="178"/>
      <c r="AC122" s="178"/>
      <c r="AD122" s="173"/>
      <c r="AE122" s="195"/>
      <c r="AF122" s="180"/>
      <c r="AG122" s="180"/>
      <c r="AH122" s="178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 t="shared" si="1"/>
        <v>2</v>
      </c>
      <c r="F123" s="80">
        <v>4.0</v>
      </c>
      <c r="G123" s="105">
        <f t="shared" si="2"/>
        <v>0.00344530577088717</v>
      </c>
      <c r="H123" s="47">
        <f>H121+G123</f>
        <v>0.376399655469423</v>
      </c>
      <c r="I123" s="187">
        <f t="shared" ref="I123:I126" si="95">P123+U123+Z123+AE123</f>
        <v>11</v>
      </c>
      <c r="J123" s="172">
        <f>J121+I123</f>
        <v>1302.5</v>
      </c>
      <c r="K123" s="115">
        <f t="shared" si="3"/>
        <v>0.496663489037178</v>
      </c>
      <c r="L123" s="191">
        <f t="shared" ref="L123:L126" si="96">S123+X123+AC123+AH123</f>
        <v>2.31</v>
      </c>
      <c r="M123" s="172">
        <f>M121+L123</f>
        <v>220.28</v>
      </c>
      <c r="N123" s="47">
        <f t="shared" si="4"/>
        <v>0.493248841219015</v>
      </c>
      <c r="O123" s="193">
        <f>P123/$F123</f>
        <v>0.25</v>
      </c>
      <c r="P123" s="194">
        <v>1.0</v>
      </c>
      <c r="Q123" s="195"/>
      <c r="R123" s="196">
        <f>Roles!$D$2</f>
        <v>0.61</v>
      </c>
      <c r="S123" s="196">
        <f>R123*P123</f>
        <v>0.61</v>
      </c>
      <c r="T123" s="193">
        <f>U123/$F123</f>
        <v>0</v>
      </c>
      <c r="U123" s="197">
        <v>0.0</v>
      </c>
      <c r="V123" s="195"/>
      <c r="W123" s="196">
        <f>Roles!$D$8</f>
        <v>0.09</v>
      </c>
      <c r="X123" s="199">
        <f>MIN(U123,1)*Roles!$D$5+MAX(U123-1,0)*W123</f>
        <v>0</v>
      </c>
      <c r="Y123" s="193">
        <f>Z123/$F123</f>
        <v>0.5</v>
      </c>
      <c r="Z123" s="197">
        <v>2.0</v>
      </c>
      <c r="AA123" s="195"/>
      <c r="AB123" s="196">
        <f>Roles!$D$7</f>
        <v>0.12</v>
      </c>
      <c r="AC123" s="199">
        <f>MIN(Z123,1)*Roles!$D$4+MAX(Z123-1,0)*AB123</f>
        <v>0.56</v>
      </c>
      <c r="AD123" s="193">
        <f>AE123/$F123</f>
        <v>2</v>
      </c>
      <c r="AE123" s="197">
        <v>8.0</v>
      </c>
      <c r="AF123" s="200"/>
      <c r="AG123" s="208">
        <f>Roles!$D$6</f>
        <v>0.1</v>
      </c>
      <c r="AH123" s="199">
        <f>MIN(AE123,1)*Roles!$D$3+MAX(AE123-1,0)*AG123</f>
        <v>1.14</v>
      </c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 t="shared" si="1"/>
        <v>2</v>
      </c>
      <c r="F124" s="80">
        <v>3.0</v>
      </c>
      <c r="G124" s="105">
        <f t="shared" si="2"/>
        <v>0.00258397932816538</v>
      </c>
      <c r="H124" s="47">
        <f t="shared" ref="H124:H126" si="97">H123+G124</f>
        <v>0.378983634797588</v>
      </c>
      <c r="I124" s="187">
        <f t="shared" si="95"/>
        <v>7</v>
      </c>
      <c r="J124" s="172">
        <f t="shared" ref="J124:J126" si="98">J123+I124</f>
        <v>1309.5</v>
      </c>
      <c r="K124" s="115">
        <f t="shared" si="3"/>
        <v>0.499332697807436</v>
      </c>
      <c r="L124" s="191">
        <f t="shared" si="96"/>
        <v>1.55</v>
      </c>
      <c r="M124" s="172">
        <f t="shared" ref="M124:M126" si="99">M123+L124</f>
        <v>221.83</v>
      </c>
      <c r="N124" s="47">
        <f t="shared" si="4"/>
        <v>0.496719586197631</v>
      </c>
      <c r="O124" s="193">
        <f>P124/$F124</f>
        <v>0.333333333333333</v>
      </c>
      <c r="P124" s="194">
        <v>1.0</v>
      </c>
      <c r="Q124" s="195"/>
      <c r="R124" s="196">
        <f>Roles!$D$2</f>
        <v>0.61</v>
      </c>
      <c r="S124" s="196">
        <f>R124*P124</f>
        <v>0.61</v>
      </c>
      <c r="T124" s="193">
        <f>U124/$F124</f>
        <v>0</v>
      </c>
      <c r="U124" s="197">
        <v>0.0</v>
      </c>
      <c r="V124" s="195"/>
      <c r="W124" s="196">
        <f>Roles!$D$8</f>
        <v>0.09</v>
      </c>
      <c r="X124" s="199">
        <f>MIN(U124,1)*Roles!$D$5+MAX(U124-1,0)*W124</f>
        <v>0</v>
      </c>
      <c r="Y124" s="193">
        <f>Z124/$F124</f>
        <v>0</v>
      </c>
      <c r="Z124" s="197">
        <v>0.0</v>
      </c>
      <c r="AA124" s="195"/>
      <c r="AB124" s="196">
        <f>Roles!$D$7</f>
        <v>0.12</v>
      </c>
      <c r="AC124" s="199">
        <f>MIN(Z124,1)*Roles!$D$4+MAX(Z124-1,0)*AB124</f>
        <v>0</v>
      </c>
      <c r="AD124" s="193">
        <f>AE124/$F124</f>
        <v>2</v>
      </c>
      <c r="AE124" s="197">
        <v>6.0</v>
      </c>
      <c r="AF124" s="200"/>
      <c r="AG124" s="208">
        <f>Roles!$D$6</f>
        <v>0.1</v>
      </c>
      <c r="AH124" s="199">
        <f>MIN(AE124,1)*Roles!$D$3+MAX(AE124-1,0)*AG124</f>
        <v>0.94</v>
      </c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 t="shared" si="1"/>
        <v>2</v>
      </c>
      <c r="F125" s="80">
        <v>3.0</v>
      </c>
      <c r="G125" s="105">
        <f t="shared" si="2"/>
        <v>0.00258397932816538</v>
      </c>
      <c r="H125" s="47">
        <f t="shared" si="97"/>
        <v>0.381567614125754</v>
      </c>
      <c r="I125" s="187">
        <f t="shared" si="95"/>
        <v>7</v>
      </c>
      <c r="J125" s="172">
        <f t="shared" si="98"/>
        <v>1316.5</v>
      </c>
      <c r="K125" s="115">
        <f t="shared" si="3"/>
        <v>0.502001906577693</v>
      </c>
      <c r="L125" s="191">
        <f t="shared" si="96"/>
        <v>1.86</v>
      </c>
      <c r="M125" s="172">
        <f t="shared" si="99"/>
        <v>223.69</v>
      </c>
      <c r="N125" s="47">
        <f t="shared" si="4"/>
        <v>0.50088448017197</v>
      </c>
      <c r="O125" s="193">
        <f>P125/$F125</f>
        <v>0.333333333333333</v>
      </c>
      <c r="P125" s="194">
        <v>1.0</v>
      </c>
      <c r="Q125" s="195"/>
      <c r="R125" s="196">
        <f>Roles!$D$2</f>
        <v>0.61</v>
      </c>
      <c r="S125" s="196">
        <f>R125*P125</f>
        <v>0.61</v>
      </c>
      <c r="T125" s="193">
        <f>U125/$F125</f>
        <v>1.33333333333333</v>
      </c>
      <c r="U125" s="197">
        <v>4.0</v>
      </c>
      <c r="V125" s="195"/>
      <c r="W125" s="196">
        <f>Roles!$D$8</f>
        <v>0.09</v>
      </c>
      <c r="X125" s="199">
        <f>MIN(U125,1)*Roles!$D$5+MAX(U125-1,0)*W125</f>
        <v>0.71</v>
      </c>
      <c r="Y125" s="193">
        <f>Z125/$F125</f>
        <v>0</v>
      </c>
      <c r="Z125" s="197">
        <v>0.0</v>
      </c>
      <c r="AA125" s="195"/>
      <c r="AB125" s="196">
        <f>Roles!$D$7</f>
        <v>0.12</v>
      </c>
      <c r="AC125" s="199">
        <f>MIN(Z125,1)*Roles!$D$4+MAX(Z125-1,0)*AB125</f>
        <v>0</v>
      </c>
      <c r="AD125" s="193">
        <f>AE125/$F125</f>
        <v>0.666666666666667</v>
      </c>
      <c r="AE125" s="197">
        <v>2.0</v>
      </c>
      <c r="AF125" s="200"/>
      <c r="AG125" s="208">
        <f>Roles!$D$6</f>
        <v>0.1</v>
      </c>
      <c r="AH125" s="199">
        <f>MIN(AE125,1)*Roles!$D$3+MAX(AE125-1,0)*AG125</f>
        <v>0.54</v>
      </c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 t="shared" si="1"/>
        <v>2</v>
      </c>
      <c r="F126" s="80">
        <v>2.0</v>
      </c>
      <c r="G126" s="105">
        <f t="shared" si="2"/>
        <v>0.00172265288544358</v>
      </c>
      <c r="H126" s="47">
        <f t="shared" si="97"/>
        <v>0.383290267011197</v>
      </c>
      <c r="I126" s="187">
        <f t="shared" si="95"/>
        <v>5</v>
      </c>
      <c r="J126" s="172">
        <f t="shared" si="98"/>
        <v>1321.5</v>
      </c>
      <c r="K126" s="115">
        <f t="shared" si="3"/>
        <v>0.503908484270734</v>
      </c>
      <c r="L126" s="191">
        <f t="shared" si="96"/>
        <v>1.35</v>
      </c>
      <c r="M126" s="172">
        <f t="shared" si="99"/>
        <v>225.04</v>
      </c>
      <c r="N126" s="47">
        <f t="shared" si="4"/>
        <v>0.503907387088829</v>
      </c>
      <c r="O126" s="193">
        <f>P126/$F126</f>
        <v>0.5</v>
      </c>
      <c r="P126" s="194">
        <v>1.0</v>
      </c>
      <c r="Q126" s="195"/>
      <c r="R126" s="196">
        <f>Roles!$D$2</f>
        <v>0.61</v>
      </c>
      <c r="S126" s="196">
        <f>R126*P126</f>
        <v>0.61</v>
      </c>
      <c r="T126" s="193">
        <f>U126/$F126</f>
        <v>0</v>
      </c>
      <c r="U126" s="197">
        <v>0.0</v>
      </c>
      <c r="V126" s="195"/>
      <c r="W126" s="196">
        <f>Roles!$D$8</f>
        <v>0.09</v>
      </c>
      <c r="X126" s="199">
        <f>MIN(U126,1)*Roles!$D$5+MAX(U126-1,0)*W126</f>
        <v>0</v>
      </c>
      <c r="Y126" s="193">
        <f>Z126/$F126</f>
        <v>0</v>
      </c>
      <c r="Z126" s="197">
        <v>0.0</v>
      </c>
      <c r="AA126" s="195"/>
      <c r="AB126" s="196">
        <f>Roles!$D$7</f>
        <v>0.12</v>
      </c>
      <c r="AC126" s="199">
        <f>MIN(Z126,1)*Roles!$D$4+MAX(Z126-1,0)*AB126</f>
        <v>0</v>
      </c>
      <c r="AD126" s="193">
        <f>AE126/$F126</f>
        <v>2</v>
      </c>
      <c r="AE126" s="197">
        <v>4.0</v>
      </c>
      <c r="AF126" s="200"/>
      <c r="AG126" s="208">
        <f>Roles!$D$6</f>
        <v>0.1</v>
      </c>
      <c r="AH126" s="199">
        <f>MIN(AE126,1)*Roles!$D$3+MAX(AE126-1,0)*AG126</f>
        <v>0.74</v>
      </c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 t="shared" si="1"/>
        <v>8</v>
      </c>
      <c r="F127" s="246">
        <f>SUM(F128:F130)</f>
        <v>64</v>
      </c>
      <c r="G127" s="105">
        <f t="shared" si="2"/>
        <v>0.0551248923341947</v>
      </c>
      <c r="H127" s="226">
        <f>H130</f>
        <v>0.438415159345392</v>
      </c>
      <c r="I127" s="247">
        <f>SUM(I128:I130)</f>
        <v>62</v>
      </c>
      <c r="J127" s="247">
        <f>J130</f>
        <v>1383.5</v>
      </c>
      <c r="K127" s="167">
        <f t="shared" si="3"/>
        <v>0.527550047664442</v>
      </c>
      <c r="L127" s="247">
        <f>SUM(L128:L130)</f>
        <v>9.98</v>
      </c>
      <c r="M127" s="247">
        <f>M130</f>
        <v>235.02</v>
      </c>
      <c r="N127" s="226">
        <f t="shared" si="4"/>
        <v>0.526254506370496</v>
      </c>
      <c r="O127" s="264"/>
      <c r="P127" s="174"/>
      <c r="Q127" s="178"/>
      <c r="R127" s="178"/>
      <c r="S127" s="178"/>
      <c r="T127" s="178"/>
      <c r="U127" s="195"/>
      <c r="V127" s="178"/>
      <c r="W127" s="178"/>
      <c r="X127" s="178"/>
      <c r="Y127" s="178"/>
      <c r="Z127" s="195"/>
      <c r="AA127" s="178"/>
      <c r="AB127" s="178"/>
      <c r="AC127" s="178"/>
      <c r="AD127" s="173"/>
      <c r="AE127" s="195"/>
      <c r="AF127" s="180"/>
      <c r="AG127" s="180"/>
      <c r="AH127" s="178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 t="shared" si="1"/>
        <v>4</v>
      </c>
      <c r="F128" s="80">
        <v>30.0</v>
      </c>
      <c r="G128" s="105">
        <f t="shared" si="2"/>
        <v>0.0258397932816537</v>
      </c>
      <c r="H128" s="47">
        <f>H126+G128</f>
        <v>0.409130060292851</v>
      </c>
      <c r="I128" s="187">
        <f t="shared" ref="I128:I130" si="100">P128+U128+Z128+AE128</f>
        <v>27</v>
      </c>
      <c r="J128" s="172">
        <f>J126+I128</f>
        <v>1348.5</v>
      </c>
      <c r="K128" s="115">
        <f t="shared" si="3"/>
        <v>0.514204003813155</v>
      </c>
      <c r="L128" s="191">
        <f t="shared" ref="L128:L130" si="101">S128+X128+AC128+AH128</f>
        <v>4.22</v>
      </c>
      <c r="M128" s="172">
        <f>M126+L128</f>
        <v>229.26</v>
      </c>
      <c r="N128" s="47">
        <f t="shared" si="4"/>
        <v>0.513356770191899</v>
      </c>
      <c r="O128" s="193">
        <f>P128/$F128</f>
        <v>0.0333333333333333</v>
      </c>
      <c r="P128" s="194">
        <v>1.0</v>
      </c>
      <c r="Q128" s="195"/>
      <c r="R128" s="196">
        <f>Roles!$D$2</f>
        <v>0.61</v>
      </c>
      <c r="S128" s="196">
        <f>R128*P128</f>
        <v>0.61</v>
      </c>
      <c r="T128" s="193">
        <f>U128/$F128</f>
        <v>0.2</v>
      </c>
      <c r="U128" s="197">
        <v>6.0</v>
      </c>
      <c r="V128" s="195"/>
      <c r="W128" s="195">
        <f>Roles!$D$8</f>
        <v>0.09</v>
      </c>
      <c r="X128" s="199">
        <f>MIN(U128,1)*Roles!$D$5+MAX(U128-1,0)*W128</f>
        <v>0.89</v>
      </c>
      <c r="Y128" s="193">
        <f>Z128/$F128</f>
        <v>0.666666666666667</v>
      </c>
      <c r="Z128" s="197">
        <v>20.0</v>
      </c>
      <c r="AA128" s="195"/>
      <c r="AB128" s="195">
        <f>Roles!$D$7</f>
        <v>0.12</v>
      </c>
      <c r="AC128" s="199">
        <f>MIN(Z128,1)*Roles!$D$4+MAX(Z128-1,0)*AB128</f>
        <v>2.72</v>
      </c>
      <c r="AD128" s="193">
        <f>AE128/$F128</f>
        <v>0</v>
      </c>
      <c r="AE128" s="197">
        <v>0.0</v>
      </c>
      <c r="AF128" s="200"/>
      <c r="AG128" s="200">
        <f>Roles!$D$6</f>
        <v>0.1</v>
      </c>
      <c r="AH128" s="199">
        <f>MIN(AE128,1)*Roles!$D$3+MAX(AE128-1,0)*AG128</f>
        <v>0</v>
      </c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 t="shared" si="1"/>
        <v>4</v>
      </c>
      <c r="F129" s="80">
        <v>30.0</v>
      </c>
      <c r="G129" s="105">
        <f t="shared" si="2"/>
        <v>0.0258397932816537</v>
      </c>
      <c r="H129" s="47">
        <f t="shared" ref="H129:H130" si="102">H128+G129</f>
        <v>0.434969853574505</v>
      </c>
      <c r="I129" s="187">
        <f t="shared" si="100"/>
        <v>27</v>
      </c>
      <c r="J129" s="172">
        <f t="shared" ref="J129:J130" si="103">J128+I129</f>
        <v>1375.5</v>
      </c>
      <c r="K129" s="115">
        <f t="shared" si="3"/>
        <v>0.524499523355577</v>
      </c>
      <c r="L129" s="191">
        <f t="shared" si="101"/>
        <v>4.22</v>
      </c>
      <c r="M129" s="172">
        <f t="shared" ref="M129:M130" si="104">M128+L129</f>
        <v>233.48</v>
      </c>
      <c r="N129" s="47">
        <f t="shared" si="4"/>
        <v>0.522806153294969</v>
      </c>
      <c r="O129" s="193">
        <f>P129/$F129</f>
        <v>0.0333333333333333</v>
      </c>
      <c r="P129" s="194">
        <v>1.0</v>
      </c>
      <c r="Q129" s="195"/>
      <c r="R129" s="196">
        <f>Roles!$D$2</f>
        <v>0.61</v>
      </c>
      <c r="S129" s="196">
        <f>R129*P129</f>
        <v>0.61</v>
      </c>
      <c r="T129" s="193">
        <f>U129/$F129</f>
        <v>0.2</v>
      </c>
      <c r="U129" s="197">
        <v>6.0</v>
      </c>
      <c r="V129" s="195"/>
      <c r="W129" s="195">
        <f>Roles!$D$8</f>
        <v>0.09</v>
      </c>
      <c r="X129" s="199">
        <f>MIN(U129,1)*Roles!$D$5+MAX(U129-1,0)*W129</f>
        <v>0.89</v>
      </c>
      <c r="Y129" s="193">
        <f>Z129/$F129</f>
        <v>0.666666666666667</v>
      </c>
      <c r="Z129" s="197">
        <v>20.0</v>
      </c>
      <c r="AA129" s="195"/>
      <c r="AB129" s="195">
        <f>Roles!$D$7</f>
        <v>0.12</v>
      </c>
      <c r="AC129" s="199">
        <f>MIN(Z129,1)*Roles!$D$4+MAX(Z129-1,0)*AB129</f>
        <v>2.72</v>
      </c>
      <c r="AD129" s="193">
        <f>AE129/$F129</f>
        <v>0</v>
      </c>
      <c r="AE129" s="197">
        <v>0.0</v>
      </c>
      <c r="AF129" s="200"/>
      <c r="AG129" s="200">
        <f>Roles!$D$6</f>
        <v>0.1</v>
      </c>
      <c r="AH129" s="199">
        <f>MIN(AE129,1)*Roles!$D$3+MAX(AE129-1,0)*AG129</f>
        <v>0</v>
      </c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 t="shared" si="1"/>
        <v>4</v>
      </c>
      <c r="F130" s="80">
        <v>4.0</v>
      </c>
      <c r="G130" s="105">
        <f t="shared" si="2"/>
        <v>0.00344530577088717</v>
      </c>
      <c r="H130" s="47">
        <f t="shared" si="102"/>
        <v>0.438415159345392</v>
      </c>
      <c r="I130" s="187">
        <f t="shared" si="100"/>
        <v>8</v>
      </c>
      <c r="J130" s="172">
        <f t="shared" si="103"/>
        <v>1383.5</v>
      </c>
      <c r="K130" s="115">
        <f t="shared" si="3"/>
        <v>0.527550047664442</v>
      </c>
      <c r="L130" s="191">
        <f t="shared" si="101"/>
        <v>1.54</v>
      </c>
      <c r="M130" s="172">
        <f t="shared" si="104"/>
        <v>235.02</v>
      </c>
      <c r="N130" s="47">
        <f t="shared" si="4"/>
        <v>0.526254506370496</v>
      </c>
      <c r="O130" s="193">
        <f>P130/$F130</f>
        <v>0</v>
      </c>
      <c r="P130" s="206">
        <v>0.0</v>
      </c>
      <c r="Q130" s="195"/>
      <c r="R130" s="196">
        <f>Roles!$D$2</f>
        <v>0.61</v>
      </c>
      <c r="S130" s="196">
        <f>R130*P130</f>
        <v>0</v>
      </c>
      <c r="T130" s="193">
        <f>U130/$F130</f>
        <v>0</v>
      </c>
      <c r="U130" s="197">
        <v>0.0</v>
      </c>
      <c r="V130" s="195"/>
      <c r="W130" s="196">
        <f>Roles!$D$8</f>
        <v>0.09</v>
      </c>
      <c r="X130" s="199">
        <f>MIN(U130,1)*Roles!$D$5+MAX(U130-1,0)*W130</f>
        <v>0</v>
      </c>
      <c r="Y130" s="193">
        <f>Z130/$F130</f>
        <v>1</v>
      </c>
      <c r="Z130" s="197">
        <v>4.0</v>
      </c>
      <c r="AA130" s="195"/>
      <c r="AB130" s="196">
        <f>Roles!$D$7</f>
        <v>0.12</v>
      </c>
      <c r="AC130" s="199">
        <f>MIN(Z130,1)*Roles!$D$4+MAX(Z130-1,0)*AB130</f>
        <v>0.8</v>
      </c>
      <c r="AD130" s="193">
        <f>AE130/$F130</f>
        <v>1</v>
      </c>
      <c r="AE130" s="197">
        <v>4.0</v>
      </c>
      <c r="AF130" s="200"/>
      <c r="AG130" s="208">
        <f>Roles!$D$6</f>
        <v>0.1</v>
      </c>
      <c r="AH130" s="199">
        <f>MIN(AE130,1)*Roles!$D$3+MAX(AE130-1,0)*AG130</f>
        <v>0.74</v>
      </c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 t="shared" si="1"/>
        <v>6</v>
      </c>
      <c r="F131" s="246">
        <f>SUM(F132:F134)</f>
        <v>51</v>
      </c>
      <c r="G131" s="105">
        <f t="shared" si="2"/>
        <v>0.0439276485788114</v>
      </c>
      <c r="H131" s="226">
        <f>H134</f>
        <v>0.482342807924203</v>
      </c>
      <c r="I131" s="247">
        <f>SUM(I132:I134)</f>
        <v>61</v>
      </c>
      <c r="J131" s="247">
        <f>J134</f>
        <v>1444.5</v>
      </c>
      <c r="K131" s="167">
        <f t="shared" si="3"/>
        <v>0.550810295519542</v>
      </c>
      <c r="L131" s="247">
        <f>SUM(L132:L134)</f>
        <v>9.33</v>
      </c>
      <c r="M131" s="247">
        <f>M134</f>
        <v>244.35</v>
      </c>
      <c r="N131" s="226">
        <f t="shared" si="4"/>
        <v>0.547146151951454</v>
      </c>
      <c r="O131" s="264"/>
      <c r="P131" s="174"/>
      <c r="Q131" s="178"/>
      <c r="R131" s="178"/>
      <c r="S131" s="178"/>
      <c r="T131" s="178"/>
      <c r="U131" s="195"/>
      <c r="V131" s="178"/>
      <c r="W131" s="178"/>
      <c r="X131" s="178"/>
      <c r="Y131" s="178"/>
      <c r="Z131" s="195"/>
      <c r="AA131" s="178"/>
      <c r="AB131" s="178"/>
      <c r="AC131" s="178"/>
      <c r="AD131" s="173"/>
      <c r="AE131" s="195"/>
      <c r="AF131" s="180"/>
      <c r="AG131" s="180"/>
      <c r="AH131" s="178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 t="shared" si="1"/>
        <v>1</v>
      </c>
      <c r="F132" s="80">
        <v>1</v>
      </c>
      <c r="G132" s="105">
        <f t="shared" si="2"/>
        <v>0.000861326442721792</v>
      </c>
      <c r="H132" s="47">
        <f>H130+G132</f>
        <v>0.439276485788114</v>
      </c>
      <c r="I132" s="187">
        <f t="shared" ref="I132:I134" si="105">P132+U132+Z132+AE132</f>
        <v>4</v>
      </c>
      <c r="J132" s="172">
        <f>J130+I132</f>
        <v>1387.5</v>
      </c>
      <c r="K132" s="115">
        <f t="shared" si="3"/>
        <v>0.529075309818875</v>
      </c>
      <c r="L132" s="191">
        <f t="shared" ref="L132:L134" si="106">S132+X132+AC132+AH132</f>
        <v>1.93</v>
      </c>
      <c r="M132" s="172">
        <f>M130+L132</f>
        <v>236.95</v>
      </c>
      <c r="N132" s="47">
        <f t="shared" si="4"/>
        <v>0.53057614366645</v>
      </c>
      <c r="O132" s="193">
        <f>P132/$F132</f>
        <v>1</v>
      </c>
      <c r="P132" s="194">
        <v>1</v>
      </c>
      <c r="Q132" s="195"/>
      <c r="R132" s="196">
        <f>Roles!$D$2</f>
        <v>0.61</v>
      </c>
      <c r="S132" s="196">
        <f>R132*P132</f>
        <v>0.61</v>
      </c>
      <c r="T132" s="193">
        <f>U132/$F132</f>
        <v>1</v>
      </c>
      <c r="U132" s="197">
        <v>1</v>
      </c>
      <c r="V132" s="195"/>
      <c r="W132" s="195">
        <f>Roles!$D$5</f>
        <v>0.44</v>
      </c>
      <c r="X132" s="199">
        <f>U132*W132</f>
        <v>0.44</v>
      </c>
      <c r="Y132" s="193">
        <f>Z132/$F132</f>
        <v>1</v>
      </c>
      <c r="Z132" s="197">
        <v>1</v>
      </c>
      <c r="AA132" s="195"/>
      <c r="AB132" s="195">
        <f>Roles!$D$4</f>
        <v>0.44</v>
      </c>
      <c r="AC132" s="199">
        <f>Z132*AB132</f>
        <v>0.44</v>
      </c>
      <c r="AD132" s="193">
        <f>AE132/$F132</f>
        <v>1</v>
      </c>
      <c r="AE132" s="197">
        <v>1</v>
      </c>
      <c r="AF132" s="200"/>
      <c r="AG132" s="200">
        <f>Roles!$D$3</f>
        <v>0.44</v>
      </c>
      <c r="AH132" s="199">
        <f>AE132*AG132</f>
        <v>0.44</v>
      </c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 t="shared" si="1"/>
        <v>3</v>
      </c>
      <c r="F133" s="80">
        <v>25.0</v>
      </c>
      <c r="G133" s="105">
        <f t="shared" si="2"/>
        <v>0.0215331610680448</v>
      </c>
      <c r="H133" s="47">
        <f t="shared" ref="H133:H134" si="107">H132+G133</f>
        <v>0.460809646856158</v>
      </c>
      <c r="I133" s="187">
        <f t="shared" si="105"/>
        <v>28</v>
      </c>
      <c r="J133" s="172">
        <f t="shared" ref="J133:J134" si="108">J132+I133</f>
        <v>1415.5</v>
      </c>
      <c r="K133" s="115">
        <f t="shared" si="3"/>
        <v>0.539752144899905</v>
      </c>
      <c r="L133" s="191">
        <f t="shared" si="106"/>
        <v>3.65</v>
      </c>
      <c r="M133" s="172">
        <f t="shared" ref="M133:M134" si="109">M132+L133</f>
        <v>240.6</v>
      </c>
      <c r="N133" s="47">
        <f t="shared" si="4"/>
        <v>0.538749188293513</v>
      </c>
      <c r="O133" s="193">
        <f>P133/$F133</f>
        <v>0.04</v>
      </c>
      <c r="P133" s="194">
        <v>1.0</v>
      </c>
      <c r="Q133" s="195"/>
      <c r="R133" s="196">
        <f>Roles!$D$2</f>
        <v>0.61</v>
      </c>
      <c r="S133" s="196">
        <f>R133*P133</f>
        <v>0.61</v>
      </c>
      <c r="T133" s="193">
        <f>U133/$F133</f>
        <v>0</v>
      </c>
      <c r="U133" s="197">
        <v>0.0</v>
      </c>
      <c r="V133" s="195"/>
      <c r="W133" s="195">
        <f>Roles!$D$8</f>
        <v>0.09</v>
      </c>
      <c r="X133" s="199">
        <f>MIN(U133,1)*Roles!$D$5+MAX(U133-1,0)*W133</f>
        <v>0</v>
      </c>
      <c r="Y133" s="193">
        <f>Z133/$F133</f>
        <v>0</v>
      </c>
      <c r="Z133" s="197">
        <v>0.0</v>
      </c>
      <c r="AA133" s="195"/>
      <c r="AB133" s="195">
        <f>Roles!$D$7</f>
        <v>0.12</v>
      </c>
      <c r="AC133" s="199">
        <f>MIN(Z133,1)*Roles!$D$4+MAX(Z133-1,0)*AB133</f>
        <v>0</v>
      </c>
      <c r="AD133" s="193">
        <f>AE133/$F133</f>
        <v>1.08</v>
      </c>
      <c r="AE133" s="197">
        <v>27.0</v>
      </c>
      <c r="AF133" s="200"/>
      <c r="AG133" s="200">
        <f>Roles!$D$6</f>
        <v>0.1</v>
      </c>
      <c r="AH133" s="199">
        <f>MIN(AE133,1)*Roles!$D$3+MAX(AE133-1,0)*AG133</f>
        <v>3.04</v>
      </c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 t="shared" si="1"/>
        <v>3</v>
      </c>
      <c r="F134" s="80">
        <v>25.0</v>
      </c>
      <c r="G134" s="105">
        <f t="shared" si="2"/>
        <v>0.0215331610680448</v>
      </c>
      <c r="H134" s="47">
        <f t="shared" si="107"/>
        <v>0.482342807924203</v>
      </c>
      <c r="I134" s="187">
        <f t="shared" si="105"/>
        <v>29</v>
      </c>
      <c r="J134" s="172">
        <f t="shared" si="108"/>
        <v>1444.5</v>
      </c>
      <c r="K134" s="115">
        <f t="shared" si="3"/>
        <v>0.550810295519542</v>
      </c>
      <c r="L134" s="191">
        <f t="shared" si="106"/>
        <v>3.75</v>
      </c>
      <c r="M134" s="172">
        <f t="shared" si="109"/>
        <v>244.35</v>
      </c>
      <c r="N134" s="47">
        <f t="shared" si="4"/>
        <v>0.547146151951454</v>
      </c>
      <c r="O134" s="193">
        <f>P134/$F134</f>
        <v>0.04</v>
      </c>
      <c r="P134" s="194">
        <v>1.0</v>
      </c>
      <c r="Q134" s="195"/>
      <c r="R134" s="196">
        <f>Roles!$D$2</f>
        <v>0.61</v>
      </c>
      <c r="S134" s="196">
        <f>R134*P134</f>
        <v>0.61</v>
      </c>
      <c r="T134" s="193">
        <f>U134/$F134</f>
        <v>0</v>
      </c>
      <c r="U134" s="197">
        <v>0.0</v>
      </c>
      <c r="V134" s="195"/>
      <c r="W134" s="195">
        <f>Roles!$D$8</f>
        <v>0.09</v>
      </c>
      <c r="X134" s="199">
        <f>MIN(U134,1)*Roles!$D$5+MAX(U134-1,0)*W134</f>
        <v>0</v>
      </c>
      <c r="Y134" s="193">
        <f>Z134/$F134</f>
        <v>0</v>
      </c>
      <c r="Z134" s="197">
        <v>0.0</v>
      </c>
      <c r="AA134" s="195"/>
      <c r="AB134" s="195">
        <f>Roles!$D$7</f>
        <v>0.12</v>
      </c>
      <c r="AC134" s="199">
        <f>MIN(Z134,1)*Roles!$D$4+MAX(Z134-1,0)*AB134</f>
        <v>0</v>
      </c>
      <c r="AD134" s="193">
        <f>AE134/$F134</f>
        <v>1.12</v>
      </c>
      <c r="AE134" s="197">
        <v>28.0</v>
      </c>
      <c r="AF134" s="200"/>
      <c r="AG134" s="200">
        <f>Roles!$D$6</f>
        <v>0.1</v>
      </c>
      <c r="AH134" s="199">
        <f>MIN(AE134,1)*Roles!$D$3+MAX(AE134-1,0)*AG134</f>
        <v>3.14</v>
      </c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 t="shared" si="1"/>
        <v>4</v>
      </c>
      <c r="F135" s="246">
        <f>SUM(F136:F138)</f>
        <v>26</v>
      </c>
      <c r="G135" s="105">
        <f t="shared" si="2"/>
        <v>0.0223944875107666</v>
      </c>
      <c r="H135" s="226">
        <f>H138</f>
        <v>0.50473729543497</v>
      </c>
      <c r="I135" s="247">
        <f>SUM(I136:I138)</f>
        <v>36</v>
      </c>
      <c r="J135" s="247">
        <f>J138</f>
        <v>1480.5</v>
      </c>
      <c r="K135" s="167">
        <f t="shared" si="3"/>
        <v>0.564537654909438</v>
      </c>
      <c r="L135" s="247">
        <f>SUM(L136:L138)</f>
        <v>6.83</v>
      </c>
      <c r="M135" s="247">
        <f>M138</f>
        <v>251.18</v>
      </c>
      <c r="N135" s="226">
        <f t="shared" si="4"/>
        <v>0.562439821760452</v>
      </c>
      <c r="O135" s="264"/>
      <c r="P135" s="174"/>
      <c r="Q135" s="178"/>
      <c r="R135" s="178"/>
      <c r="S135" s="178"/>
      <c r="T135" s="178"/>
      <c r="U135" s="195"/>
      <c r="V135" s="178"/>
      <c r="W135" s="178"/>
      <c r="X135" s="178"/>
      <c r="Y135" s="178"/>
      <c r="Z135" s="195"/>
      <c r="AA135" s="178"/>
      <c r="AB135" s="178"/>
      <c r="AC135" s="178"/>
      <c r="AD135" s="178"/>
      <c r="AE135" s="195"/>
      <c r="AF135" s="178"/>
      <c r="AG135" s="180"/>
      <c r="AH135" s="178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 t="shared" si="1"/>
        <v>2</v>
      </c>
      <c r="F136" s="80">
        <v>10.0</v>
      </c>
      <c r="G136" s="105">
        <f t="shared" si="2"/>
        <v>0.00861326442721792</v>
      </c>
      <c r="H136" s="47">
        <f>H134+G136</f>
        <v>0.490956072351421</v>
      </c>
      <c r="I136" s="187">
        <f t="shared" ref="I136:I138" si="110">P136+U136+Z136+AE136</f>
        <v>13</v>
      </c>
      <c r="J136" s="172">
        <f>J134+I136</f>
        <v>1457.5</v>
      </c>
      <c r="K136" s="115">
        <f t="shared" si="3"/>
        <v>0.555767397521449</v>
      </c>
      <c r="L136" s="191">
        <f t="shared" ref="L136:L138" si="111">S136+X136+AC136+AH136</f>
        <v>2.15</v>
      </c>
      <c r="M136" s="172">
        <f>M134+L136</f>
        <v>246.5</v>
      </c>
      <c r="N136" s="47">
        <f t="shared" si="4"/>
        <v>0.551960411115341</v>
      </c>
      <c r="O136" s="193">
        <f>P136/$F136</f>
        <v>0.1</v>
      </c>
      <c r="P136" s="194">
        <v>1.0</v>
      </c>
      <c r="Q136" s="195"/>
      <c r="R136" s="196">
        <f>Roles!$D$2</f>
        <v>0.61</v>
      </c>
      <c r="S136" s="196">
        <f>R136*P136</f>
        <v>0.61</v>
      </c>
      <c r="T136" s="193">
        <f>U136/$F136</f>
        <v>0</v>
      </c>
      <c r="U136" s="197">
        <v>0.0</v>
      </c>
      <c r="V136" s="195"/>
      <c r="W136" s="195">
        <f>Roles!$D$8</f>
        <v>0.09</v>
      </c>
      <c r="X136" s="199">
        <f>MIN(U136,1)*Roles!$D$5+MAX(U136-1,0)*W136</f>
        <v>0</v>
      </c>
      <c r="Y136" s="193">
        <f>Z136/$F136</f>
        <v>0</v>
      </c>
      <c r="Z136" s="197">
        <v>0.0</v>
      </c>
      <c r="AA136" s="195"/>
      <c r="AB136" s="195">
        <f>Roles!$D$7</f>
        <v>0.12</v>
      </c>
      <c r="AC136" s="199">
        <f>MIN(Z136,1)*Roles!$D$4+MAX(Z136-1,0)*AB136</f>
        <v>0</v>
      </c>
      <c r="AD136" s="193">
        <f>AE136/$F136</f>
        <v>1.2</v>
      </c>
      <c r="AE136" s="197">
        <v>12.0</v>
      </c>
      <c r="AF136" s="200"/>
      <c r="AG136" s="200">
        <f>Roles!$D$6</f>
        <v>0.1</v>
      </c>
      <c r="AH136" s="199">
        <f>MIN(AE136,1)*Roles!$D$3+MAX(AE136-1,0)*AG136</f>
        <v>1.54</v>
      </c>
    </row>
    <row r="137" ht="17.2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 t="shared" si="1"/>
        <v>1</v>
      </c>
      <c r="F137" s="80">
        <v>1</v>
      </c>
      <c r="G137" s="105">
        <f t="shared" si="2"/>
        <v>0.000861326442721792</v>
      </c>
      <c r="H137" s="186">
        <f t="shared" ref="H137:H138" si="112">H136+G137</f>
        <v>0.491817398794143</v>
      </c>
      <c r="I137" s="187">
        <f t="shared" si="110"/>
        <v>4</v>
      </c>
      <c r="J137" s="233">
        <f t="shared" ref="J137:J138" si="113">J136+I137</f>
        <v>1461.5</v>
      </c>
      <c r="K137" s="340">
        <f t="shared" si="3"/>
        <v>0.557292659675882</v>
      </c>
      <c r="L137" s="191">
        <f t="shared" si="111"/>
        <v>1.93</v>
      </c>
      <c r="M137" s="233">
        <f t="shared" ref="M137:M138" si="114">M136+L137</f>
        <v>248.43</v>
      </c>
      <c r="N137" s="47">
        <f t="shared" si="4"/>
        <v>0.556282048411295</v>
      </c>
      <c r="O137" s="193">
        <f>P137/$F137</f>
        <v>1</v>
      </c>
      <c r="P137" s="194">
        <v>1</v>
      </c>
      <c r="Q137" s="195"/>
      <c r="R137" s="196">
        <f>Roles!$D$2</f>
        <v>0.61</v>
      </c>
      <c r="S137" s="196">
        <f>R137*P137</f>
        <v>0.61</v>
      </c>
      <c r="T137" s="193">
        <f>U137/$F137</f>
        <v>1</v>
      </c>
      <c r="U137" s="197">
        <v>1</v>
      </c>
      <c r="V137" s="195"/>
      <c r="W137" s="195">
        <f>Roles!$D$5</f>
        <v>0.44</v>
      </c>
      <c r="X137" s="199">
        <f>U137*W137</f>
        <v>0.44</v>
      </c>
      <c r="Y137" s="193">
        <f>Z137/$F137</f>
        <v>1</v>
      </c>
      <c r="Z137" s="197">
        <v>1</v>
      </c>
      <c r="AA137" s="195"/>
      <c r="AB137" s="195">
        <f>Roles!$D$4</f>
        <v>0.44</v>
      </c>
      <c r="AC137" s="199">
        <f>Z137*AB137</f>
        <v>0.44</v>
      </c>
      <c r="AD137" s="193">
        <f>AE137/$F137</f>
        <v>1</v>
      </c>
      <c r="AE137" s="197">
        <v>1</v>
      </c>
      <c r="AF137" s="200"/>
      <c r="AG137" s="200">
        <f>Roles!$D$3</f>
        <v>0.44</v>
      </c>
      <c r="AH137" s="199">
        <f>AE137*AG137</f>
        <v>0.44</v>
      </c>
    </row>
    <row r="138" ht="17.2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 t="shared" si="1"/>
        <v>2</v>
      </c>
      <c r="F138" s="80">
        <v>15.0</v>
      </c>
      <c r="G138" s="105">
        <f t="shared" si="2"/>
        <v>0.0129198966408269</v>
      </c>
      <c r="H138" s="186">
        <f t="shared" si="112"/>
        <v>0.50473729543497</v>
      </c>
      <c r="I138" s="187">
        <f t="shared" si="110"/>
        <v>19</v>
      </c>
      <c r="J138" s="172">
        <f t="shared" si="113"/>
        <v>1480.5</v>
      </c>
      <c r="K138" s="115">
        <f t="shared" si="3"/>
        <v>0.564537654909438</v>
      </c>
      <c r="L138" s="191">
        <f t="shared" si="111"/>
        <v>2.75</v>
      </c>
      <c r="M138" s="172">
        <f t="shared" si="114"/>
        <v>251.18</v>
      </c>
      <c r="N138" s="47">
        <f t="shared" si="4"/>
        <v>0.562439821760452</v>
      </c>
      <c r="O138" s="193">
        <f>P138/$F138</f>
        <v>0.0666666666666667</v>
      </c>
      <c r="P138" s="194">
        <v>1.0</v>
      </c>
      <c r="Q138" s="195"/>
      <c r="R138" s="196">
        <f>Roles!$D$2</f>
        <v>0.61</v>
      </c>
      <c r="S138" s="196">
        <f>R138*P138</f>
        <v>0.61</v>
      </c>
      <c r="T138" s="193">
        <f>U138/$F138</f>
        <v>0</v>
      </c>
      <c r="U138" s="197">
        <v>0.0</v>
      </c>
      <c r="V138" s="195"/>
      <c r="W138" s="195">
        <f>Roles!$D$8</f>
        <v>0.09</v>
      </c>
      <c r="X138" s="199">
        <f>MIN(U138,1)*Roles!$D$5+MAX(U138-1,0)*W138</f>
        <v>0</v>
      </c>
      <c r="Y138" s="193">
        <f>Z138/$F138</f>
        <v>0</v>
      </c>
      <c r="Z138" s="197">
        <v>0.0</v>
      </c>
      <c r="AA138" s="195"/>
      <c r="AB138" s="195">
        <f>Roles!$D$7</f>
        <v>0.12</v>
      </c>
      <c r="AC138" s="199">
        <f>MIN(Z138,1)*Roles!$D$4+MAX(Z138-1,0)*AB138</f>
        <v>0</v>
      </c>
      <c r="AD138" s="193">
        <f>AE138/$F138</f>
        <v>1.2</v>
      </c>
      <c r="AE138" s="197">
        <v>18.0</v>
      </c>
      <c r="AF138" s="200"/>
      <c r="AG138" s="200">
        <f>Roles!$D$6</f>
        <v>0.1</v>
      </c>
      <c r="AH138" s="199">
        <f>MIN(AE138,1)*Roles!$D$3+MAX(AE138-1,0)*AG138</f>
        <v>2.14</v>
      </c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 t="shared" si="1"/>
        <v>3</v>
      </c>
      <c r="F139" s="246">
        <f>SUM(F140:F144)</f>
        <v>28</v>
      </c>
      <c r="G139" s="105">
        <f t="shared" si="2"/>
        <v>0.0241171403962102</v>
      </c>
      <c r="H139" s="226">
        <f>H144</f>
        <v>0.52885443583118</v>
      </c>
      <c r="I139" s="247">
        <f>SUM(I140:I144)</f>
        <v>46</v>
      </c>
      <c r="J139" s="247">
        <f>J144</f>
        <v>1526.5</v>
      </c>
      <c r="K139" s="167">
        <f t="shared" si="3"/>
        <v>0.582078169685415</v>
      </c>
      <c r="L139" s="247">
        <f>SUM(L140:L144)</f>
        <v>9.04</v>
      </c>
      <c r="M139" s="247">
        <f>M144</f>
        <v>260.22</v>
      </c>
      <c r="N139" s="226">
        <f t="shared" si="4"/>
        <v>0.582682102151862</v>
      </c>
      <c r="O139" s="264"/>
      <c r="P139" s="174"/>
      <c r="Q139" s="178"/>
      <c r="R139" s="178"/>
      <c r="S139" s="178"/>
      <c r="T139" s="178"/>
      <c r="U139" s="195"/>
      <c r="V139" s="178"/>
      <c r="W139" s="178"/>
      <c r="X139" s="178"/>
      <c r="Y139" s="178"/>
      <c r="Z139" s="195"/>
      <c r="AA139" s="178"/>
      <c r="AB139" s="178"/>
      <c r="AC139" s="178"/>
      <c r="AD139" s="173"/>
      <c r="AE139" s="195"/>
      <c r="AF139" s="180"/>
      <c r="AG139" s="180"/>
      <c r="AH139" s="178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 t="shared" si="1"/>
        <v>2</v>
      </c>
      <c r="F140" s="80">
        <v>10.0</v>
      </c>
      <c r="G140" s="105">
        <f t="shared" si="2"/>
        <v>0.00861326442721792</v>
      </c>
      <c r="H140" s="47">
        <f>H138+G140</f>
        <v>0.513350559862188</v>
      </c>
      <c r="I140" s="187">
        <f t="shared" ref="I140:I144" si="115">P140+U140+Z140+AE140</f>
        <v>13</v>
      </c>
      <c r="J140" s="172">
        <f>J138+I140</f>
        <v>1493.5</v>
      </c>
      <c r="K140" s="115">
        <f t="shared" si="3"/>
        <v>0.569494756911344</v>
      </c>
      <c r="L140" s="191">
        <f t="shared" ref="L140:L144" si="116">S140+X140+AC140+AH140</f>
        <v>2.15</v>
      </c>
      <c r="M140" s="172">
        <f>M138+L140</f>
        <v>253.33</v>
      </c>
      <c r="N140" s="138">
        <f t="shared" si="4"/>
        <v>0.567254080924338</v>
      </c>
      <c r="O140" s="193">
        <f>P140/$F140</f>
        <v>0.1</v>
      </c>
      <c r="P140" s="194">
        <v>1.0</v>
      </c>
      <c r="Q140" s="195"/>
      <c r="R140" s="196">
        <f>Roles!$D$2</f>
        <v>0.61</v>
      </c>
      <c r="S140" s="196">
        <f>R140*P140</f>
        <v>0.61</v>
      </c>
      <c r="T140" s="193">
        <f>U140/$F140</f>
        <v>0</v>
      </c>
      <c r="U140" s="197">
        <v>0.0</v>
      </c>
      <c r="V140" s="195"/>
      <c r="W140" s="195">
        <f>Roles!$D$8</f>
        <v>0.09</v>
      </c>
      <c r="X140" s="199">
        <f>MIN(U140,1)*Roles!$D$5+MAX(U140-1,0)*W140</f>
        <v>0</v>
      </c>
      <c r="Y140" s="193">
        <f>Z140/$F140</f>
        <v>0</v>
      </c>
      <c r="Z140" s="197">
        <v>0.0</v>
      </c>
      <c r="AA140" s="195"/>
      <c r="AB140" s="195">
        <f>Roles!$D$7</f>
        <v>0.12</v>
      </c>
      <c r="AC140" s="199">
        <f>MIN(Z140,1)*Roles!$D$4+MAX(Z140-1,0)*AB140</f>
        <v>0</v>
      </c>
      <c r="AD140" s="193">
        <f>AE140/$F140</f>
        <v>1.2</v>
      </c>
      <c r="AE140" s="197">
        <v>12.0</v>
      </c>
      <c r="AF140" s="200"/>
      <c r="AG140" s="200">
        <f>Roles!$D$6</f>
        <v>0.1</v>
      </c>
      <c r="AH140" s="199">
        <f>MIN(AE140,1)*Roles!$D$3+MAX(AE140-1,0)*AG140</f>
        <v>1.54</v>
      </c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 t="shared" si="1"/>
        <v>2</v>
      </c>
      <c r="F141" s="80">
        <v>4.0</v>
      </c>
      <c r="G141" s="105">
        <f t="shared" si="2"/>
        <v>0.00344530577088717</v>
      </c>
      <c r="H141" s="47">
        <f t="shared" ref="H141:H145" si="117">H140+G141</f>
        <v>0.516795865633075</v>
      </c>
      <c r="I141" s="187">
        <f t="shared" si="115"/>
        <v>11</v>
      </c>
      <c r="J141" s="172">
        <f t="shared" ref="J141:J145" si="118">J140+I141</f>
        <v>1504.5</v>
      </c>
      <c r="K141" s="115">
        <f t="shared" si="3"/>
        <v>0.573689227836034</v>
      </c>
      <c r="L141" s="191">
        <f t="shared" si="116"/>
        <v>2.3</v>
      </c>
      <c r="M141" s="172">
        <f t="shared" ref="M141:M145" si="119">M140+L141</f>
        <v>255.63</v>
      </c>
      <c r="N141" s="47">
        <f t="shared" si="4"/>
        <v>0.572404218634542</v>
      </c>
      <c r="O141" s="193">
        <f>P141/$F141</f>
        <v>0.25</v>
      </c>
      <c r="P141" s="194">
        <v>1.0</v>
      </c>
      <c r="Q141" s="195"/>
      <c r="R141" s="196">
        <f>Roles!$D$2</f>
        <v>0.61</v>
      </c>
      <c r="S141" s="196">
        <f>R141*P141</f>
        <v>0.61</v>
      </c>
      <c r="T141" s="193">
        <f>U141/$F141</f>
        <v>1.5</v>
      </c>
      <c r="U141" s="197">
        <v>6.0</v>
      </c>
      <c r="V141" s="195"/>
      <c r="W141" s="196">
        <f>Roles!$D$8</f>
        <v>0.09</v>
      </c>
      <c r="X141" s="199">
        <f>MIN(U141,1)*Roles!$D$5+MAX(U141-1,0)*W141</f>
        <v>0.89</v>
      </c>
      <c r="Y141" s="193">
        <f>Z141/$F141</f>
        <v>1</v>
      </c>
      <c r="Z141" s="197">
        <v>4.0</v>
      </c>
      <c r="AA141" s="195"/>
      <c r="AB141" s="196">
        <f>Roles!$D$7</f>
        <v>0.12</v>
      </c>
      <c r="AC141" s="199">
        <f>MIN(Z141,1)*Roles!$D$4+MAX(Z141-1,0)*AB141</f>
        <v>0.8</v>
      </c>
      <c r="AD141" s="193">
        <f>AE141/$F141</f>
        <v>0</v>
      </c>
      <c r="AE141" s="197">
        <v>0.0</v>
      </c>
      <c r="AF141" s="200"/>
      <c r="AG141" s="208">
        <f>Roles!$D$6</f>
        <v>0.1</v>
      </c>
      <c r="AH141" s="199">
        <f>MIN(AE141,1)*Roles!$D$3+MAX(AE141-1,0)*AG141</f>
        <v>0</v>
      </c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 t="shared" si="1"/>
        <v>1</v>
      </c>
      <c r="F142" s="80">
        <v>2.0</v>
      </c>
      <c r="G142" s="105">
        <f t="shared" si="2"/>
        <v>0.00172265288544358</v>
      </c>
      <c r="H142" s="47">
        <f t="shared" si="117"/>
        <v>0.518518518518519</v>
      </c>
      <c r="I142" s="187">
        <f t="shared" si="115"/>
        <v>4</v>
      </c>
      <c r="J142" s="172">
        <f t="shared" si="118"/>
        <v>1508.5</v>
      </c>
      <c r="K142" s="115">
        <f t="shared" si="3"/>
        <v>0.575214489990467</v>
      </c>
      <c r="L142" s="191">
        <f t="shared" si="116"/>
        <v>1.23</v>
      </c>
      <c r="M142" s="172">
        <f t="shared" si="119"/>
        <v>256.86</v>
      </c>
      <c r="N142" s="47">
        <f t="shared" si="4"/>
        <v>0.575158422714347</v>
      </c>
      <c r="O142" s="193">
        <f>P142/$F142</f>
        <v>0.5</v>
      </c>
      <c r="P142" s="194">
        <v>1.0</v>
      </c>
      <c r="Q142" s="195"/>
      <c r="R142" s="196">
        <f>Roles!$D$2</f>
        <v>0.61</v>
      </c>
      <c r="S142" s="196">
        <f>R142*P142</f>
        <v>0.61</v>
      </c>
      <c r="T142" s="193">
        <f>U142/$F142</f>
        <v>1.5</v>
      </c>
      <c r="U142" s="197">
        <v>3.0</v>
      </c>
      <c r="V142" s="195"/>
      <c r="W142" s="196">
        <f>Roles!$D$8</f>
        <v>0.09</v>
      </c>
      <c r="X142" s="199">
        <f>MIN(U142,1)*Roles!$D$5+MAX(U142-1,0)*W142</f>
        <v>0.62</v>
      </c>
      <c r="Y142" s="193">
        <f>Z142/$F142</f>
        <v>0</v>
      </c>
      <c r="Z142" s="197">
        <v>0.0</v>
      </c>
      <c r="AA142" s="195"/>
      <c r="AB142" s="196">
        <f>Roles!$D$7</f>
        <v>0.12</v>
      </c>
      <c r="AC142" s="199">
        <f>MIN(Z142,1)*Roles!$D$4+MAX(Z142-1,0)*AB142</f>
        <v>0</v>
      </c>
      <c r="AD142" s="193">
        <f>AE142/$F142</f>
        <v>0</v>
      </c>
      <c r="AE142" s="197">
        <v>0.0</v>
      </c>
      <c r="AF142" s="200"/>
      <c r="AG142" s="208">
        <f>Roles!$D$6</f>
        <v>0.1</v>
      </c>
      <c r="AH142" s="199">
        <f>MIN(AE142,1)*Roles!$D$3+MAX(AE142-1,0)*AG142</f>
        <v>0</v>
      </c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 t="shared" si="1"/>
        <v>2</v>
      </c>
      <c r="F143" s="80">
        <v>10.0</v>
      </c>
      <c r="G143" s="105">
        <f t="shared" si="2"/>
        <v>0.00861326442721792</v>
      </c>
      <c r="H143" s="47">
        <f t="shared" si="117"/>
        <v>0.527131782945736</v>
      </c>
      <c r="I143" s="187">
        <f t="shared" si="115"/>
        <v>13</v>
      </c>
      <c r="J143" s="172">
        <f t="shared" si="118"/>
        <v>1521.5</v>
      </c>
      <c r="K143" s="115">
        <f t="shared" si="3"/>
        <v>0.580171591992374</v>
      </c>
      <c r="L143" s="191">
        <f t="shared" si="116"/>
        <v>2.04</v>
      </c>
      <c r="M143" s="172">
        <f t="shared" si="119"/>
        <v>258.9</v>
      </c>
      <c r="N143" s="282">
        <f t="shared" si="4"/>
        <v>0.579726370944267</v>
      </c>
      <c r="O143" s="193">
        <f>P143/$F143</f>
        <v>0.1</v>
      </c>
      <c r="P143" s="194">
        <v>1.0</v>
      </c>
      <c r="Q143" s="195"/>
      <c r="R143" s="196">
        <f>Roles!$D$2</f>
        <v>0.61</v>
      </c>
      <c r="S143" s="196">
        <f>R143*P143</f>
        <v>0.61</v>
      </c>
      <c r="T143" s="193">
        <f>U143/$F143</f>
        <v>1.2</v>
      </c>
      <c r="U143" s="197">
        <v>12</v>
      </c>
      <c r="V143" s="195"/>
      <c r="W143" s="195">
        <f>Roles!$D$8</f>
        <v>0.09</v>
      </c>
      <c r="X143" s="199">
        <f>MIN(U143,1)*Roles!$D$5+MAX(U143-1,0)*W143</f>
        <v>1.43</v>
      </c>
      <c r="Y143" s="193">
        <f>Z143/$F143</f>
        <v>0</v>
      </c>
      <c r="Z143" s="197">
        <v>0.0</v>
      </c>
      <c r="AA143" s="195"/>
      <c r="AB143" s="195">
        <f>Roles!$D$7</f>
        <v>0.12</v>
      </c>
      <c r="AC143" s="199">
        <f>MIN(Z143,1)*Roles!$D$4+MAX(Z143-1,0)*AB143</f>
        <v>0</v>
      </c>
      <c r="AD143" s="193">
        <f>AE143/$F143</f>
        <v>0</v>
      </c>
      <c r="AE143" s="197">
        <v>0.0</v>
      </c>
      <c r="AF143" s="200"/>
      <c r="AG143" s="200">
        <f>Roles!$D$6</f>
        <v>0.1</v>
      </c>
      <c r="AH143" s="199">
        <f>MIN(AE143,1)*Roles!$D$3+MAX(AE143-1,0)*AG143</f>
        <v>0</v>
      </c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 t="shared" si="1"/>
        <v>1</v>
      </c>
      <c r="F144" s="80">
        <v>2.0</v>
      </c>
      <c r="G144" s="105">
        <f t="shared" si="2"/>
        <v>0.00172265288544358</v>
      </c>
      <c r="H144" s="47">
        <f t="shared" si="117"/>
        <v>0.52885443583118</v>
      </c>
      <c r="I144" s="187">
        <f t="shared" si="115"/>
        <v>5</v>
      </c>
      <c r="J144" s="172">
        <f t="shared" si="118"/>
        <v>1526.5</v>
      </c>
      <c r="K144" s="115">
        <f t="shared" si="3"/>
        <v>0.582078169685415</v>
      </c>
      <c r="L144" s="191">
        <f t="shared" si="116"/>
        <v>1.32</v>
      </c>
      <c r="M144" s="172">
        <f t="shared" si="119"/>
        <v>260.22</v>
      </c>
      <c r="N144" s="47">
        <f t="shared" si="4"/>
        <v>0.582682102151862</v>
      </c>
      <c r="O144" s="193">
        <f>P144/$F144</f>
        <v>0.5</v>
      </c>
      <c r="P144" s="194">
        <v>1.0</v>
      </c>
      <c r="Q144" s="195"/>
      <c r="R144" s="196">
        <f>Roles!$D$2</f>
        <v>0.61</v>
      </c>
      <c r="S144" s="196">
        <f>R144*P144</f>
        <v>0.61</v>
      </c>
      <c r="T144" s="193">
        <f>U144/$F144</f>
        <v>2</v>
      </c>
      <c r="U144" s="197">
        <v>4.0</v>
      </c>
      <c r="V144" s="195"/>
      <c r="W144" s="196">
        <f>Roles!$D$8</f>
        <v>0.09</v>
      </c>
      <c r="X144" s="199">
        <f>MIN(U144,1)*Roles!$D$5+MAX(U144-1,0)*W144</f>
        <v>0.71</v>
      </c>
      <c r="Y144" s="193">
        <f>Z144/$F144</f>
        <v>0</v>
      </c>
      <c r="Z144" s="197">
        <v>0.0</v>
      </c>
      <c r="AA144" s="195"/>
      <c r="AB144" s="196">
        <f>Roles!$D$7</f>
        <v>0.12</v>
      </c>
      <c r="AC144" s="199">
        <f>MIN(Z144,1)*Roles!$D$4+MAX(Z144-1,0)*AB144</f>
        <v>0</v>
      </c>
      <c r="AD144" s="193">
        <f>AE144/$F144</f>
        <v>0</v>
      </c>
      <c r="AE144" s="197">
        <v>0.0</v>
      </c>
      <c r="AF144" s="200"/>
      <c r="AG144" s="208">
        <f>Roles!$D$6</f>
        <v>0.1</v>
      </c>
      <c r="AH144" s="199">
        <f>MIN(AE144,1)*Roles!$D$3+MAX(AE144-1,0)*AG144</f>
        <v>0</v>
      </c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 t="shared" si="1"/>
        <v>1</v>
      </c>
      <c r="F145" s="136">
        <v>0.0</v>
      </c>
      <c r="G145" s="105">
        <f t="shared" si="2"/>
        <v>0</v>
      </c>
      <c r="H145" s="115">
        <f t="shared" si="117"/>
        <v>0.52885443583118</v>
      </c>
      <c r="I145" s="110">
        <f>F145</f>
        <v>0</v>
      </c>
      <c r="J145" s="110">
        <f t="shared" si="118"/>
        <v>1526.5</v>
      </c>
      <c r="K145" s="115">
        <f t="shared" si="3"/>
        <v>0.582078169685415</v>
      </c>
      <c r="L145" s="110">
        <v>0.0</v>
      </c>
      <c r="M145" s="110">
        <f t="shared" si="119"/>
        <v>260.22</v>
      </c>
      <c r="N145" s="115">
        <f t="shared" si="4"/>
        <v>0.582682102151862</v>
      </c>
      <c r="O145" s="289"/>
      <c r="P145" s="118"/>
      <c r="Q145" s="119"/>
      <c r="R145" s="119"/>
      <c r="S145" s="119"/>
      <c r="T145" s="119"/>
      <c r="U145" s="195"/>
      <c r="V145" s="119"/>
      <c r="W145" s="119"/>
      <c r="X145" s="119"/>
      <c r="Y145" s="119"/>
      <c r="Z145" s="195"/>
      <c r="AA145" s="119"/>
      <c r="AB145" s="119"/>
      <c r="AC145" s="119"/>
      <c r="AD145" s="116"/>
      <c r="AE145" s="195"/>
      <c r="AF145" s="235"/>
      <c r="AG145" s="235"/>
      <c r="AH145" s="119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 t="shared" si="1"/>
        <v>21</v>
      </c>
      <c r="F146" s="240">
        <f>F147+F154+F160+F166+F170+F174+F179</f>
        <v>219</v>
      </c>
      <c r="G146" s="105">
        <f t="shared" si="2"/>
        <v>0.188630490956072</v>
      </c>
      <c r="H146" s="224">
        <f>H184</f>
        <v>0.717484926787252</v>
      </c>
      <c r="I146" s="241">
        <f>I147+I154+I160+I166+I170+I174+I179</f>
        <v>432</v>
      </c>
      <c r="J146" s="241">
        <f>J184</f>
        <v>1958.5</v>
      </c>
      <c r="K146" s="138">
        <f t="shared" si="3"/>
        <v>0.746806482364156</v>
      </c>
      <c r="L146" s="241">
        <f>L147+L154+L160+L166+L170+L174+L179</f>
        <v>72.39</v>
      </c>
      <c r="M146" s="241">
        <f>M184</f>
        <v>332.61</v>
      </c>
      <c r="N146" s="224">
        <f t="shared" si="4"/>
        <v>0.744777088604761</v>
      </c>
      <c r="O146" s="294"/>
      <c r="P146" s="144"/>
      <c r="Q146" s="149"/>
      <c r="R146" s="149"/>
      <c r="S146" s="149"/>
      <c r="T146" s="149"/>
      <c r="U146" s="195"/>
      <c r="V146" s="149"/>
      <c r="W146" s="149"/>
      <c r="X146" s="149"/>
      <c r="Y146" s="149"/>
      <c r="Z146" s="195"/>
      <c r="AA146" s="149"/>
      <c r="AB146" s="149"/>
      <c r="AC146" s="149"/>
      <c r="AD146" s="142"/>
      <c r="AE146" s="195"/>
      <c r="AF146" s="150"/>
      <c r="AG146" s="150"/>
      <c r="AH146" s="149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 t="shared" si="1"/>
        <v>8</v>
      </c>
      <c r="F147" s="246">
        <f>SUM(F148:F153)</f>
        <v>20</v>
      </c>
      <c r="G147" s="105">
        <f t="shared" si="2"/>
        <v>0.0172265288544358</v>
      </c>
      <c r="H147" s="226">
        <f>H153</f>
        <v>0.546080964685616</v>
      </c>
      <c r="I147" s="247">
        <f>SUM(I148:I153)</f>
        <v>85</v>
      </c>
      <c r="J147" s="247">
        <f>J153</f>
        <v>1611.5</v>
      </c>
      <c r="K147" s="167">
        <f t="shared" si="3"/>
        <v>0.614489990467112</v>
      </c>
      <c r="L147" s="247">
        <f>SUM(L148:L153)</f>
        <v>15.02</v>
      </c>
      <c r="M147" s="247">
        <f>M153</f>
        <v>275.24</v>
      </c>
      <c r="N147" s="167">
        <f t="shared" si="4"/>
        <v>0.616314740589803</v>
      </c>
      <c r="O147" s="173"/>
      <c r="P147" s="174"/>
      <c r="Q147" s="178"/>
      <c r="R147" s="178"/>
      <c r="S147" s="178"/>
      <c r="T147" s="173"/>
      <c r="U147" s="195"/>
      <c r="V147" s="178"/>
      <c r="W147" s="178"/>
      <c r="X147" s="178"/>
      <c r="Y147" s="173"/>
      <c r="Z147" s="195"/>
      <c r="AA147" s="178"/>
      <c r="AB147" s="178"/>
      <c r="AC147" s="178"/>
      <c r="AD147" s="173"/>
      <c r="AE147" s="195"/>
      <c r="AF147" s="180"/>
      <c r="AG147" s="180"/>
      <c r="AH147" s="178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 t="shared" si="1"/>
        <v>2</v>
      </c>
      <c r="F148" s="80">
        <v>4.0</v>
      </c>
      <c r="G148" s="105">
        <f t="shared" si="2"/>
        <v>0.00344530577088717</v>
      </c>
      <c r="H148" s="47">
        <f>H145+G148</f>
        <v>0.532299741602067</v>
      </c>
      <c r="I148" s="187">
        <f t="shared" ref="I148:I153" si="120">P148+U148+Z148+AE148</f>
        <v>19</v>
      </c>
      <c r="J148" s="172">
        <f>J145+I148</f>
        <v>1545.5</v>
      </c>
      <c r="K148" s="115">
        <f t="shared" si="3"/>
        <v>0.58932316491897</v>
      </c>
      <c r="L148" s="191">
        <f t="shared" ref="L148:L153" si="121">S148+X148+AC148+AH148</f>
        <v>3.38</v>
      </c>
      <c r="M148" s="172">
        <f>M145+L148</f>
        <v>263.6</v>
      </c>
      <c r="N148" s="47">
        <f t="shared" si="4"/>
        <v>0.590250565395553</v>
      </c>
      <c r="O148" s="193">
        <f>P148/$F148</f>
        <v>0.25</v>
      </c>
      <c r="P148" s="194">
        <v>1.0</v>
      </c>
      <c r="Q148" s="195"/>
      <c r="R148" s="196">
        <f>Roles!$D$2</f>
        <v>0.61</v>
      </c>
      <c r="S148" s="196">
        <f>R148*P148</f>
        <v>0.61</v>
      </c>
      <c r="T148" s="193">
        <f>U148/$F148</f>
        <v>0.5</v>
      </c>
      <c r="U148" s="197">
        <v>2.0</v>
      </c>
      <c r="V148" s="195"/>
      <c r="W148" s="196">
        <f>Roles!$D$8</f>
        <v>0.09</v>
      </c>
      <c r="X148" s="199">
        <f>MIN(U148,1)*Roles!$D$5+MAX(U148-1,0)*W148</f>
        <v>0.53</v>
      </c>
      <c r="Y148" s="193">
        <f>Z148/$F148</f>
        <v>4</v>
      </c>
      <c r="Z148" s="197">
        <v>16.0</v>
      </c>
      <c r="AA148" s="195"/>
      <c r="AB148" s="196">
        <f>Roles!$D$7</f>
        <v>0.12</v>
      </c>
      <c r="AC148" s="199">
        <f>MIN(Z148,1)*Roles!$D$4+MAX(Z148-1,0)*AB148</f>
        <v>2.24</v>
      </c>
      <c r="AD148" s="193">
        <f>AE148/$F148</f>
        <v>0</v>
      </c>
      <c r="AE148" s="197">
        <v>0.0</v>
      </c>
      <c r="AF148" s="200"/>
      <c r="AG148" s="208">
        <f>Roles!$D$6</f>
        <v>0.1</v>
      </c>
      <c r="AH148" s="199">
        <f>MIN(AE148,1)*Roles!$D$3+MAX(AE148-1,0)*AG148</f>
        <v>0</v>
      </c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 t="shared" si="1"/>
        <v>2</v>
      </c>
      <c r="F149" s="80">
        <v>3.0</v>
      </c>
      <c r="G149" s="105">
        <f t="shared" si="2"/>
        <v>0.00258397932816538</v>
      </c>
      <c r="H149" s="47">
        <f t="shared" ref="H149:H153" si="122">H148+G149</f>
        <v>0.534883720930233</v>
      </c>
      <c r="I149" s="187">
        <f t="shared" si="120"/>
        <v>6</v>
      </c>
      <c r="J149" s="172">
        <f t="shared" ref="J149:J153" si="123">J148+I149</f>
        <v>1551.5</v>
      </c>
      <c r="K149" s="115">
        <f t="shared" si="3"/>
        <v>0.59161105815062</v>
      </c>
      <c r="L149" s="191">
        <f t="shared" si="121"/>
        <v>1.04</v>
      </c>
      <c r="M149" s="172">
        <f t="shared" ref="M149:M153" si="124">M148+L149</f>
        <v>264.64</v>
      </c>
      <c r="N149" s="47">
        <f t="shared" si="4"/>
        <v>0.592579323316689</v>
      </c>
      <c r="O149" s="193">
        <f>P149/$F149</f>
        <v>0</v>
      </c>
      <c r="P149" s="206">
        <v>0.0</v>
      </c>
      <c r="Q149" s="195"/>
      <c r="R149" s="196">
        <f>Roles!$D$2</f>
        <v>0.61</v>
      </c>
      <c r="S149" s="196">
        <f>R149*P149</f>
        <v>0</v>
      </c>
      <c r="T149" s="193">
        <f>U149/$F149</f>
        <v>0</v>
      </c>
      <c r="U149" s="197">
        <v>0.0</v>
      </c>
      <c r="V149" s="195"/>
      <c r="W149" s="196">
        <f>Roles!$D$8</f>
        <v>0.09</v>
      </c>
      <c r="X149" s="199">
        <f>MIN(U149,1)*Roles!$D$5+MAX(U149-1,0)*W149</f>
        <v>0</v>
      </c>
      <c r="Y149" s="193">
        <f>Z149/$F149</f>
        <v>2</v>
      </c>
      <c r="Z149" s="197">
        <v>6.0</v>
      </c>
      <c r="AA149" s="195"/>
      <c r="AB149" s="196">
        <f>Roles!$D$7</f>
        <v>0.12</v>
      </c>
      <c r="AC149" s="199">
        <f>MIN(Z149,1)*Roles!$D$4+MAX(Z149-1,0)*AB149</f>
        <v>1.04</v>
      </c>
      <c r="AD149" s="193">
        <f>AE149/$F149</f>
        <v>0</v>
      </c>
      <c r="AE149" s="197">
        <v>0.0</v>
      </c>
      <c r="AF149" s="200"/>
      <c r="AG149" s="208">
        <f>Roles!$D$6</f>
        <v>0.1</v>
      </c>
      <c r="AH149" s="199">
        <f>MIN(AE149,1)*Roles!$D$3+MAX(AE149-1,0)*AG149</f>
        <v>0</v>
      </c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 t="shared" si="1"/>
        <v>2</v>
      </c>
      <c r="F150" s="80">
        <v>4.0</v>
      </c>
      <c r="G150" s="105">
        <f t="shared" si="2"/>
        <v>0.00344530577088717</v>
      </c>
      <c r="H150" s="47">
        <f t="shared" si="122"/>
        <v>0.53832902670112</v>
      </c>
      <c r="I150" s="187">
        <f t="shared" si="120"/>
        <v>18</v>
      </c>
      <c r="J150" s="172">
        <f t="shared" si="123"/>
        <v>1569.5</v>
      </c>
      <c r="K150" s="115">
        <f t="shared" si="3"/>
        <v>0.598474737845567</v>
      </c>
      <c r="L150" s="191">
        <f t="shared" si="121"/>
        <v>2.78</v>
      </c>
      <c r="M150" s="172">
        <f t="shared" si="124"/>
        <v>267.42</v>
      </c>
      <c r="N150" s="47">
        <f t="shared" si="4"/>
        <v>0.598804272375109</v>
      </c>
      <c r="O150" s="193">
        <f>P150/$F150</f>
        <v>0</v>
      </c>
      <c r="P150" s="206">
        <v>0.0</v>
      </c>
      <c r="Q150" s="195"/>
      <c r="R150" s="196">
        <f>Roles!$D$2</f>
        <v>0.61</v>
      </c>
      <c r="S150" s="196">
        <f>R150*P150</f>
        <v>0</v>
      </c>
      <c r="T150" s="193">
        <f>U150/$F150</f>
        <v>0</v>
      </c>
      <c r="U150" s="197">
        <v>0.0</v>
      </c>
      <c r="V150" s="195"/>
      <c r="W150" s="196">
        <f>Roles!$D$8</f>
        <v>0.09</v>
      </c>
      <c r="X150" s="199">
        <f>MIN(U150,1)*Roles!$D$5+MAX(U150-1,0)*W150</f>
        <v>0</v>
      </c>
      <c r="Y150" s="193">
        <f>Z150/$F150</f>
        <v>4</v>
      </c>
      <c r="Z150" s="197">
        <v>16.0</v>
      </c>
      <c r="AA150" s="195"/>
      <c r="AB150" s="196">
        <f>Roles!$D$7</f>
        <v>0.12</v>
      </c>
      <c r="AC150" s="199">
        <f>MIN(Z150,1)*Roles!$D$4+MAX(Z150-1,0)*AB150</f>
        <v>2.24</v>
      </c>
      <c r="AD150" s="193">
        <f>AE150/$F150</f>
        <v>0.5</v>
      </c>
      <c r="AE150" s="197">
        <v>2.0</v>
      </c>
      <c r="AF150" s="200"/>
      <c r="AG150" s="208">
        <f>Roles!$D$6</f>
        <v>0.1</v>
      </c>
      <c r="AH150" s="199">
        <f>MIN(AE150,1)*Roles!$D$3+MAX(AE150-1,0)*AG150</f>
        <v>0.54</v>
      </c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 t="shared" si="1"/>
        <v>2</v>
      </c>
      <c r="F151" s="80">
        <v>4.0</v>
      </c>
      <c r="G151" s="105">
        <f t="shared" si="2"/>
        <v>0.00344530577088717</v>
      </c>
      <c r="H151" s="47">
        <f t="shared" si="122"/>
        <v>0.541774332472007</v>
      </c>
      <c r="I151" s="187">
        <f t="shared" si="120"/>
        <v>23</v>
      </c>
      <c r="J151" s="172">
        <f t="shared" si="123"/>
        <v>1592.5</v>
      </c>
      <c r="K151" s="115">
        <f t="shared" si="3"/>
        <v>0.607244995233556</v>
      </c>
      <c r="L151" s="191">
        <f t="shared" si="121"/>
        <v>4.12</v>
      </c>
      <c r="M151" s="172">
        <f t="shared" si="124"/>
        <v>271.54</v>
      </c>
      <c r="N151" s="47">
        <f t="shared" si="4"/>
        <v>0.608029736447301</v>
      </c>
      <c r="O151" s="193">
        <f>P151/$F151</f>
        <v>0.25</v>
      </c>
      <c r="P151" s="194">
        <v>1.0</v>
      </c>
      <c r="Q151" s="195"/>
      <c r="R151" s="196">
        <f>Roles!$D$2</f>
        <v>0.61</v>
      </c>
      <c r="S151" s="196">
        <f>R151*P151</f>
        <v>0.61</v>
      </c>
      <c r="T151" s="193">
        <f>U151/$F151</f>
        <v>0.5</v>
      </c>
      <c r="U151" s="197">
        <v>2.0</v>
      </c>
      <c r="V151" s="195"/>
      <c r="W151" s="196">
        <f>Roles!$D$8</f>
        <v>0.09</v>
      </c>
      <c r="X151" s="199">
        <f>MIN(U151,1)*Roles!$D$5+MAX(U151-1,0)*W151</f>
        <v>0.53</v>
      </c>
      <c r="Y151" s="193">
        <f>Z151/$F151</f>
        <v>4</v>
      </c>
      <c r="Z151" s="197">
        <v>16.0</v>
      </c>
      <c r="AA151" s="195"/>
      <c r="AB151" s="196">
        <f>Roles!$D$7</f>
        <v>0.12</v>
      </c>
      <c r="AC151" s="199">
        <f>MIN(Z151,1)*Roles!$D$4+MAX(Z151-1,0)*AB151</f>
        <v>2.24</v>
      </c>
      <c r="AD151" s="193">
        <f>AE151/$F151</f>
        <v>1</v>
      </c>
      <c r="AE151" s="197">
        <v>4.0</v>
      </c>
      <c r="AF151" s="200"/>
      <c r="AG151" s="208">
        <f>Roles!$D$6</f>
        <v>0.1</v>
      </c>
      <c r="AH151" s="199">
        <f>MIN(AE151,1)*Roles!$D$3+MAX(AE151-1,0)*AG151</f>
        <v>0.74</v>
      </c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 t="shared" si="1"/>
        <v>1</v>
      </c>
      <c r="F152" s="80">
        <v>2.0</v>
      </c>
      <c r="G152" s="105">
        <f t="shared" si="2"/>
        <v>0.00172265288544358</v>
      </c>
      <c r="H152" s="47">
        <f t="shared" si="122"/>
        <v>0.543496985357451</v>
      </c>
      <c r="I152" s="187">
        <f t="shared" si="120"/>
        <v>4</v>
      </c>
      <c r="J152" s="172">
        <f t="shared" si="123"/>
        <v>1596.5</v>
      </c>
      <c r="K152" s="115">
        <f t="shared" si="3"/>
        <v>0.608770257387989</v>
      </c>
      <c r="L152" s="191">
        <f t="shared" si="121"/>
        <v>0.8</v>
      </c>
      <c r="M152" s="172">
        <f t="shared" si="124"/>
        <v>272.34</v>
      </c>
      <c r="N152" s="47">
        <f t="shared" si="4"/>
        <v>0.609821088694328</v>
      </c>
      <c r="O152" s="193">
        <f>P152/$F152</f>
        <v>0</v>
      </c>
      <c r="P152" s="206">
        <v>0.0</v>
      </c>
      <c r="Q152" s="195"/>
      <c r="R152" s="196">
        <f>Roles!$D$2</f>
        <v>0.61</v>
      </c>
      <c r="S152" s="196">
        <f>R152*P152</f>
        <v>0</v>
      </c>
      <c r="T152" s="193">
        <f>U152/$F152</f>
        <v>0</v>
      </c>
      <c r="U152" s="197">
        <v>0.0</v>
      </c>
      <c r="V152" s="195"/>
      <c r="W152" s="196">
        <f>Roles!$D$8</f>
        <v>0.09</v>
      </c>
      <c r="X152" s="199">
        <f>MIN(U152,1)*Roles!$D$5+MAX(U152-1,0)*W152</f>
        <v>0</v>
      </c>
      <c r="Y152" s="193">
        <f>Z152/$F152</f>
        <v>2</v>
      </c>
      <c r="Z152" s="197">
        <v>4.0</v>
      </c>
      <c r="AA152" s="195"/>
      <c r="AB152" s="196">
        <f>Roles!$D$7</f>
        <v>0.12</v>
      </c>
      <c r="AC152" s="199">
        <f>MIN(Z152,1)*Roles!$D$4+MAX(Z152-1,0)*AB152</f>
        <v>0.8</v>
      </c>
      <c r="AD152" s="193">
        <f>AE152/$F152</f>
        <v>0</v>
      </c>
      <c r="AE152" s="197">
        <v>0.0</v>
      </c>
      <c r="AF152" s="200"/>
      <c r="AG152" s="208">
        <f>Roles!$D$6</f>
        <v>0.1</v>
      </c>
      <c r="AH152" s="199">
        <f>MIN(AE152,1)*Roles!$D$3+MAX(AE152-1,0)*AG152</f>
        <v>0</v>
      </c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 t="shared" si="1"/>
        <v>2</v>
      </c>
      <c r="F153" s="80">
        <v>3.0</v>
      </c>
      <c r="G153" s="105">
        <f t="shared" si="2"/>
        <v>0.00258397932816538</v>
      </c>
      <c r="H153" s="47">
        <f t="shared" si="122"/>
        <v>0.546080964685616</v>
      </c>
      <c r="I153" s="187">
        <f t="shared" si="120"/>
        <v>15</v>
      </c>
      <c r="J153" s="172">
        <f t="shared" si="123"/>
        <v>1611.5</v>
      </c>
      <c r="K153" s="115">
        <f t="shared" si="3"/>
        <v>0.614489990467112</v>
      </c>
      <c r="L153" s="191">
        <f t="shared" si="121"/>
        <v>2.9</v>
      </c>
      <c r="M153" s="172">
        <f t="shared" si="124"/>
        <v>275.24</v>
      </c>
      <c r="N153" s="47">
        <f t="shared" si="4"/>
        <v>0.616314740589803</v>
      </c>
      <c r="O153" s="193">
        <f>P153/$F153</f>
        <v>0.333333333333333</v>
      </c>
      <c r="P153" s="194">
        <v>1.0</v>
      </c>
      <c r="Q153" s="195"/>
      <c r="R153" s="196">
        <f>Roles!$D$2</f>
        <v>0.61</v>
      </c>
      <c r="S153" s="196">
        <f>R153*P153</f>
        <v>0.61</v>
      </c>
      <c r="T153" s="193">
        <f>U153/$F153</f>
        <v>0.666666666666667</v>
      </c>
      <c r="U153" s="197">
        <v>2.0</v>
      </c>
      <c r="V153" s="195"/>
      <c r="W153" s="196">
        <f>Roles!$D$8</f>
        <v>0.09</v>
      </c>
      <c r="X153" s="199">
        <f>MIN(U153,1)*Roles!$D$5+MAX(U153-1,0)*W153</f>
        <v>0.53</v>
      </c>
      <c r="Y153" s="193">
        <f>Z153/$F153</f>
        <v>4</v>
      </c>
      <c r="Z153" s="197">
        <v>12.0</v>
      </c>
      <c r="AA153" s="195"/>
      <c r="AB153" s="196">
        <f>Roles!$D$7</f>
        <v>0.12</v>
      </c>
      <c r="AC153" s="199">
        <f>MIN(Z153,1)*Roles!$D$4+MAX(Z153-1,0)*AB153</f>
        <v>1.76</v>
      </c>
      <c r="AD153" s="193">
        <f>AE153/$F153</f>
        <v>0</v>
      </c>
      <c r="AE153" s="197">
        <v>0.0</v>
      </c>
      <c r="AF153" s="200"/>
      <c r="AG153" s="208">
        <f>Roles!$D$6</f>
        <v>0.1</v>
      </c>
      <c r="AH153" s="199">
        <f>MIN(AE153,1)*Roles!$D$3+MAX(AE153-1,0)*AG153</f>
        <v>0</v>
      </c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 t="shared" si="1"/>
        <v>7</v>
      </c>
      <c r="F154" s="246">
        <f>SUM(F155:F159)</f>
        <v>13</v>
      </c>
      <c r="G154" s="105">
        <f t="shared" si="2"/>
        <v>0.0111972437553833</v>
      </c>
      <c r="H154" s="226">
        <f>H159</f>
        <v>0.557278208440999</v>
      </c>
      <c r="I154" s="247">
        <f>SUM(I155:I159)</f>
        <v>48</v>
      </c>
      <c r="J154" s="247">
        <f>J159</f>
        <v>1659.5</v>
      </c>
      <c r="K154" s="167">
        <f t="shared" si="3"/>
        <v>0.632793136320305</v>
      </c>
      <c r="L154" s="247">
        <f>SUM(L155:L159)</f>
        <v>8.91</v>
      </c>
      <c r="M154" s="247">
        <f>M159</f>
        <v>284.15</v>
      </c>
      <c r="N154" s="167">
        <f t="shared" si="4"/>
        <v>0.636265926241071</v>
      </c>
      <c r="O154" s="173"/>
      <c r="P154" s="174"/>
      <c r="Q154" s="178"/>
      <c r="R154" s="178"/>
      <c r="S154" s="178"/>
      <c r="T154" s="173"/>
      <c r="U154" s="195"/>
      <c r="V154" s="178"/>
      <c r="W154" s="178"/>
      <c r="X154" s="178"/>
      <c r="Y154" s="173"/>
      <c r="Z154" s="195"/>
      <c r="AA154" s="178"/>
      <c r="AB154" s="178"/>
      <c r="AC154" s="178"/>
      <c r="AD154" s="173"/>
      <c r="AE154" s="195"/>
      <c r="AF154" s="180"/>
      <c r="AG154" s="180"/>
      <c r="AH154" s="178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 t="shared" si="1"/>
        <v>2</v>
      </c>
      <c r="F155" s="80">
        <v>3.0</v>
      </c>
      <c r="G155" s="105">
        <f t="shared" si="2"/>
        <v>0.00258397932816538</v>
      </c>
      <c r="H155" s="47">
        <f>H153+G155</f>
        <v>0.548664944013781</v>
      </c>
      <c r="I155" s="187">
        <f t="shared" ref="I155:I159" si="125">P155+U155+Z155+AE155</f>
        <v>12</v>
      </c>
      <c r="J155" s="172">
        <f>J153+I155</f>
        <v>1623.5</v>
      </c>
      <c r="K155" s="115">
        <f t="shared" si="3"/>
        <v>0.61906577693041</v>
      </c>
      <c r="L155" s="191">
        <f t="shared" ref="L155:L159" si="126">S155+X155+AC155+AH155</f>
        <v>1.76</v>
      </c>
      <c r="M155" s="172">
        <f>M153+L155</f>
        <v>277</v>
      </c>
      <c r="N155" s="47">
        <f t="shared" si="4"/>
        <v>0.620255715533263</v>
      </c>
      <c r="O155" s="193">
        <f>P155/$F155</f>
        <v>0</v>
      </c>
      <c r="P155" s="206">
        <v>0.0</v>
      </c>
      <c r="Q155" s="195"/>
      <c r="R155" s="196">
        <f>Roles!$D$2</f>
        <v>0.61</v>
      </c>
      <c r="S155" s="196">
        <f>R155*P155</f>
        <v>0</v>
      </c>
      <c r="T155" s="193">
        <f>U155/$F155</f>
        <v>0</v>
      </c>
      <c r="U155" s="197">
        <v>0.0</v>
      </c>
      <c r="V155" s="195"/>
      <c r="W155" s="196">
        <f>Roles!$D$8</f>
        <v>0.09</v>
      </c>
      <c r="X155" s="199">
        <f>MIN(U155,1)*Roles!$D$5+MAX(U155-1,0)*W155</f>
        <v>0</v>
      </c>
      <c r="Y155" s="193">
        <f>Z155/$F155</f>
        <v>4</v>
      </c>
      <c r="Z155" s="197">
        <v>12.0</v>
      </c>
      <c r="AA155" s="195"/>
      <c r="AB155" s="196">
        <f>Roles!$D$7</f>
        <v>0.12</v>
      </c>
      <c r="AC155" s="199">
        <f>MIN(Z155,1)*Roles!$D$4+MAX(Z155-1,0)*AB155</f>
        <v>1.76</v>
      </c>
      <c r="AD155" s="193">
        <f>AE155/$F155</f>
        <v>0</v>
      </c>
      <c r="AE155" s="197">
        <v>0.0</v>
      </c>
      <c r="AF155" s="200"/>
      <c r="AG155" s="208">
        <f>Roles!$D$6</f>
        <v>0.1</v>
      </c>
      <c r="AH155" s="199">
        <f>MIN(AE155,1)*Roles!$D$3+MAX(AE155-1,0)*AG155</f>
        <v>0</v>
      </c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 t="shared" si="1"/>
        <v>2</v>
      </c>
      <c r="F156" s="80">
        <v>3.0</v>
      </c>
      <c r="G156" s="105">
        <f t="shared" si="2"/>
        <v>0.00258397932816538</v>
      </c>
      <c r="H156" s="47">
        <f t="shared" ref="H156:H159" si="127">H155+G156</f>
        <v>0.551248923341947</v>
      </c>
      <c r="I156" s="187">
        <f t="shared" si="125"/>
        <v>12</v>
      </c>
      <c r="J156" s="172">
        <f t="shared" ref="J156:J159" si="128">J155+I156</f>
        <v>1635.5</v>
      </c>
      <c r="K156" s="115">
        <f t="shared" si="3"/>
        <v>0.623641563393708</v>
      </c>
      <c r="L156" s="191">
        <f t="shared" si="126"/>
        <v>2.76</v>
      </c>
      <c r="M156" s="172">
        <f t="shared" ref="M156:M159" si="129">M155+L156</f>
        <v>279.76</v>
      </c>
      <c r="N156" s="47">
        <f t="shared" si="4"/>
        <v>0.626435880785508</v>
      </c>
      <c r="O156" s="193">
        <f>P156/$F156</f>
        <v>0.333333333333333</v>
      </c>
      <c r="P156" s="194">
        <v>1.0</v>
      </c>
      <c r="Q156" s="195"/>
      <c r="R156" s="196">
        <f>Roles!$D$2</f>
        <v>0.61</v>
      </c>
      <c r="S156" s="196">
        <f>R156*P156</f>
        <v>0.61</v>
      </c>
      <c r="T156" s="193">
        <f>U156/$F156</f>
        <v>0.666666666666667</v>
      </c>
      <c r="U156" s="197">
        <v>2.0</v>
      </c>
      <c r="V156" s="195"/>
      <c r="W156" s="196">
        <f>Roles!$D$8</f>
        <v>0.09</v>
      </c>
      <c r="X156" s="199">
        <f>MIN(U156,1)*Roles!$D$5+MAX(U156-1,0)*W156</f>
        <v>0.53</v>
      </c>
      <c r="Y156" s="193">
        <f>Z156/$F156</f>
        <v>1</v>
      </c>
      <c r="Z156" s="197">
        <v>3.0</v>
      </c>
      <c r="AA156" s="195"/>
      <c r="AB156" s="196">
        <f>Roles!$D$7</f>
        <v>0.12</v>
      </c>
      <c r="AC156" s="199">
        <f>MIN(Z156,1)*Roles!$D$4+MAX(Z156-1,0)*AB156</f>
        <v>0.68</v>
      </c>
      <c r="AD156" s="193">
        <f>AE156/$F156</f>
        <v>2</v>
      </c>
      <c r="AE156" s="197">
        <v>6.0</v>
      </c>
      <c r="AF156" s="200"/>
      <c r="AG156" s="208">
        <f>Roles!$D$6</f>
        <v>0.1</v>
      </c>
      <c r="AH156" s="199">
        <f>MIN(AE156,1)*Roles!$D$3+MAX(AE156-1,0)*AG156</f>
        <v>0.94</v>
      </c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 t="shared" si="1"/>
        <v>2</v>
      </c>
      <c r="F157" s="80">
        <v>2.0</v>
      </c>
      <c r="G157" s="105">
        <f t="shared" si="2"/>
        <v>0.00172265288544358</v>
      </c>
      <c r="H157" s="47">
        <f t="shared" si="127"/>
        <v>0.55297157622739</v>
      </c>
      <c r="I157" s="187">
        <f t="shared" si="125"/>
        <v>6</v>
      </c>
      <c r="J157" s="172">
        <f t="shared" si="128"/>
        <v>1641.5</v>
      </c>
      <c r="K157" s="115">
        <f t="shared" si="3"/>
        <v>0.625929456625358</v>
      </c>
      <c r="L157" s="191">
        <f t="shared" si="126"/>
        <v>1.3</v>
      </c>
      <c r="M157" s="172">
        <f t="shared" si="129"/>
        <v>281.06</v>
      </c>
      <c r="N157" s="47">
        <f t="shared" si="4"/>
        <v>0.629346828186928</v>
      </c>
      <c r="O157" s="193">
        <f>P157/$F157</f>
        <v>0</v>
      </c>
      <c r="P157" s="206">
        <v>0.0</v>
      </c>
      <c r="Q157" s="195"/>
      <c r="R157" s="196">
        <f>Roles!$D$2</f>
        <v>0.61</v>
      </c>
      <c r="S157" s="196">
        <f>R157*P157</f>
        <v>0</v>
      </c>
      <c r="T157" s="193">
        <f>U157/$F157</f>
        <v>0</v>
      </c>
      <c r="U157" s="197">
        <v>0.0</v>
      </c>
      <c r="V157" s="195"/>
      <c r="W157" s="196">
        <f>Roles!$D$8</f>
        <v>0.09</v>
      </c>
      <c r="X157" s="199">
        <f>MIN(U157,1)*Roles!$D$5+MAX(U157-1,0)*W157</f>
        <v>0</v>
      </c>
      <c r="Y157" s="193">
        <f>Z157/$F157</f>
        <v>1</v>
      </c>
      <c r="Z157" s="197">
        <v>2.0</v>
      </c>
      <c r="AA157" s="195"/>
      <c r="AB157" s="196">
        <f>Roles!$D$7</f>
        <v>0.12</v>
      </c>
      <c r="AC157" s="199">
        <f>MIN(Z157,1)*Roles!$D$4+MAX(Z157-1,0)*AB157</f>
        <v>0.56</v>
      </c>
      <c r="AD157" s="193">
        <f>AE157/$F157</f>
        <v>2</v>
      </c>
      <c r="AE157" s="197">
        <v>4.0</v>
      </c>
      <c r="AF157" s="200"/>
      <c r="AG157" s="208">
        <f>Roles!$D$6</f>
        <v>0.1</v>
      </c>
      <c r="AH157" s="199">
        <f>MIN(AE157,1)*Roles!$D$3+MAX(AE157-1,0)*AG157</f>
        <v>0.74</v>
      </c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 t="shared" si="1"/>
        <v>2</v>
      </c>
      <c r="F158" s="80">
        <v>3.0</v>
      </c>
      <c r="G158" s="105">
        <f t="shared" si="2"/>
        <v>0.00258397932816538</v>
      </c>
      <c r="H158" s="47">
        <f t="shared" si="127"/>
        <v>0.555555555555556</v>
      </c>
      <c r="I158" s="187">
        <f t="shared" si="125"/>
        <v>12</v>
      </c>
      <c r="J158" s="172">
        <f t="shared" si="128"/>
        <v>1653.5</v>
      </c>
      <c r="K158" s="115">
        <f t="shared" si="3"/>
        <v>0.630505243088656</v>
      </c>
      <c r="L158" s="191">
        <f t="shared" si="126"/>
        <v>1.76</v>
      </c>
      <c r="M158" s="172">
        <f t="shared" si="129"/>
        <v>282.82</v>
      </c>
      <c r="N158" s="47">
        <f t="shared" si="4"/>
        <v>0.633287803130388</v>
      </c>
      <c r="O158" s="193">
        <f>P158/$F158</f>
        <v>0</v>
      </c>
      <c r="P158" s="206">
        <v>0.0</v>
      </c>
      <c r="Q158" s="195"/>
      <c r="R158" s="196">
        <f>Roles!$D$2</f>
        <v>0.61</v>
      </c>
      <c r="S158" s="196">
        <f>R158*P158</f>
        <v>0</v>
      </c>
      <c r="T158" s="193">
        <f>U158/$F158</f>
        <v>0</v>
      </c>
      <c r="U158" s="197">
        <v>0.0</v>
      </c>
      <c r="V158" s="195"/>
      <c r="W158" s="196">
        <f>Roles!$D$8</f>
        <v>0.09</v>
      </c>
      <c r="X158" s="199">
        <f>MIN(U158,1)*Roles!$D$5+MAX(U158-1,0)*W158</f>
        <v>0</v>
      </c>
      <c r="Y158" s="193">
        <f>Z158/$F158</f>
        <v>4</v>
      </c>
      <c r="Z158" s="197">
        <v>12.0</v>
      </c>
      <c r="AA158" s="195"/>
      <c r="AB158" s="196">
        <f>Roles!$D$7</f>
        <v>0.12</v>
      </c>
      <c r="AC158" s="199">
        <f>MIN(Z158,1)*Roles!$D$4+MAX(Z158-1,0)*AB158</f>
        <v>1.76</v>
      </c>
      <c r="AD158" s="193">
        <f>AE158/$F158</f>
        <v>0</v>
      </c>
      <c r="AE158" s="197">
        <v>0.0</v>
      </c>
      <c r="AF158" s="200"/>
      <c r="AG158" s="208">
        <f>Roles!$D$6</f>
        <v>0.1</v>
      </c>
      <c r="AH158" s="199">
        <f>MIN(AE158,1)*Roles!$D$3+MAX(AE158-1,0)*AG158</f>
        <v>0</v>
      </c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 t="shared" si="1"/>
        <v>2</v>
      </c>
      <c r="F159" s="80">
        <v>2.0</v>
      </c>
      <c r="G159" s="105">
        <f t="shared" si="2"/>
        <v>0.00172265288544358</v>
      </c>
      <c r="H159" s="47">
        <f t="shared" si="127"/>
        <v>0.557278208440999</v>
      </c>
      <c r="I159" s="187">
        <f t="shared" si="125"/>
        <v>6</v>
      </c>
      <c r="J159" s="172">
        <f t="shared" si="128"/>
        <v>1659.5</v>
      </c>
      <c r="K159" s="115">
        <f t="shared" si="3"/>
        <v>0.632793136320305</v>
      </c>
      <c r="L159" s="191">
        <f t="shared" si="126"/>
        <v>1.33</v>
      </c>
      <c r="M159" s="172">
        <f t="shared" si="129"/>
        <v>284.15</v>
      </c>
      <c r="N159" s="47">
        <f t="shared" si="4"/>
        <v>0.636265926241071</v>
      </c>
      <c r="O159" s="193">
        <f>P159/$F159</f>
        <v>0</v>
      </c>
      <c r="P159" s="206">
        <v>0.0</v>
      </c>
      <c r="Q159" s="195"/>
      <c r="R159" s="196">
        <f>Roles!$D$2</f>
        <v>0.61</v>
      </c>
      <c r="S159" s="196">
        <f>R159*P159</f>
        <v>0</v>
      </c>
      <c r="T159" s="193">
        <f>U159/$F159</f>
        <v>1</v>
      </c>
      <c r="U159" s="197">
        <v>2.0</v>
      </c>
      <c r="V159" s="195"/>
      <c r="W159" s="196">
        <f>Roles!$D$8</f>
        <v>0.09</v>
      </c>
      <c r="X159" s="199">
        <f>MIN(U159,1)*Roles!$D$5+MAX(U159-1,0)*W159</f>
        <v>0.53</v>
      </c>
      <c r="Y159" s="193">
        <f>Z159/$F159</f>
        <v>2</v>
      </c>
      <c r="Z159" s="197">
        <v>4.0</v>
      </c>
      <c r="AA159" s="195"/>
      <c r="AB159" s="196">
        <f>Roles!$D$7</f>
        <v>0.12</v>
      </c>
      <c r="AC159" s="199">
        <f>MIN(Z159,1)*Roles!$D$4+MAX(Z159-1,0)*AB159</f>
        <v>0.8</v>
      </c>
      <c r="AD159" s="193">
        <f>AE159/$F159</f>
        <v>0</v>
      </c>
      <c r="AE159" s="197">
        <v>0.0</v>
      </c>
      <c r="AF159" s="200"/>
      <c r="AG159" s="208">
        <f>Roles!$D$6</f>
        <v>0.1</v>
      </c>
      <c r="AH159" s="199">
        <f>MIN(AE159,1)*Roles!$D$3+MAX(AE159-1,0)*AG159</f>
        <v>0</v>
      </c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 t="shared" si="1"/>
        <v>17</v>
      </c>
      <c r="F160" s="246">
        <f>SUM(F161:F165)</f>
        <v>17</v>
      </c>
      <c r="G160" s="105">
        <f t="shared" si="2"/>
        <v>0.0146425495262705</v>
      </c>
      <c r="H160" s="226">
        <f>H165</f>
        <v>0.57192075796727</v>
      </c>
      <c r="I160" s="247">
        <f>SUM(I161:I165)</f>
        <v>66</v>
      </c>
      <c r="J160" s="247">
        <f>J165</f>
        <v>1725.5</v>
      </c>
      <c r="K160" s="167">
        <f t="shared" si="3"/>
        <v>0.657959961868446</v>
      </c>
      <c r="L160" s="247">
        <f>SUM(L161:L165)</f>
        <v>11.09</v>
      </c>
      <c r="M160" s="247">
        <f>M165</f>
        <v>295.24</v>
      </c>
      <c r="N160" s="167">
        <f t="shared" si="4"/>
        <v>0.66109854676549</v>
      </c>
      <c r="O160" s="173"/>
      <c r="P160" s="174"/>
      <c r="Q160" s="178"/>
      <c r="R160" s="178"/>
      <c r="S160" s="178"/>
      <c r="T160" s="173"/>
      <c r="U160" s="195"/>
      <c r="V160" s="178"/>
      <c r="W160" s="178"/>
      <c r="X160" s="178"/>
      <c r="Y160" s="173"/>
      <c r="Z160" s="195"/>
      <c r="AA160" s="178"/>
      <c r="AB160" s="178"/>
      <c r="AC160" s="178"/>
      <c r="AD160" s="173"/>
      <c r="AE160" s="195"/>
      <c r="AF160" s="180"/>
      <c r="AG160" s="180"/>
      <c r="AH160" s="178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 t="shared" si="1"/>
        <v>2</v>
      </c>
      <c r="F161" s="80">
        <v>3.0</v>
      </c>
      <c r="G161" s="105">
        <f t="shared" si="2"/>
        <v>0.00258397932816538</v>
      </c>
      <c r="H161" s="47">
        <f>H159+G161</f>
        <v>0.559862187769164</v>
      </c>
      <c r="I161" s="187">
        <f t="shared" ref="I161:I165" si="130">P161+U161+Z161+AE161</f>
        <v>12</v>
      </c>
      <c r="J161" s="172">
        <f>J159+I161</f>
        <v>1671.5</v>
      </c>
      <c r="K161" s="115">
        <f t="shared" si="3"/>
        <v>0.637368922783604</v>
      </c>
      <c r="L161" s="191">
        <f t="shared" ref="L161:L165" si="131">S161+X161+AC161+AH161</f>
        <v>1.76</v>
      </c>
      <c r="M161" s="172">
        <f>M159+L161</f>
        <v>285.91</v>
      </c>
      <c r="N161" s="47">
        <f t="shared" si="4"/>
        <v>0.640206901184532</v>
      </c>
      <c r="O161" s="193">
        <f>P161/$F161</f>
        <v>0</v>
      </c>
      <c r="P161" s="206">
        <v>0.0</v>
      </c>
      <c r="Q161" s="195"/>
      <c r="R161" s="196">
        <f>Roles!$D$2</f>
        <v>0.61</v>
      </c>
      <c r="S161" s="196">
        <f>R161*P161</f>
        <v>0</v>
      </c>
      <c r="T161" s="193">
        <f>U161/$F161</f>
        <v>0</v>
      </c>
      <c r="U161" s="197">
        <v>0.0</v>
      </c>
      <c r="V161" s="195"/>
      <c r="W161" s="196">
        <f>Roles!$D$8</f>
        <v>0.09</v>
      </c>
      <c r="X161" s="199">
        <f>MIN(U161,1)*Roles!$D$5+MAX(U161-1,0)*W161</f>
        <v>0</v>
      </c>
      <c r="Y161" s="193">
        <f>Z161/$F161</f>
        <v>4</v>
      </c>
      <c r="Z161" s="197">
        <v>12.0</v>
      </c>
      <c r="AA161" s="195"/>
      <c r="AB161" s="196">
        <f>Roles!$D$7</f>
        <v>0.12</v>
      </c>
      <c r="AC161" s="199">
        <f>MIN(Z161,1)*Roles!$D$4+MAX(Z161-1,0)*AB161</f>
        <v>1.76</v>
      </c>
      <c r="AD161" s="193">
        <f>AE161/$F161</f>
        <v>0</v>
      </c>
      <c r="AE161" s="197">
        <v>0.0</v>
      </c>
      <c r="AF161" s="200"/>
      <c r="AG161" s="208">
        <f>Roles!$D$6</f>
        <v>0.1</v>
      </c>
      <c r="AH161" s="199">
        <f>MIN(AE161,1)*Roles!$D$3+MAX(AE161-1,0)*AG161</f>
        <v>0</v>
      </c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 t="shared" si="1"/>
        <v>3</v>
      </c>
      <c r="F162" s="80">
        <v>4.0</v>
      </c>
      <c r="G162" s="105">
        <f t="shared" si="2"/>
        <v>0.00344530577088717</v>
      </c>
      <c r="H162" s="47">
        <f t="shared" ref="H162:H165" si="132">H161+G162</f>
        <v>0.563307493540052</v>
      </c>
      <c r="I162" s="187">
        <f t="shared" si="130"/>
        <v>16</v>
      </c>
      <c r="J162" s="172">
        <f t="shared" ref="J162:J165" si="133">J161+I162</f>
        <v>1687.5</v>
      </c>
      <c r="K162" s="115">
        <f t="shared" si="3"/>
        <v>0.643469971401335</v>
      </c>
      <c r="L162" s="191">
        <f t="shared" si="131"/>
        <v>2.24</v>
      </c>
      <c r="M162" s="172">
        <f t="shared" ref="M162:M165" si="134">M161+L162</f>
        <v>288.15</v>
      </c>
      <c r="N162" s="47">
        <f t="shared" si="4"/>
        <v>0.645222687476209</v>
      </c>
      <c r="O162" s="193">
        <f>P162/$F162</f>
        <v>0</v>
      </c>
      <c r="P162" s="206">
        <v>0.0</v>
      </c>
      <c r="Q162" s="195"/>
      <c r="R162" s="196">
        <f>Roles!$D$2</f>
        <v>0.61</v>
      </c>
      <c r="S162" s="196">
        <f>R162*P162</f>
        <v>0</v>
      </c>
      <c r="T162" s="193">
        <f>U162/$F162</f>
        <v>0</v>
      </c>
      <c r="U162" s="197">
        <v>0.0</v>
      </c>
      <c r="V162" s="195"/>
      <c r="W162" s="196">
        <f>Roles!$D$8</f>
        <v>0.09</v>
      </c>
      <c r="X162" s="199">
        <f>MIN(U162,1)*Roles!$D$5+MAX(U162-1,0)*W162</f>
        <v>0</v>
      </c>
      <c r="Y162" s="193">
        <f>Z162/$F162</f>
        <v>4</v>
      </c>
      <c r="Z162" s="197">
        <v>16.0</v>
      </c>
      <c r="AA162" s="195"/>
      <c r="AB162" s="196">
        <f>Roles!$D$7</f>
        <v>0.12</v>
      </c>
      <c r="AC162" s="199">
        <f>MIN(Z162,1)*Roles!$D$4+MAX(Z162-1,0)*AB162</f>
        <v>2.24</v>
      </c>
      <c r="AD162" s="193">
        <f>AE162/$F162</f>
        <v>0</v>
      </c>
      <c r="AE162" s="197">
        <v>0.0</v>
      </c>
      <c r="AF162" s="200"/>
      <c r="AG162" s="208">
        <f>Roles!$D$6</f>
        <v>0.1</v>
      </c>
      <c r="AH162" s="199">
        <f>MIN(AE162,1)*Roles!$D$3+MAX(AE162-1,0)*AG162</f>
        <v>0</v>
      </c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 t="shared" si="1"/>
        <v>2</v>
      </c>
      <c r="F163" s="80">
        <v>3.0</v>
      </c>
      <c r="G163" s="105">
        <f t="shared" si="2"/>
        <v>0.00258397932816538</v>
      </c>
      <c r="H163" s="47">
        <f t="shared" si="132"/>
        <v>0.565891472868217</v>
      </c>
      <c r="I163" s="187">
        <f t="shared" si="130"/>
        <v>6</v>
      </c>
      <c r="J163" s="172">
        <f t="shared" si="133"/>
        <v>1693.5</v>
      </c>
      <c r="K163" s="115">
        <f t="shared" si="3"/>
        <v>0.645757864632984</v>
      </c>
      <c r="L163" s="191">
        <f t="shared" si="131"/>
        <v>1.34</v>
      </c>
      <c r="M163" s="172">
        <f t="shared" si="134"/>
        <v>289.49</v>
      </c>
      <c r="N163" s="47">
        <f t="shared" si="4"/>
        <v>0.64822320248998</v>
      </c>
      <c r="O163" s="193">
        <f>P163/$F163</f>
        <v>0</v>
      </c>
      <c r="P163" s="206">
        <v>0.0</v>
      </c>
      <c r="Q163" s="195"/>
      <c r="R163" s="196">
        <f>Roles!$D$2</f>
        <v>0.61</v>
      </c>
      <c r="S163" s="196">
        <f>R163*P163</f>
        <v>0</v>
      </c>
      <c r="T163" s="193">
        <f>U163/$F163</f>
        <v>0</v>
      </c>
      <c r="U163" s="197">
        <v>0.0</v>
      </c>
      <c r="V163" s="195"/>
      <c r="W163" s="196">
        <f>Roles!$D$8</f>
        <v>0.09</v>
      </c>
      <c r="X163" s="199">
        <f>MIN(U163,1)*Roles!$D$5+MAX(U163-1,0)*W163</f>
        <v>0</v>
      </c>
      <c r="Y163" s="193">
        <f>Z163/$F163</f>
        <v>1.33333333333333</v>
      </c>
      <c r="Z163" s="197">
        <v>4.0</v>
      </c>
      <c r="AA163" s="195"/>
      <c r="AB163" s="196">
        <f>Roles!$D$7</f>
        <v>0.12</v>
      </c>
      <c r="AC163" s="199">
        <f>MIN(Z163,1)*Roles!$D$4+MAX(Z163-1,0)*AB163</f>
        <v>0.8</v>
      </c>
      <c r="AD163" s="193">
        <f>AE163/$F163</f>
        <v>0.666666666666667</v>
      </c>
      <c r="AE163" s="197">
        <v>2.0</v>
      </c>
      <c r="AF163" s="200"/>
      <c r="AG163" s="208">
        <f>Roles!$D$6</f>
        <v>0.1</v>
      </c>
      <c r="AH163" s="199">
        <f>MIN(AE163,1)*Roles!$D$3+MAX(AE163-1,0)*AG163</f>
        <v>0.54</v>
      </c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 t="shared" si="1"/>
        <v>3</v>
      </c>
      <c r="F164" s="80">
        <v>4.0</v>
      </c>
      <c r="G164" s="105">
        <f t="shared" si="2"/>
        <v>0.00344530577088717</v>
      </c>
      <c r="H164" s="47">
        <f t="shared" si="132"/>
        <v>0.569336778639104</v>
      </c>
      <c r="I164" s="187">
        <f t="shared" si="130"/>
        <v>19</v>
      </c>
      <c r="J164" s="172">
        <f t="shared" si="133"/>
        <v>1712.5</v>
      </c>
      <c r="K164" s="115">
        <f t="shared" si="3"/>
        <v>0.65300285986654</v>
      </c>
      <c r="L164" s="191">
        <f t="shared" si="131"/>
        <v>3.38</v>
      </c>
      <c r="M164" s="172">
        <f t="shared" si="134"/>
        <v>292.87</v>
      </c>
      <c r="N164" s="47">
        <f t="shared" si="4"/>
        <v>0.655791665733671</v>
      </c>
      <c r="O164" s="193">
        <f>P164/$F164</f>
        <v>0.25</v>
      </c>
      <c r="P164" s="194">
        <v>1.0</v>
      </c>
      <c r="Q164" s="195"/>
      <c r="R164" s="196">
        <f>Roles!$D$2</f>
        <v>0.61</v>
      </c>
      <c r="S164" s="196">
        <f>R164*P164</f>
        <v>0.61</v>
      </c>
      <c r="T164" s="193">
        <f>U164/$F164</f>
        <v>0.5</v>
      </c>
      <c r="U164" s="197">
        <v>2.0</v>
      </c>
      <c r="V164" s="195"/>
      <c r="W164" s="196">
        <f>Roles!$D$8</f>
        <v>0.09</v>
      </c>
      <c r="X164" s="199">
        <f>MIN(U164,1)*Roles!$D$5+MAX(U164-1,0)*W164</f>
        <v>0.53</v>
      </c>
      <c r="Y164" s="193">
        <f>Z164/$F164</f>
        <v>4</v>
      </c>
      <c r="Z164" s="197">
        <v>16.0</v>
      </c>
      <c r="AA164" s="195"/>
      <c r="AB164" s="196">
        <f>Roles!$D$7</f>
        <v>0.12</v>
      </c>
      <c r="AC164" s="199">
        <f>MIN(Z164,1)*Roles!$D$4+MAX(Z164-1,0)*AB164</f>
        <v>2.24</v>
      </c>
      <c r="AD164" s="193">
        <f>AE164/$F164</f>
        <v>0</v>
      </c>
      <c r="AE164" s="197">
        <v>0.0</v>
      </c>
      <c r="AF164" s="200"/>
      <c r="AG164" s="208">
        <f>Roles!$D$6</f>
        <v>0.1</v>
      </c>
      <c r="AH164" s="199">
        <f>MIN(AE164,1)*Roles!$D$3+MAX(AE164-1,0)*AG164</f>
        <v>0</v>
      </c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 t="shared" si="1"/>
        <v>2</v>
      </c>
      <c r="F165" s="80">
        <v>3.0</v>
      </c>
      <c r="G165" s="105">
        <f t="shared" si="2"/>
        <v>0.00258397932816538</v>
      </c>
      <c r="H165" s="47">
        <f t="shared" si="132"/>
        <v>0.57192075796727</v>
      </c>
      <c r="I165" s="187">
        <f t="shared" si="130"/>
        <v>13</v>
      </c>
      <c r="J165" s="172">
        <f t="shared" si="133"/>
        <v>1725.5</v>
      </c>
      <c r="K165" s="115">
        <f t="shared" si="3"/>
        <v>0.657959961868446</v>
      </c>
      <c r="L165" s="191">
        <f t="shared" si="131"/>
        <v>2.37</v>
      </c>
      <c r="M165" s="172">
        <f t="shared" si="134"/>
        <v>295.24</v>
      </c>
      <c r="N165" s="47">
        <f t="shared" si="4"/>
        <v>0.66109854676549</v>
      </c>
      <c r="O165" s="193">
        <f>P165/$F165</f>
        <v>0.333333333333333</v>
      </c>
      <c r="P165" s="194">
        <v>1.0</v>
      </c>
      <c r="Q165" s="195"/>
      <c r="R165" s="196">
        <f>Roles!$D$2</f>
        <v>0.61</v>
      </c>
      <c r="S165" s="196">
        <f>R165*P165</f>
        <v>0.61</v>
      </c>
      <c r="T165" s="193">
        <f>U165/$F165</f>
        <v>0</v>
      </c>
      <c r="U165" s="197">
        <v>0.0</v>
      </c>
      <c r="V165" s="195"/>
      <c r="W165" s="196">
        <f>Roles!$D$8</f>
        <v>0.09</v>
      </c>
      <c r="X165" s="199">
        <f>MIN(U165,1)*Roles!$D$5+MAX(U165-1,0)*W165</f>
        <v>0</v>
      </c>
      <c r="Y165" s="193">
        <f>Z165/$F165</f>
        <v>4</v>
      </c>
      <c r="Z165" s="197">
        <v>12.0</v>
      </c>
      <c r="AA165" s="195"/>
      <c r="AB165" s="196">
        <f>Roles!$D$7</f>
        <v>0.12</v>
      </c>
      <c r="AC165" s="199">
        <f>MIN(Z165,1)*Roles!$D$4+MAX(Z165-1,0)*AB165</f>
        <v>1.76</v>
      </c>
      <c r="AD165" s="193">
        <f>AE165/$F165</f>
        <v>0</v>
      </c>
      <c r="AE165" s="197">
        <v>0.0</v>
      </c>
      <c r="AF165" s="200"/>
      <c r="AG165" s="208">
        <f>Roles!$D$6</f>
        <v>0.1</v>
      </c>
      <c r="AH165" s="199">
        <f>MIN(AE165,1)*Roles!$D$3+MAX(AE165-1,0)*AG165</f>
        <v>0</v>
      </c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 t="shared" si="1"/>
        <v>8</v>
      </c>
      <c r="F166" s="246">
        <f>SUM(F167:F169)</f>
        <v>61</v>
      </c>
      <c r="G166" s="105">
        <f t="shared" si="2"/>
        <v>0.0525409130060293</v>
      </c>
      <c r="H166" s="226">
        <f>H169</f>
        <v>0.624461670973299</v>
      </c>
      <c r="I166" s="247">
        <f>SUM(I167:I169)</f>
        <v>67</v>
      </c>
      <c r="J166" s="247">
        <f>J169</f>
        <v>1792.5</v>
      </c>
      <c r="K166" s="167">
        <f t="shared" si="3"/>
        <v>0.683508102955195</v>
      </c>
      <c r="L166" s="247">
        <f>SUM(L167:L169)</f>
        <v>10.27</v>
      </c>
      <c r="M166" s="247">
        <f>M169</f>
        <v>305.51</v>
      </c>
      <c r="N166" s="226">
        <f t="shared" si="4"/>
        <v>0.684095031236705</v>
      </c>
      <c r="O166" s="264"/>
      <c r="P166" s="174"/>
      <c r="Q166" s="178"/>
      <c r="R166" s="178"/>
      <c r="S166" s="178"/>
      <c r="T166" s="178"/>
      <c r="U166" s="195"/>
      <c r="V166" s="178"/>
      <c r="W166" s="178"/>
      <c r="X166" s="178"/>
      <c r="Y166" s="178"/>
      <c r="Z166" s="195"/>
      <c r="AA166" s="178"/>
      <c r="AB166" s="178"/>
      <c r="AC166" s="178"/>
      <c r="AD166" s="173"/>
      <c r="AE166" s="195"/>
      <c r="AF166" s="180"/>
      <c r="AG166" s="180"/>
      <c r="AH166" s="178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 t="shared" si="1"/>
        <v>4</v>
      </c>
      <c r="F167" s="80">
        <v>30.0</v>
      </c>
      <c r="G167" s="105">
        <f t="shared" si="2"/>
        <v>0.0258397932816537</v>
      </c>
      <c r="H167" s="47">
        <f>H165+G167</f>
        <v>0.597760551248923</v>
      </c>
      <c r="I167" s="187">
        <f t="shared" ref="I167:I169" si="135">P167+U167+Z167+AE167</f>
        <v>32</v>
      </c>
      <c r="J167" s="172">
        <f>J165+I167</f>
        <v>1757.5</v>
      </c>
      <c r="K167" s="115">
        <f t="shared" si="3"/>
        <v>0.670162059103909</v>
      </c>
      <c r="L167" s="191">
        <f t="shared" ref="L167:L169" si="136">S167+X167+AC167+AH167</f>
        <v>4.39</v>
      </c>
      <c r="M167" s="172">
        <f>M165+L167</f>
        <v>299.63</v>
      </c>
      <c r="N167" s="47">
        <f t="shared" si="4"/>
        <v>0.670928592221053</v>
      </c>
      <c r="O167" s="193">
        <f>P167/$F167</f>
        <v>0.0333333333333333</v>
      </c>
      <c r="P167" s="194">
        <v>1.0</v>
      </c>
      <c r="Q167" s="195"/>
      <c r="R167" s="196">
        <f>Roles!$D$2</f>
        <v>0.61</v>
      </c>
      <c r="S167" s="196">
        <f>R167*P167</f>
        <v>0.61</v>
      </c>
      <c r="T167" s="193">
        <f>U167/$F167</f>
        <v>0.0333333333333333</v>
      </c>
      <c r="U167" s="197">
        <v>1.0</v>
      </c>
      <c r="V167" s="195"/>
      <c r="W167" s="195">
        <f>Roles!$D$8</f>
        <v>0.09</v>
      </c>
      <c r="X167" s="199">
        <f>MIN(U167,1)*Roles!$D$5+MAX(U167-1,0)*W167</f>
        <v>0.44</v>
      </c>
      <c r="Y167" s="193">
        <f>Z167/$F167</f>
        <v>0</v>
      </c>
      <c r="Z167" s="197">
        <v>0.0</v>
      </c>
      <c r="AA167" s="195"/>
      <c r="AB167" s="195">
        <f>Roles!$D$7</f>
        <v>0.12</v>
      </c>
      <c r="AC167" s="199">
        <f>MIN(Z167,1)*Roles!$D$4+MAX(Z167-1,0)*AB167</f>
        <v>0</v>
      </c>
      <c r="AD167" s="193">
        <f>AE167/$F167</f>
        <v>1</v>
      </c>
      <c r="AE167" s="197">
        <v>30.0</v>
      </c>
      <c r="AF167" s="200"/>
      <c r="AG167" s="200">
        <f>Roles!$D$6</f>
        <v>0.1</v>
      </c>
      <c r="AH167" s="199">
        <f>MIN(AE167,1)*Roles!$D$3+MAX(AE167-1,0)*AG167</f>
        <v>3.34</v>
      </c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 t="shared" si="1"/>
        <v>1</v>
      </c>
      <c r="F168" s="80">
        <v>1</v>
      </c>
      <c r="G168" s="105">
        <f t="shared" si="2"/>
        <v>0.000861326442721792</v>
      </c>
      <c r="H168" s="47">
        <f t="shared" ref="H168:H169" si="137">H167+G168</f>
        <v>0.598621877691645</v>
      </c>
      <c r="I168" s="187">
        <f t="shared" si="135"/>
        <v>4</v>
      </c>
      <c r="J168" s="172">
        <f t="shared" ref="J168:J169" si="138">J167+I168</f>
        <v>1761.5</v>
      </c>
      <c r="K168" s="115">
        <f t="shared" si="3"/>
        <v>0.671687321258341</v>
      </c>
      <c r="L168" s="191">
        <f t="shared" si="136"/>
        <v>1.93</v>
      </c>
      <c r="M168" s="172">
        <f t="shared" ref="M168:M169" si="139">M167+L168</f>
        <v>301.56</v>
      </c>
      <c r="N168" s="47">
        <f t="shared" si="4"/>
        <v>0.675250229517007</v>
      </c>
      <c r="O168" s="193">
        <f>P168/$F168</f>
        <v>1</v>
      </c>
      <c r="P168" s="194">
        <v>1</v>
      </c>
      <c r="Q168" s="195"/>
      <c r="R168" s="196">
        <f>Roles!$D$2</f>
        <v>0.61</v>
      </c>
      <c r="S168" s="196">
        <f>R168*P168</f>
        <v>0.61</v>
      </c>
      <c r="T168" s="193">
        <f>U168/$F168</f>
        <v>1</v>
      </c>
      <c r="U168" s="197">
        <v>1</v>
      </c>
      <c r="V168" s="195"/>
      <c r="W168" s="195">
        <f>Roles!$D$5</f>
        <v>0.44</v>
      </c>
      <c r="X168" s="199">
        <f>U168*W168</f>
        <v>0.44</v>
      </c>
      <c r="Y168" s="193">
        <f>Z168/$F168</f>
        <v>1</v>
      </c>
      <c r="Z168" s="197">
        <v>1</v>
      </c>
      <c r="AA168" s="195"/>
      <c r="AB168" s="195">
        <f>Roles!$D$4</f>
        <v>0.44</v>
      </c>
      <c r="AC168" s="199">
        <f>Z168*AB168</f>
        <v>0.44</v>
      </c>
      <c r="AD168" s="193">
        <f>AE168/$F168</f>
        <v>1</v>
      </c>
      <c r="AE168" s="197">
        <v>1</v>
      </c>
      <c r="AF168" s="200"/>
      <c r="AG168" s="200">
        <f>Roles!$D$3</f>
        <v>0.44</v>
      </c>
      <c r="AH168" s="199">
        <f>AE168*AG168</f>
        <v>0.44</v>
      </c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 t="shared" si="1"/>
        <v>4</v>
      </c>
      <c r="F169" s="80">
        <v>30.0</v>
      </c>
      <c r="G169" s="105">
        <f t="shared" si="2"/>
        <v>0.0258397932816537</v>
      </c>
      <c r="H169" s="47">
        <f t="shared" si="137"/>
        <v>0.624461670973299</v>
      </c>
      <c r="I169" s="187">
        <f t="shared" si="135"/>
        <v>31</v>
      </c>
      <c r="J169" s="172">
        <f t="shared" si="138"/>
        <v>1792.5</v>
      </c>
      <c r="K169" s="115">
        <f t="shared" si="3"/>
        <v>0.683508102955195</v>
      </c>
      <c r="L169" s="191">
        <f t="shared" si="136"/>
        <v>3.95</v>
      </c>
      <c r="M169" s="172">
        <f t="shared" si="139"/>
        <v>305.51</v>
      </c>
      <c r="N169" s="47">
        <f t="shared" si="4"/>
        <v>0.684095031236705</v>
      </c>
      <c r="O169" s="193">
        <f>P169/$F169</f>
        <v>0.0333333333333333</v>
      </c>
      <c r="P169" s="194">
        <v>1.0</v>
      </c>
      <c r="Q169" s="195"/>
      <c r="R169" s="196">
        <f>Roles!$D$2</f>
        <v>0.61</v>
      </c>
      <c r="S169" s="196">
        <f>R169*P169</f>
        <v>0.61</v>
      </c>
      <c r="T169" s="193">
        <f>U169/$F169</f>
        <v>0</v>
      </c>
      <c r="U169" s="197">
        <v>0.0</v>
      </c>
      <c r="V169" s="195"/>
      <c r="W169" s="195">
        <f>Roles!$D$8</f>
        <v>0.09</v>
      </c>
      <c r="X169" s="199">
        <f>MIN(U169,1)*Roles!$D$5+MAX(U169-1,0)*W169</f>
        <v>0</v>
      </c>
      <c r="Y169" s="193">
        <f>Z169/$F169</f>
        <v>0</v>
      </c>
      <c r="Z169" s="197">
        <v>0.0</v>
      </c>
      <c r="AA169" s="195"/>
      <c r="AB169" s="195">
        <f>Roles!$D$7</f>
        <v>0.12</v>
      </c>
      <c r="AC169" s="199">
        <f>MIN(Z169,1)*Roles!$D$4+MAX(Z169-1,0)*AB169</f>
        <v>0</v>
      </c>
      <c r="AD169" s="193">
        <f>AE169/$F169</f>
        <v>1</v>
      </c>
      <c r="AE169" s="197">
        <v>30.0</v>
      </c>
      <c r="AF169" s="200"/>
      <c r="AG169" s="200">
        <f>Roles!$D$6</f>
        <v>0.1</v>
      </c>
      <c r="AH169" s="199">
        <f>MIN(AE169,1)*Roles!$D$3+MAX(AE169-1,0)*AG169</f>
        <v>3.34</v>
      </c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 t="shared" si="1"/>
        <v>7</v>
      </c>
      <c r="F170" s="246">
        <f>SUM(F171:F173)</f>
        <v>51</v>
      </c>
      <c r="G170" s="105">
        <f t="shared" si="2"/>
        <v>0.0439276485788114</v>
      </c>
      <c r="H170" s="226">
        <f>H173</f>
        <v>0.66838931955211</v>
      </c>
      <c r="I170" s="247">
        <f>SUM(I171:I173)</f>
        <v>61</v>
      </c>
      <c r="J170" s="247">
        <f>J173</f>
        <v>1853.5</v>
      </c>
      <c r="K170" s="167">
        <f t="shared" si="3"/>
        <v>0.706768350810296</v>
      </c>
      <c r="L170" s="247">
        <f>SUM(L171:L173)</f>
        <v>9.33</v>
      </c>
      <c r="M170" s="247">
        <f>M173</f>
        <v>314.84</v>
      </c>
      <c r="N170" s="226">
        <f t="shared" si="4"/>
        <v>0.704986676817663</v>
      </c>
      <c r="O170" s="264"/>
      <c r="P170" s="174"/>
      <c r="Q170" s="178"/>
      <c r="R170" s="178"/>
      <c r="S170" s="178"/>
      <c r="T170" s="178"/>
      <c r="U170" s="195"/>
      <c r="V170" s="178"/>
      <c r="W170" s="178"/>
      <c r="X170" s="178"/>
      <c r="Y170" s="178"/>
      <c r="Z170" s="195"/>
      <c r="AA170" s="178"/>
      <c r="AB170" s="178"/>
      <c r="AC170" s="178"/>
      <c r="AD170" s="173"/>
      <c r="AE170" s="195"/>
      <c r="AF170" s="180"/>
      <c r="AG170" s="180"/>
      <c r="AH170" s="178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 t="shared" si="1"/>
        <v>1</v>
      </c>
      <c r="F171" s="80">
        <v>1</v>
      </c>
      <c r="G171" s="105">
        <f t="shared" si="2"/>
        <v>0.000861326442721792</v>
      </c>
      <c r="H171" s="47">
        <f>H169+G171</f>
        <v>0.625322997416021</v>
      </c>
      <c r="I171" s="187">
        <f t="shared" ref="I171:I173" si="140">P171+U171+Z171+AE171</f>
        <v>4</v>
      </c>
      <c r="J171" s="172">
        <f>J169+I171</f>
        <v>1796.5</v>
      </c>
      <c r="K171" s="115">
        <f t="shared" si="3"/>
        <v>0.685033365109628</v>
      </c>
      <c r="L171" s="191">
        <f t="shared" ref="L171:L173" si="141">S171+X171+AC171+AH171</f>
        <v>1.93</v>
      </c>
      <c r="M171" s="172">
        <f>M169+L171</f>
        <v>307.44</v>
      </c>
      <c r="N171" s="47">
        <f t="shared" si="4"/>
        <v>0.688416668532659</v>
      </c>
      <c r="O171" s="193">
        <f>P171/$F171</f>
        <v>1</v>
      </c>
      <c r="P171" s="194">
        <v>1</v>
      </c>
      <c r="Q171" s="195"/>
      <c r="R171" s="196">
        <f>Roles!$D$2</f>
        <v>0.61</v>
      </c>
      <c r="S171" s="196">
        <f>R171*P171</f>
        <v>0.61</v>
      </c>
      <c r="T171" s="193">
        <f>U171/$F171</f>
        <v>1</v>
      </c>
      <c r="U171" s="197">
        <v>1</v>
      </c>
      <c r="V171" s="195"/>
      <c r="W171" s="195">
        <f>Roles!$D$5</f>
        <v>0.44</v>
      </c>
      <c r="X171" s="199">
        <f>U171*W171</f>
        <v>0.44</v>
      </c>
      <c r="Y171" s="193">
        <f>Z171/$F171</f>
        <v>1</v>
      </c>
      <c r="Z171" s="197">
        <v>1</v>
      </c>
      <c r="AA171" s="195"/>
      <c r="AB171" s="195">
        <f>Roles!$D$4</f>
        <v>0.44</v>
      </c>
      <c r="AC171" s="199">
        <f>Z171*AB171</f>
        <v>0.44</v>
      </c>
      <c r="AD171" s="193">
        <f>AE171/$F171</f>
        <v>1</v>
      </c>
      <c r="AE171" s="197">
        <v>1</v>
      </c>
      <c r="AF171" s="200"/>
      <c r="AG171" s="200">
        <f>Roles!$D$3</f>
        <v>0.44</v>
      </c>
      <c r="AH171" s="199">
        <f>AE171*AG171</f>
        <v>0.44</v>
      </c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 t="shared" si="1"/>
        <v>4</v>
      </c>
      <c r="F172" s="80">
        <v>25.0</v>
      </c>
      <c r="G172" s="105">
        <f t="shared" si="2"/>
        <v>0.0215331610680448</v>
      </c>
      <c r="H172" s="47">
        <f t="shared" ref="H172:H173" si="142">H171+G172</f>
        <v>0.646856158484065</v>
      </c>
      <c r="I172" s="187">
        <f t="shared" si="140"/>
        <v>29</v>
      </c>
      <c r="J172" s="172">
        <f t="shared" ref="J172:J173" si="143">J171+I172</f>
        <v>1825.5</v>
      </c>
      <c r="K172" s="115">
        <f t="shared" si="3"/>
        <v>0.696091515729266</v>
      </c>
      <c r="L172" s="191">
        <f t="shared" si="141"/>
        <v>3.75</v>
      </c>
      <c r="M172" s="172">
        <f t="shared" ref="M172:M173" si="144">M171+L172</f>
        <v>311.19</v>
      </c>
      <c r="N172" s="47">
        <f t="shared" si="4"/>
        <v>0.6968136321906</v>
      </c>
      <c r="O172" s="193">
        <f>P172/$F172</f>
        <v>0.04</v>
      </c>
      <c r="P172" s="194">
        <v>1.0</v>
      </c>
      <c r="Q172" s="195"/>
      <c r="R172" s="196">
        <f>Roles!$D$2</f>
        <v>0.61</v>
      </c>
      <c r="S172" s="196">
        <f>R172*P172</f>
        <v>0.61</v>
      </c>
      <c r="T172" s="193">
        <f>U172/$F172</f>
        <v>0</v>
      </c>
      <c r="U172" s="197">
        <v>0.0</v>
      </c>
      <c r="V172" s="195"/>
      <c r="W172" s="195">
        <f>Roles!$D$8</f>
        <v>0.09</v>
      </c>
      <c r="X172" s="199">
        <f>MIN(U172,1)*Roles!$D$5+MAX(U172-1,0)*W172</f>
        <v>0</v>
      </c>
      <c r="Y172" s="193">
        <f>Z172/$F172</f>
        <v>0</v>
      </c>
      <c r="Z172" s="197">
        <v>0.0</v>
      </c>
      <c r="AA172" s="195"/>
      <c r="AB172" s="195">
        <f>Roles!$D$7</f>
        <v>0.12</v>
      </c>
      <c r="AC172" s="199">
        <f>MIN(Z172,1)*Roles!$D$4+MAX(Z172-1,0)*AB172</f>
        <v>0</v>
      </c>
      <c r="AD172" s="193">
        <f>AE172/$F172</f>
        <v>1.12</v>
      </c>
      <c r="AE172" s="197">
        <v>28.0</v>
      </c>
      <c r="AF172" s="200"/>
      <c r="AG172" s="200">
        <f>Roles!$D$6</f>
        <v>0.1</v>
      </c>
      <c r="AH172" s="199">
        <f>MIN(AE172,1)*Roles!$D$3+MAX(AE172-1,0)*AG172</f>
        <v>3.14</v>
      </c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 t="shared" si="1"/>
        <v>3</v>
      </c>
      <c r="F173" s="80">
        <v>25.0</v>
      </c>
      <c r="G173" s="105">
        <f t="shared" si="2"/>
        <v>0.0215331610680448</v>
      </c>
      <c r="H173" s="47">
        <f t="shared" si="142"/>
        <v>0.66838931955211</v>
      </c>
      <c r="I173" s="187">
        <f t="shared" si="140"/>
        <v>28</v>
      </c>
      <c r="J173" s="172">
        <f t="shared" si="143"/>
        <v>1853.5</v>
      </c>
      <c r="K173" s="115">
        <f t="shared" si="3"/>
        <v>0.706768350810296</v>
      </c>
      <c r="L173" s="191">
        <f t="shared" si="141"/>
        <v>3.65</v>
      </c>
      <c r="M173" s="172">
        <f t="shared" si="144"/>
        <v>314.84</v>
      </c>
      <c r="N173" s="342">
        <f t="shared" si="4"/>
        <v>0.704986676817663</v>
      </c>
      <c r="O173" s="193">
        <f>P173/$F173</f>
        <v>0.04</v>
      </c>
      <c r="P173" s="194">
        <v>1.0</v>
      </c>
      <c r="Q173" s="195"/>
      <c r="R173" s="196">
        <f>Roles!$D$2</f>
        <v>0.61</v>
      </c>
      <c r="S173" s="196">
        <f>R173*P173</f>
        <v>0.61</v>
      </c>
      <c r="T173" s="193">
        <f>U173/$F173</f>
        <v>0</v>
      </c>
      <c r="U173" s="197">
        <v>0.0</v>
      </c>
      <c r="V173" s="195"/>
      <c r="W173" s="195">
        <f>Roles!$D$8</f>
        <v>0.09</v>
      </c>
      <c r="X173" s="199">
        <f>MIN(U173,1)*Roles!$D$5+MAX(U173-1,0)*W173</f>
        <v>0</v>
      </c>
      <c r="Y173" s="193">
        <f>Z173/$F173</f>
        <v>0</v>
      </c>
      <c r="Z173" s="197">
        <v>0.0</v>
      </c>
      <c r="AA173" s="195"/>
      <c r="AB173" s="195">
        <f>Roles!$D$7</f>
        <v>0.12</v>
      </c>
      <c r="AC173" s="199">
        <f>MIN(Z173,1)*Roles!$D$4+MAX(Z173-1,0)*AB173</f>
        <v>0</v>
      </c>
      <c r="AD173" s="193">
        <f>AE173/$F173</f>
        <v>1.08</v>
      </c>
      <c r="AE173" s="197">
        <v>27.0</v>
      </c>
      <c r="AF173" s="195"/>
      <c r="AG173" s="200">
        <f>Roles!$D$6</f>
        <v>0.1</v>
      </c>
      <c r="AH173" s="199">
        <f>MIN(AE173,1)*Roles!$D$3+MAX(AE173-1,0)*AG173</f>
        <v>3.04</v>
      </c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 t="shared" si="1"/>
        <v>4</v>
      </c>
      <c r="F174" s="246">
        <f>SUM(F175:F178)</f>
        <v>28</v>
      </c>
      <c r="G174" s="105">
        <f t="shared" si="2"/>
        <v>0.0241171403962102</v>
      </c>
      <c r="H174" s="226">
        <f>H178</f>
        <v>0.69250645994832</v>
      </c>
      <c r="I174" s="247">
        <f>SUM(I175:I178)</f>
        <v>39</v>
      </c>
      <c r="J174" s="247">
        <f>J178</f>
        <v>1892.5</v>
      </c>
      <c r="K174" s="167">
        <f t="shared" si="3"/>
        <v>0.721639656816015</v>
      </c>
      <c r="L174" s="247">
        <f>SUM(L175:L178)</f>
        <v>6.93</v>
      </c>
      <c r="M174" s="247">
        <f>M178</f>
        <v>321.77</v>
      </c>
      <c r="N174" s="226">
        <f t="shared" si="4"/>
        <v>0.720504265657538</v>
      </c>
      <c r="O174" s="264"/>
      <c r="P174" s="174"/>
      <c r="Q174" s="178"/>
      <c r="R174" s="178"/>
      <c r="S174" s="178"/>
      <c r="T174" s="178"/>
      <c r="U174" s="195"/>
      <c r="V174" s="178"/>
      <c r="W174" s="178"/>
      <c r="X174" s="178"/>
      <c r="Y174" s="178"/>
      <c r="Z174" s="195"/>
      <c r="AA174" s="178"/>
      <c r="AB174" s="178"/>
      <c r="AC174" s="178"/>
      <c r="AD174" s="178"/>
      <c r="AE174" s="195"/>
      <c r="AF174" s="178"/>
      <c r="AG174" s="180"/>
      <c r="AH174" s="178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 t="shared" si="1"/>
        <v>1</v>
      </c>
      <c r="F175" s="80">
        <v>1</v>
      </c>
      <c r="G175" s="105">
        <f t="shared" si="2"/>
        <v>0.000861326442721792</v>
      </c>
      <c r="H175" s="47">
        <f>H173+G175</f>
        <v>0.669250645994832</v>
      </c>
      <c r="I175" s="187">
        <f t="shared" ref="I175:I178" si="145">P175+U175+Z175+AE175</f>
        <v>4</v>
      </c>
      <c r="J175" s="172">
        <f>J173+I175</f>
        <v>1857.5</v>
      </c>
      <c r="K175" s="115">
        <f t="shared" si="3"/>
        <v>0.708293612964728</v>
      </c>
      <c r="L175" s="191">
        <f t="shared" ref="L175:L178" si="146">S175+X175+AC175+AH175</f>
        <v>1.93</v>
      </c>
      <c r="M175" s="172">
        <f>M173+L175</f>
        <v>316.77</v>
      </c>
      <c r="N175" s="47">
        <f t="shared" si="4"/>
        <v>0.709308314113616</v>
      </c>
      <c r="O175" s="193">
        <f>P175/$F175</f>
        <v>1</v>
      </c>
      <c r="P175" s="194">
        <v>1</v>
      </c>
      <c r="Q175" s="195"/>
      <c r="R175" s="196">
        <f>Roles!$D$2</f>
        <v>0.61</v>
      </c>
      <c r="S175" s="196">
        <f>R175*P175</f>
        <v>0.61</v>
      </c>
      <c r="T175" s="193">
        <f>U175/$F175</f>
        <v>1</v>
      </c>
      <c r="U175" s="197">
        <v>1</v>
      </c>
      <c r="V175" s="195"/>
      <c r="W175" s="195">
        <f>Roles!$D$5</f>
        <v>0.44</v>
      </c>
      <c r="X175" s="199">
        <f>U175*W175</f>
        <v>0.44</v>
      </c>
      <c r="Y175" s="193">
        <f>Z175/$F175</f>
        <v>1</v>
      </c>
      <c r="Z175" s="197">
        <v>1</v>
      </c>
      <c r="AA175" s="195"/>
      <c r="AB175" s="195">
        <f>Roles!$D$4</f>
        <v>0.44</v>
      </c>
      <c r="AC175" s="199">
        <f>Z175*AB175</f>
        <v>0.44</v>
      </c>
      <c r="AD175" s="193">
        <f>AE175/$F175</f>
        <v>1</v>
      </c>
      <c r="AE175" s="197">
        <v>1</v>
      </c>
      <c r="AF175" s="200"/>
      <c r="AG175" s="200">
        <f>Roles!$D$3</f>
        <v>0.44</v>
      </c>
      <c r="AH175" s="199">
        <f>AE175*AG175</f>
        <v>0.44</v>
      </c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 t="shared" si="1"/>
        <v>2</v>
      </c>
      <c r="F176" s="80">
        <v>15.0</v>
      </c>
      <c r="G176" s="105">
        <f t="shared" si="2"/>
        <v>0.0129198966408269</v>
      </c>
      <c r="H176" s="47">
        <f t="shared" ref="H176:H178" si="147">H175+G176</f>
        <v>0.682170542635659</v>
      </c>
      <c r="I176" s="187">
        <f t="shared" si="145"/>
        <v>19</v>
      </c>
      <c r="J176" s="172">
        <f t="shared" ref="J176:J178" si="148">J175+I176</f>
        <v>1876.5</v>
      </c>
      <c r="K176" s="115">
        <f t="shared" si="3"/>
        <v>0.715538608198284</v>
      </c>
      <c r="L176" s="191">
        <f t="shared" si="146"/>
        <v>2.75</v>
      </c>
      <c r="M176" s="172">
        <f t="shared" ref="M176:M178" si="149">M175+L176</f>
        <v>319.52</v>
      </c>
      <c r="N176" s="47">
        <f t="shared" si="4"/>
        <v>0.715466087462773</v>
      </c>
      <c r="O176" s="193">
        <f>P176/$F176</f>
        <v>0.0666666666666667</v>
      </c>
      <c r="P176" s="194">
        <v>1.0</v>
      </c>
      <c r="Q176" s="195"/>
      <c r="R176" s="196">
        <f>Roles!$D$2</f>
        <v>0.61</v>
      </c>
      <c r="S176" s="196">
        <f>R176*P176</f>
        <v>0.61</v>
      </c>
      <c r="T176" s="193">
        <f>U176/$F176</f>
        <v>0</v>
      </c>
      <c r="U176" s="197">
        <v>0.0</v>
      </c>
      <c r="V176" s="195"/>
      <c r="W176" s="195">
        <f>Roles!$D$8</f>
        <v>0.09</v>
      </c>
      <c r="X176" s="199">
        <f>MIN(U176,1)*Roles!$D$5+MAX(U176-1,0)*W176</f>
        <v>0</v>
      </c>
      <c r="Y176" s="193">
        <f>Z176/$F176</f>
        <v>0</v>
      </c>
      <c r="Z176" s="197">
        <v>0.0</v>
      </c>
      <c r="AA176" s="195"/>
      <c r="AB176" s="195">
        <f>Roles!$D$7</f>
        <v>0.12</v>
      </c>
      <c r="AC176" s="199">
        <f>MIN(Z176,1)*Roles!$D$4+MAX(Z176-1,0)*AB176</f>
        <v>0</v>
      </c>
      <c r="AD176" s="193">
        <f>AE176/$F176</f>
        <v>1.2</v>
      </c>
      <c r="AE176" s="197">
        <v>18.0</v>
      </c>
      <c r="AF176" s="200"/>
      <c r="AG176" s="200">
        <f>Roles!$D$6</f>
        <v>0.1</v>
      </c>
      <c r="AH176" s="199">
        <f>MIN(AE176,1)*Roles!$D$3+MAX(AE176-1,0)*AG176</f>
        <v>2.14</v>
      </c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 t="shared" si="1"/>
        <v>2</v>
      </c>
      <c r="F177" s="80">
        <v>2.0</v>
      </c>
      <c r="G177" s="105">
        <f t="shared" si="2"/>
        <v>0.00172265288544358</v>
      </c>
      <c r="H177" s="47">
        <f t="shared" si="147"/>
        <v>0.683893195521102</v>
      </c>
      <c r="I177" s="187">
        <f t="shared" si="145"/>
        <v>4</v>
      </c>
      <c r="J177" s="172">
        <f t="shared" si="148"/>
        <v>1880.5</v>
      </c>
      <c r="K177" s="115">
        <f t="shared" si="3"/>
        <v>0.717063870352717</v>
      </c>
      <c r="L177" s="191">
        <f t="shared" si="146"/>
        <v>0.71</v>
      </c>
      <c r="M177" s="172">
        <f t="shared" si="149"/>
        <v>320.23</v>
      </c>
      <c r="N177" s="47">
        <f t="shared" si="4"/>
        <v>0.71705591258201</v>
      </c>
      <c r="O177" s="193">
        <f>P177/$F177</f>
        <v>0</v>
      </c>
      <c r="P177" s="206">
        <v>0.0</v>
      </c>
      <c r="Q177" s="195"/>
      <c r="R177" s="196">
        <f>Roles!$D$2</f>
        <v>0.61</v>
      </c>
      <c r="S177" s="196">
        <f>R177*P177</f>
        <v>0</v>
      </c>
      <c r="T177" s="193">
        <f>U177/$F177</f>
        <v>2</v>
      </c>
      <c r="U177" s="197">
        <v>4.0</v>
      </c>
      <c r="V177" s="195"/>
      <c r="W177" s="196">
        <f>Roles!$D$8</f>
        <v>0.09</v>
      </c>
      <c r="X177" s="199">
        <f>MIN(U177,1)*Roles!$D$5+MAX(U177-1,0)*W177</f>
        <v>0.71</v>
      </c>
      <c r="Y177" s="193">
        <f>Z177/$F177</f>
        <v>0</v>
      </c>
      <c r="Z177" s="197">
        <v>0.0</v>
      </c>
      <c r="AA177" s="195"/>
      <c r="AB177" s="196">
        <f>Roles!$D$7</f>
        <v>0.12</v>
      </c>
      <c r="AC177" s="199">
        <f>MIN(Z177,1)*Roles!$D$4+MAX(Z177-1,0)*AB177</f>
        <v>0</v>
      </c>
      <c r="AD177" s="193">
        <f>AE177/$F177</f>
        <v>0</v>
      </c>
      <c r="AE177" s="197">
        <v>0.0</v>
      </c>
      <c r="AF177" s="200"/>
      <c r="AG177" s="208">
        <f>Roles!$D$6</f>
        <v>0.1</v>
      </c>
      <c r="AH177" s="199">
        <f>MIN(AE177,1)*Roles!$D$3+MAX(AE177-1,0)*AG177</f>
        <v>0</v>
      </c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 t="shared" si="1"/>
        <v>2</v>
      </c>
      <c r="F178" s="80">
        <v>10.0</v>
      </c>
      <c r="G178" s="105">
        <f t="shared" si="2"/>
        <v>0.00861326442721792</v>
      </c>
      <c r="H178" s="47">
        <f t="shared" si="147"/>
        <v>0.69250645994832</v>
      </c>
      <c r="I178" s="187">
        <f t="shared" si="145"/>
        <v>12</v>
      </c>
      <c r="J178" s="172">
        <f t="shared" si="148"/>
        <v>1892.5</v>
      </c>
      <c r="K178" s="115">
        <f t="shared" si="3"/>
        <v>0.721639656816015</v>
      </c>
      <c r="L178" s="191">
        <f t="shared" si="146"/>
        <v>1.54</v>
      </c>
      <c r="M178" s="172">
        <f t="shared" si="149"/>
        <v>321.77</v>
      </c>
      <c r="N178" s="47">
        <f t="shared" si="4"/>
        <v>0.720504265657538</v>
      </c>
      <c r="O178" s="193">
        <f>P178/$F178</f>
        <v>0</v>
      </c>
      <c r="P178" s="206">
        <v>0.0</v>
      </c>
      <c r="Q178" s="195"/>
      <c r="R178" s="196">
        <f>Roles!$D$2</f>
        <v>0.61</v>
      </c>
      <c r="S178" s="196">
        <f>R178*P178</f>
        <v>0</v>
      </c>
      <c r="T178" s="193">
        <f>U178/$F178</f>
        <v>0</v>
      </c>
      <c r="U178" s="197">
        <v>0.0</v>
      </c>
      <c r="V178" s="195"/>
      <c r="W178" s="195">
        <f>Roles!$D$8</f>
        <v>0.09</v>
      </c>
      <c r="X178" s="199">
        <f>MIN(U178,1)*Roles!$D$5+MAX(U178-1,0)*W178</f>
        <v>0</v>
      </c>
      <c r="Y178" s="193">
        <f>Z178/$F178</f>
        <v>0</v>
      </c>
      <c r="Z178" s="197">
        <v>0.0</v>
      </c>
      <c r="AA178" s="195"/>
      <c r="AB178" s="195">
        <f>Roles!$D$7</f>
        <v>0.12</v>
      </c>
      <c r="AC178" s="199">
        <f>MIN(Z178,1)*Roles!$D$4+MAX(Z178-1,0)*AB178</f>
        <v>0</v>
      </c>
      <c r="AD178" s="193">
        <f>AE178/$F178</f>
        <v>1.2</v>
      </c>
      <c r="AE178" s="197">
        <v>12.0</v>
      </c>
      <c r="AF178" s="200"/>
      <c r="AG178" s="200">
        <f>Roles!$D$6</f>
        <v>0.1</v>
      </c>
      <c r="AH178" s="199">
        <f>MIN(AE178,1)*Roles!$D$3+MAX(AE178-1,0)*AG178</f>
        <v>1.54</v>
      </c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 t="shared" si="1"/>
        <v>4</v>
      </c>
      <c r="F179" s="246">
        <f>SUM(F180:F184)</f>
        <v>29</v>
      </c>
      <c r="G179" s="105">
        <f t="shared" si="2"/>
        <v>0.024978466838932</v>
      </c>
      <c r="H179" s="226">
        <f>H184</f>
        <v>0.717484926787252</v>
      </c>
      <c r="I179" s="247">
        <f>SUM(I180:I184)</f>
        <v>66</v>
      </c>
      <c r="J179" s="247">
        <f>J184</f>
        <v>1958.5</v>
      </c>
      <c r="K179" s="167">
        <f t="shared" si="3"/>
        <v>0.746806482364156</v>
      </c>
      <c r="L179" s="247">
        <f>SUM(L180:L184)</f>
        <v>10.84</v>
      </c>
      <c r="M179" s="247">
        <f>M184</f>
        <v>332.61</v>
      </c>
      <c r="N179" s="226">
        <f t="shared" si="4"/>
        <v>0.744777088604761</v>
      </c>
      <c r="O179" s="264"/>
      <c r="P179" s="174"/>
      <c r="Q179" s="178"/>
      <c r="R179" s="178"/>
      <c r="S179" s="178"/>
      <c r="T179" s="178"/>
      <c r="U179" s="195"/>
      <c r="V179" s="178"/>
      <c r="W179" s="178"/>
      <c r="X179" s="178"/>
      <c r="Y179" s="178"/>
      <c r="Z179" s="195"/>
      <c r="AA179" s="178"/>
      <c r="AB179" s="178"/>
      <c r="AC179" s="178"/>
      <c r="AD179" s="178"/>
      <c r="AE179" s="195"/>
      <c r="AF179" s="178"/>
      <c r="AG179" s="180"/>
      <c r="AH179" s="178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 t="shared" si="1"/>
        <v>3</v>
      </c>
      <c r="F180" s="80">
        <v>4.0</v>
      </c>
      <c r="G180" s="105">
        <f t="shared" si="2"/>
        <v>0.00344530577088717</v>
      </c>
      <c r="H180" s="47">
        <f>H178+G180</f>
        <v>0.695951765719207</v>
      </c>
      <c r="I180" s="187">
        <f t="shared" ref="I180:I184" si="150">P180+U180+Z180+AE180</f>
        <v>11</v>
      </c>
      <c r="J180" s="172">
        <f>J178+I180</f>
        <v>1903.5</v>
      </c>
      <c r="K180" s="115">
        <f t="shared" si="3"/>
        <v>0.725834127740705</v>
      </c>
      <c r="L180" s="191">
        <f t="shared" ref="L180:L184" si="151">S180+X180+AC180+AH180</f>
        <v>2.3</v>
      </c>
      <c r="M180" s="172">
        <f>M178+L180</f>
        <v>324.07</v>
      </c>
      <c r="N180" s="47">
        <f t="shared" si="4"/>
        <v>0.725654403367742</v>
      </c>
      <c r="O180" s="193">
        <f>P180/$F180</f>
        <v>0.25</v>
      </c>
      <c r="P180" s="194">
        <v>1.0</v>
      </c>
      <c r="Q180" s="195"/>
      <c r="R180" s="196">
        <f>Roles!$D$2</f>
        <v>0.61</v>
      </c>
      <c r="S180" s="196">
        <f>R180*P180</f>
        <v>0.61</v>
      </c>
      <c r="T180" s="193">
        <f>U180/$F180</f>
        <v>1.5</v>
      </c>
      <c r="U180" s="197">
        <v>6.0</v>
      </c>
      <c r="V180" s="195"/>
      <c r="W180" s="196">
        <f>Roles!$D$8</f>
        <v>0.09</v>
      </c>
      <c r="X180" s="199">
        <f>MIN(U180,1)*Roles!$D$5+MAX(U180-1,0)*W180</f>
        <v>0.89</v>
      </c>
      <c r="Y180" s="193">
        <f>Z180/$F180</f>
        <v>1</v>
      </c>
      <c r="Z180" s="197">
        <v>4.0</v>
      </c>
      <c r="AA180" s="195"/>
      <c r="AB180" s="196">
        <f>Roles!$D$7</f>
        <v>0.12</v>
      </c>
      <c r="AC180" s="199">
        <f>MIN(Z180,1)*Roles!$D$4+MAX(Z180-1,0)*AB180</f>
        <v>0.8</v>
      </c>
      <c r="AD180" s="193">
        <f>AE180/$F180</f>
        <v>0</v>
      </c>
      <c r="AE180" s="197">
        <v>0.0</v>
      </c>
      <c r="AF180" s="200"/>
      <c r="AG180" s="208">
        <f>Roles!$D$6</f>
        <v>0.1</v>
      </c>
      <c r="AH180" s="199">
        <f>MIN(AE180,1)*Roles!$D$3+MAX(AE180-1,0)*AG180</f>
        <v>0</v>
      </c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 t="shared" si="1"/>
        <v>2</v>
      </c>
      <c r="F181" s="80">
        <v>10.0</v>
      </c>
      <c r="G181" s="105">
        <f t="shared" si="2"/>
        <v>0.00861326442721792</v>
      </c>
      <c r="H181" s="47">
        <f t="shared" ref="H181:H185" si="152">H180+G181</f>
        <v>0.704565030146425</v>
      </c>
      <c r="I181" s="187">
        <f t="shared" si="150"/>
        <v>31</v>
      </c>
      <c r="J181" s="172">
        <f t="shared" ref="J181:J185" si="153">J180+I181</f>
        <v>1934.5</v>
      </c>
      <c r="K181" s="115">
        <f t="shared" si="3"/>
        <v>0.73765490943756</v>
      </c>
      <c r="L181" s="191">
        <f t="shared" si="151"/>
        <v>3.66</v>
      </c>
      <c r="M181" s="172">
        <f t="shared" ref="M181:M185" si="154">M180+L181</f>
        <v>327.73</v>
      </c>
      <c r="N181" s="47">
        <f t="shared" si="4"/>
        <v>0.733849839897893</v>
      </c>
      <c r="O181" s="193">
        <f>P181/$F181</f>
        <v>0.1</v>
      </c>
      <c r="P181" s="194">
        <v>1.0</v>
      </c>
      <c r="Q181" s="195"/>
      <c r="R181" s="196">
        <f>Roles!$D$2</f>
        <v>0.61</v>
      </c>
      <c r="S181" s="196">
        <f>R181*P181</f>
        <v>0.61</v>
      </c>
      <c r="T181" s="193">
        <f>U181/$F181</f>
        <v>3</v>
      </c>
      <c r="U181" s="197">
        <v>30.0</v>
      </c>
      <c r="V181" s="195"/>
      <c r="W181" s="195">
        <f>Roles!$D$8</f>
        <v>0.09</v>
      </c>
      <c r="X181" s="199">
        <f>MIN(U181,1)*Roles!$D$5+MAX(U181-1,0)*W181</f>
        <v>3.05</v>
      </c>
      <c r="Y181" s="193">
        <f>Z181/$F181</f>
        <v>0</v>
      </c>
      <c r="Z181" s="197">
        <v>0.0</v>
      </c>
      <c r="AA181" s="195"/>
      <c r="AB181" s="195">
        <f>Roles!$D$7</f>
        <v>0.12</v>
      </c>
      <c r="AC181" s="199">
        <f>MIN(Z181,1)*Roles!$D$4+MAX(Z181-1,0)*AB181</f>
        <v>0</v>
      </c>
      <c r="AD181" s="193">
        <f>AE181/$F181</f>
        <v>0</v>
      </c>
      <c r="AE181" s="197">
        <v>0.0</v>
      </c>
      <c r="AF181" s="200"/>
      <c r="AG181" s="200">
        <f>Roles!$D$6</f>
        <v>0.1</v>
      </c>
      <c r="AH181" s="199">
        <f>MIN(AE181,1)*Roles!$D$3+MAX(AE181-1,0)*AG181</f>
        <v>0</v>
      </c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 t="shared" si="1"/>
        <v>2</v>
      </c>
      <c r="F182" s="80">
        <v>3.0</v>
      </c>
      <c r="G182" s="105">
        <f t="shared" si="2"/>
        <v>0.00258397932816538</v>
      </c>
      <c r="H182" s="47">
        <f t="shared" si="152"/>
        <v>0.707149009474591</v>
      </c>
      <c r="I182" s="187">
        <f t="shared" si="150"/>
        <v>7</v>
      </c>
      <c r="J182" s="172">
        <f t="shared" si="153"/>
        <v>1941.5</v>
      </c>
      <c r="K182" s="115">
        <f t="shared" si="3"/>
        <v>0.740324118207817</v>
      </c>
      <c r="L182" s="191">
        <f t="shared" si="151"/>
        <v>1.5</v>
      </c>
      <c r="M182" s="172">
        <f t="shared" si="154"/>
        <v>329.23</v>
      </c>
      <c r="N182" s="47">
        <f t="shared" si="4"/>
        <v>0.73720862536107</v>
      </c>
      <c r="O182" s="193">
        <f>P182/$F182</f>
        <v>0.333333333333333</v>
      </c>
      <c r="P182" s="194">
        <v>1.0</v>
      </c>
      <c r="Q182" s="195"/>
      <c r="R182" s="196">
        <f>Roles!$D$2</f>
        <v>0.61</v>
      </c>
      <c r="S182" s="196">
        <f>R182*P182</f>
        <v>0.61</v>
      </c>
      <c r="T182" s="193">
        <f>U182/$F182</f>
        <v>2</v>
      </c>
      <c r="U182" s="197">
        <v>6.0</v>
      </c>
      <c r="V182" s="195"/>
      <c r="W182" s="196">
        <f>Roles!$D$8</f>
        <v>0.09</v>
      </c>
      <c r="X182" s="199">
        <f>MIN(U182,1)*Roles!$D$5+MAX(U182-1,0)*W182</f>
        <v>0.89</v>
      </c>
      <c r="Y182" s="193">
        <f>Z182/$F182</f>
        <v>0</v>
      </c>
      <c r="Z182" s="197">
        <v>0.0</v>
      </c>
      <c r="AA182" s="195"/>
      <c r="AB182" s="196">
        <f>Roles!$D$7</f>
        <v>0.12</v>
      </c>
      <c r="AC182" s="199">
        <f>MIN(Z182,1)*Roles!$D$4+MAX(Z182-1,0)*AB182</f>
        <v>0</v>
      </c>
      <c r="AD182" s="193">
        <f>AE182/$F182</f>
        <v>0</v>
      </c>
      <c r="AE182" s="197">
        <v>0.0</v>
      </c>
      <c r="AF182" s="200"/>
      <c r="AG182" s="208">
        <f>Roles!$D$6</f>
        <v>0.1</v>
      </c>
      <c r="AH182" s="199">
        <f>MIN(AE182,1)*Roles!$D$3+MAX(AE182-1,0)*AG182</f>
        <v>0</v>
      </c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 t="shared" si="1"/>
        <v>1</v>
      </c>
      <c r="F183" s="80">
        <v>2.0</v>
      </c>
      <c r="G183" s="105">
        <f t="shared" si="2"/>
        <v>0.00172265288544358</v>
      </c>
      <c r="H183" s="47">
        <f t="shared" si="152"/>
        <v>0.708871662360034</v>
      </c>
      <c r="I183" s="187">
        <f t="shared" si="150"/>
        <v>4</v>
      </c>
      <c r="J183" s="172">
        <f t="shared" si="153"/>
        <v>1945.5</v>
      </c>
      <c r="K183" s="115">
        <f t="shared" si="3"/>
        <v>0.74184938036225</v>
      </c>
      <c r="L183" s="191">
        <f t="shared" si="151"/>
        <v>1.23</v>
      </c>
      <c r="M183" s="172">
        <f t="shared" si="154"/>
        <v>330.46</v>
      </c>
      <c r="N183" s="47">
        <f t="shared" si="4"/>
        <v>0.739962829440874</v>
      </c>
      <c r="O183" s="193">
        <f>P183/$F183</f>
        <v>0.5</v>
      </c>
      <c r="P183" s="194">
        <v>1.0</v>
      </c>
      <c r="Q183" s="195"/>
      <c r="R183" s="196">
        <f>Roles!$D$2</f>
        <v>0.61</v>
      </c>
      <c r="S183" s="196">
        <f>R183*P183</f>
        <v>0.61</v>
      </c>
      <c r="T183" s="193">
        <f>U183/$F183</f>
        <v>1.5</v>
      </c>
      <c r="U183" s="197">
        <v>3.0</v>
      </c>
      <c r="V183" s="195"/>
      <c r="W183" s="196">
        <f>Roles!$D$8</f>
        <v>0.09</v>
      </c>
      <c r="X183" s="199">
        <f>MIN(U183,1)*Roles!$D$5+MAX(U183-1,0)*W183</f>
        <v>0.62</v>
      </c>
      <c r="Y183" s="193">
        <f>Z183/$F183</f>
        <v>0</v>
      </c>
      <c r="Z183" s="197">
        <v>0.0</v>
      </c>
      <c r="AA183" s="195"/>
      <c r="AB183" s="196">
        <f>Roles!$D$7</f>
        <v>0.12</v>
      </c>
      <c r="AC183" s="199">
        <f>MIN(Z183,1)*Roles!$D$4+MAX(Z183-1,0)*AB183</f>
        <v>0</v>
      </c>
      <c r="AD183" s="193">
        <f>AE183/$F183</f>
        <v>0</v>
      </c>
      <c r="AE183" s="197">
        <v>0.0</v>
      </c>
      <c r="AF183" s="200"/>
      <c r="AG183" s="208">
        <f>Roles!$D$6</f>
        <v>0.1</v>
      </c>
      <c r="AH183" s="199">
        <f>MIN(AE183,1)*Roles!$D$3+MAX(AE183-1,0)*AG183</f>
        <v>0</v>
      </c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 t="shared" si="1"/>
        <v>1</v>
      </c>
      <c r="F184" s="80">
        <v>10.0</v>
      </c>
      <c r="G184" s="105">
        <f t="shared" si="2"/>
        <v>0.00861326442721792</v>
      </c>
      <c r="H184" s="47">
        <f t="shared" si="152"/>
        <v>0.717484926787252</v>
      </c>
      <c r="I184" s="187">
        <f t="shared" si="150"/>
        <v>13</v>
      </c>
      <c r="J184" s="172">
        <f t="shared" si="153"/>
        <v>1958.5</v>
      </c>
      <c r="K184" s="115">
        <f t="shared" si="3"/>
        <v>0.746806482364156</v>
      </c>
      <c r="L184" s="191">
        <f t="shared" si="151"/>
        <v>2.15</v>
      </c>
      <c r="M184" s="172">
        <f t="shared" si="154"/>
        <v>332.61</v>
      </c>
      <c r="N184" s="47">
        <f t="shared" si="4"/>
        <v>0.744777088604761</v>
      </c>
      <c r="O184" s="193">
        <f>P184/$F184</f>
        <v>0.1</v>
      </c>
      <c r="P184" s="194">
        <v>1.0</v>
      </c>
      <c r="Q184" s="195"/>
      <c r="R184" s="196">
        <f>Roles!$D$2</f>
        <v>0.61</v>
      </c>
      <c r="S184" s="196">
        <f>R184*P184</f>
        <v>0.61</v>
      </c>
      <c r="T184" s="193">
        <f>U184/$F184</f>
        <v>0</v>
      </c>
      <c r="U184" s="197">
        <v>0.0</v>
      </c>
      <c r="V184" s="195"/>
      <c r="W184" s="195">
        <f>Roles!$D$8</f>
        <v>0.09</v>
      </c>
      <c r="X184" s="199">
        <f>MIN(U184,1)*Roles!$D$5+MAX(U184-1,0)*W184</f>
        <v>0</v>
      </c>
      <c r="Y184" s="193">
        <f>Z184/$F184</f>
        <v>0</v>
      </c>
      <c r="Z184" s="197">
        <v>0.0</v>
      </c>
      <c r="AA184" s="195"/>
      <c r="AB184" s="195">
        <f>Roles!$D$7</f>
        <v>0.12</v>
      </c>
      <c r="AC184" s="199">
        <f>MIN(Z184,1)*Roles!$D$4+MAX(Z184-1,0)*AB184</f>
        <v>0</v>
      </c>
      <c r="AD184" s="193">
        <f>AE184/$F184</f>
        <v>1.2</v>
      </c>
      <c r="AE184" s="197">
        <v>12.0</v>
      </c>
      <c r="AF184" s="200"/>
      <c r="AG184" s="200">
        <f>Roles!$D$6</f>
        <v>0.1</v>
      </c>
      <c r="AH184" s="199">
        <f>MIN(AE184,1)*Roles!$D$3+MAX(AE184-1,0)*AG184</f>
        <v>1.54</v>
      </c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 t="shared" si="1"/>
        <v>1</v>
      </c>
      <c r="F185" s="136">
        <v>0.0</v>
      </c>
      <c r="G185" s="105">
        <f t="shared" si="2"/>
        <v>0</v>
      </c>
      <c r="H185" s="115">
        <f t="shared" si="152"/>
        <v>0.717484926787252</v>
      </c>
      <c r="I185" s="110">
        <f>F185</f>
        <v>0</v>
      </c>
      <c r="J185" s="110">
        <f t="shared" si="153"/>
        <v>1958.5</v>
      </c>
      <c r="K185" s="115">
        <f t="shared" si="3"/>
        <v>0.746806482364156</v>
      </c>
      <c r="L185" s="110">
        <v>0.0</v>
      </c>
      <c r="M185" s="110">
        <f t="shared" si="154"/>
        <v>332.61</v>
      </c>
      <c r="N185" s="115">
        <f t="shared" si="4"/>
        <v>0.744777088604761</v>
      </c>
      <c r="O185" s="289"/>
      <c r="P185" s="118"/>
      <c r="Q185" s="119"/>
      <c r="R185" s="119"/>
      <c r="S185" s="119"/>
      <c r="T185" s="119"/>
      <c r="U185" s="195"/>
      <c r="V185" s="119"/>
      <c r="W185" s="119"/>
      <c r="X185" s="119"/>
      <c r="Y185" s="119"/>
      <c r="Z185" s="347"/>
      <c r="AA185" s="119"/>
      <c r="AB185" s="119"/>
      <c r="AC185" s="119"/>
      <c r="AD185" s="119"/>
      <c r="AE185" s="195"/>
      <c r="AF185" s="119"/>
      <c r="AG185" s="235"/>
      <c r="AH185" s="119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 t="shared" si="1"/>
        <v>21</v>
      </c>
      <c r="F186" s="240">
        <f>F187+F194+F198+F202+F206</f>
        <v>209</v>
      </c>
      <c r="G186" s="105">
        <f t="shared" si="2"/>
        <v>0.180017226528854</v>
      </c>
      <c r="H186" s="224">
        <f>H211</f>
        <v>0.897502153316106</v>
      </c>
      <c r="I186" s="241">
        <f>I187+I194+I198+I202+I206</f>
        <v>390</v>
      </c>
      <c r="J186" s="241">
        <f>J211</f>
        <v>2348.5</v>
      </c>
      <c r="K186" s="138">
        <f t="shared" si="3"/>
        <v>0.895519542421354</v>
      </c>
      <c r="L186" s="241">
        <f>L187+L194+L198+L202+L206</f>
        <v>64.72</v>
      </c>
      <c r="M186" s="241">
        <f>M211</f>
        <v>397.33</v>
      </c>
      <c r="N186" s="224">
        <f t="shared" si="4"/>
        <v>0.889697485389283</v>
      </c>
      <c r="O186" s="294"/>
      <c r="P186" s="144"/>
      <c r="Q186" s="149"/>
      <c r="R186" s="149"/>
      <c r="S186" s="149"/>
      <c r="T186" s="149"/>
      <c r="U186" s="195"/>
      <c r="V186" s="149"/>
      <c r="W186" s="149"/>
      <c r="X186" s="149"/>
      <c r="Y186" s="149"/>
      <c r="Z186" s="195"/>
      <c r="AA186" s="149"/>
      <c r="AB186" s="149"/>
      <c r="AC186" s="149"/>
      <c r="AD186" s="142"/>
      <c r="AE186" s="195"/>
      <c r="AF186" s="150"/>
      <c r="AG186" s="150"/>
      <c r="AH186" s="149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 t="shared" si="1"/>
        <v>14</v>
      </c>
      <c r="F187" s="246">
        <f>SUM(F188:F193)</f>
        <v>19</v>
      </c>
      <c r="G187" s="105">
        <f t="shared" si="2"/>
        <v>0.016365202411714</v>
      </c>
      <c r="H187" s="226">
        <f>H193</f>
        <v>0.733850129198966</v>
      </c>
      <c r="I187" s="247">
        <f>SUM(I188:I193)</f>
        <v>68</v>
      </c>
      <c r="J187" s="247">
        <f>J193</f>
        <v>2026.5</v>
      </c>
      <c r="K187" s="167">
        <f t="shared" si="3"/>
        <v>0.772735938989514</v>
      </c>
      <c r="L187" s="247">
        <f>SUM(L188:L193)</f>
        <v>12.19</v>
      </c>
      <c r="M187" s="247">
        <f>M193</f>
        <v>344.8</v>
      </c>
      <c r="N187" s="167">
        <f t="shared" si="4"/>
        <v>0.772072818468842</v>
      </c>
      <c r="O187" s="173"/>
      <c r="P187" s="174"/>
      <c r="Q187" s="178"/>
      <c r="R187" s="178"/>
      <c r="S187" s="178"/>
      <c r="T187" s="173"/>
      <c r="U187" s="195"/>
      <c r="V187" s="178"/>
      <c r="W187" s="178"/>
      <c r="X187" s="178"/>
      <c r="Y187" s="173"/>
      <c r="Z187" s="195"/>
      <c r="AA187" s="178"/>
      <c r="AB187" s="178"/>
      <c r="AC187" s="178"/>
      <c r="AD187" s="173"/>
      <c r="AE187" s="195"/>
      <c r="AF187" s="180"/>
      <c r="AG187" s="180"/>
      <c r="AH187" s="178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 t="shared" si="1"/>
        <v>2</v>
      </c>
      <c r="F188" s="80">
        <v>3.0</v>
      </c>
      <c r="G188" s="105">
        <f t="shared" si="2"/>
        <v>0.00258397932816538</v>
      </c>
      <c r="H188" s="47">
        <f>H185+G188</f>
        <v>0.720068906115417</v>
      </c>
      <c r="I188" s="187">
        <f t="shared" ref="I188:I193" si="155">P188+U188+Z188+AE188</f>
        <v>12</v>
      </c>
      <c r="J188" s="172">
        <f>J185+I188</f>
        <v>1970.5</v>
      </c>
      <c r="K188" s="115">
        <f t="shared" si="3"/>
        <v>0.751382268827455</v>
      </c>
      <c r="L188" s="191">
        <f t="shared" ref="L188:L193" si="156">S188+X188+AC188+AH188</f>
        <v>1.76</v>
      </c>
      <c r="M188" s="172">
        <f>M185+L188</f>
        <v>334.37</v>
      </c>
      <c r="N188" s="47">
        <f t="shared" si="4"/>
        <v>0.748718063548221</v>
      </c>
      <c r="O188" s="193">
        <f>P188/$F188</f>
        <v>0</v>
      </c>
      <c r="P188" s="206">
        <v>0.0</v>
      </c>
      <c r="Q188" s="195"/>
      <c r="R188" s="196">
        <f>Roles!$D$2</f>
        <v>0.61</v>
      </c>
      <c r="S188" s="196">
        <f>R188*P188</f>
        <v>0</v>
      </c>
      <c r="T188" s="193">
        <f>U188/$F188</f>
        <v>0</v>
      </c>
      <c r="U188" s="197">
        <v>0.0</v>
      </c>
      <c r="V188" s="195"/>
      <c r="W188" s="196">
        <f>Roles!$D$8</f>
        <v>0.09</v>
      </c>
      <c r="X188" s="199">
        <f>MIN(U188,1)*Roles!$D$5+MAX(U188-1,0)*W188</f>
        <v>0</v>
      </c>
      <c r="Y188" s="193">
        <f>Z188/$F188</f>
        <v>4</v>
      </c>
      <c r="Z188" s="197">
        <v>12.0</v>
      </c>
      <c r="AA188" s="195"/>
      <c r="AB188" s="196">
        <f>Roles!$D$7</f>
        <v>0.12</v>
      </c>
      <c r="AC188" s="199">
        <f>MIN(Z188,1)*Roles!$D$4+MAX(Z188-1,0)*AB188</f>
        <v>1.76</v>
      </c>
      <c r="AD188" s="193">
        <f>AE188/$F188</f>
        <v>0</v>
      </c>
      <c r="AE188" s="197">
        <v>0.0</v>
      </c>
      <c r="AF188" s="200"/>
      <c r="AG188" s="208">
        <f>Roles!$D$6</f>
        <v>0.1</v>
      </c>
      <c r="AH188" s="199">
        <f>MIN(AE188,1)*Roles!$D$3+MAX(AE188-1,0)*AG188</f>
        <v>0</v>
      </c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 t="shared" si="1"/>
        <v>3</v>
      </c>
      <c r="F189" s="80">
        <v>4.0</v>
      </c>
      <c r="G189" s="105">
        <f t="shared" si="2"/>
        <v>0.00344530577088717</v>
      </c>
      <c r="H189" s="47">
        <f t="shared" ref="H189:H193" si="157">H188+G189</f>
        <v>0.723514211886305</v>
      </c>
      <c r="I189" s="187">
        <f t="shared" si="155"/>
        <v>8</v>
      </c>
      <c r="J189" s="172">
        <f t="shared" ref="J189:J193" si="158">J188+I189</f>
        <v>1978.5</v>
      </c>
      <c r="K189" s="115">
        <f t="shared" si="3"/>
        <v>0.75443279313632</v>
      </c>
      <c r="L189" s="191">
        <f t="shared" si="156"/>
        <v>1.54</v>
      </c>
      <c r="M189" s="172">
        <f t="shared" ref="M189:M193" si="159">M188+L189</f>
        <v>335.91</v>
      </c>
      <c r="N189" s="47">
        <f t="shared" si="4"/>
        <v>0.752166416623749</v>
      </c>
      <c r="O189" s="193">
        <f>P189/$F189</f>
        <v>0</v>
      </c>
      <c r="P189" s="206">
        <v>0.0</v>
      </c>
      <c r="Q189" s="195"/>
      <c r="R189" s="196">
        <f>Roles!$D$2</f>
        <v>0.61</v>
      </c>
      <c r="S189" s="196">
        <f>R189*P189</f>
        <v>0</v>
      </c>
      <c r="T189" s="193">
        <f>U189/$F189</f>
        <v>0</v>
      </c>
      <c r="U189" s="197">
        <v>0.0</v>
      </c>
      <c r="V189" s="195"/>
      <c r="W189" s="196">
        <f>Roles!$D$8</f>
        <v>0.09</v>
      </c>
      <c r="X189" s="199">
        <f>MIN(U189,1)*Roles!$D$5+MAX(U189-1,0)*W189</f>
        <v>0</v>
      </c>
      <c r="Y189" s="193">
        <f>Z189/$F189</f>
        <v>1</v>
      </c>
      <c r="Z189" s="197">
        <v>4.0</v>
      </c>
      <c r="AA189" s="195"/>
      <c r="AB189" s="196">
        <f>Roles!$D$7</f>
        <v>0.12</v>
      </c>
      <c r="AC189" s="199">
        <f>MIN(Z189,1)*Roles!$D$4+MAX(Z189-1,0)*AB189</f>
        <v>0.8</v>
      </c>
      <c r="AD189" s="193">
        <f>AE189/$F189</f>
        <v>1</v>
      </c>
      <c r="AE189" s="197">
        <v>4.0</v>
      </c>
      <c r="AF189" s="200"/>
      <c r="AG189" s="208">
        <f>Roles!$D$6</f>
        <v>0.1</v>
      </c>
      <c r="AH189" s="199">
        <f>MIN(AE189,1)*Roles!$D$3+MAX(AE189-1,0)*AG189</f>
        <v>0.74</v>
      </c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 t="shared" si="1"/>
        <v>2</v>
      </c>
      <c r="F190" s="80">
        <v>3.0</v>
      </c>
      <c r="G190" s="105">
        <f t="shared" si="2"/>
        <v>0.00258397932816538</v>
      </c>
      <c r="H190" s="47">
        <f t="shared" si="157"/>
        <v>0.72609819121447</v>
      </c>
      <c r="I190" s="187">
        <f t="shared" si="155"/>
        <v>15</v>
      </c>
      <c r="J190" s="172">
        <f t="shared" si="158"/>
        <v>1993.5</v>
      </c>
      <c r="K190" s="115">
        <f t="shared" si="3"/>
        <v>0.760152526215443</v>
      </c>
      <c r="L190" s="191">
        <f t="shared" si="156"/>
        <v>2.9</v>
      </c>
      <c r="M190" s="172">
        <f t="shared" si="159"/>
        <v>338.81</v>
      </c>
      <c r="N190" s="47">
        <f t="shared" si="4"/>
        <v>0.758660068519223</v>
      </c>
      <c r="O190" s="193">
        <f>P190/$F190</f>
        <v>0.333333333333333</v>
      </c>
      <c r="P190" s="194">
        <v>1.0</v>
      </c>
      <c r="Q190" s="195"/>
      <c r="R190" s="196">
        <f>Roles!$D$2</f>
        <v>0.61</v>
      </c>
      <c r="S190" s="196">
        <f>R190*P190</f>
        <v>0.61</v>
      </c>
      <c r="T190" s="193">
        <f>U190/$F190</f>
        <v>0.666666666666667</v>
      </c>
      <c r="U190" s="197">
        <v>2.0</v>
      </c>
      <c r="V190" s="195"/>
      <c r="W190" s="196">
        <f>Roles!$D$8</f>
        <v>0.09</v>
      </c>
      <c r="X190" s="199">
        <f>MIN(U190,1)*Roles!$D$5+MAX(U190-1,0)*W190</f>
        <v>0.53</v>
      </c>
      <c r="Y190" s="193">
        <f>Z190/$F190</f>
        <v>4</v>
      </c>
      <c r="Z190" s="197">
        <v>12.0</v>
      </c>
      <c r="AA190" s="195"/>
      <c r="AB190" s="196">
        <f>Roles!$D$7</f>
        <v>0.12</v>
      </c>
      <c r="AC190" s="199">
        <f>MIN(Z190,1)*Roles!$D$4+MAX(Z190-1,0)*AB190</f>
        <v>1.76</v>
      </c>
      <c r="AD190" s="193">
        <f>AE190/$F190</f>
        <v>0</v>
      </c>
      <c r="AE190" s="197">
        <v>0.0</v>
      </c>
      <c r="AF190" s="200"/>
      <c r="AG190" s="208">
        <f>Roles!$D$6</f>
        <v>0.1</v>
      </c>
      <c r="AH190" s="199">
        <f>MIN(AE190,1)*Roles!$D$3+MAX(AE190-1,0)*AG190</f>
        <v>0</v>
      </c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 t="shared" si="1"/>
        <v>2</v>
      </c>
      <c r="F191" s="80">
        <v>3.0</v>
      </c>
      <c r="G191" s="105">
        <f t="shared" si="2"/>
        <v>0.00258397932816538</v>
      </c>
      <c r="H191" s="47">
        <f t="shared" si="157"/>
        <v>0.728682170542635</v>
      </c>
      <c r="I191" s="187">
        <f t="shared" si="155"/>
        <v>12</v>
      </c>
      <c r="J191" s="172">
        <f t="shared" si="158"/>
        <v>2005.5</v>
      </c>
      <c r="K191" s="115">
        <f t="shared" si="3"/>
        <v>0.764728312678742</v>
      </c>
      <c r="L191" s="191">
        <f t="shared" si="156"/>
        <v>1.76</v>
      </c>
      <c r="M191" s="172">
        <f t="shared" si="159"/>
        <v>340.57</v>
      </c>
      <c r="N191" s="47">
        <f t="shared" si="4"/>
        <v>0.762601043462684</v>
      </c>
      <c r="O191" s="193">
        <f>P191/$F191</f>
        <v>0</v>
      </c>
      <c r="P191" s="206">
        <v>0.0</v>
      </c>
      <c r="Q191" s="195"/>
      <c r="R191" s="196">
        <f>Roles!$D$2</f>
        <v>0.61</v>
      </c>
      <c r="S191" s="196">
        <f>R191*P191</f>
        <v>0</v>
      </c>
      <c r="T191" s="193">
        <f>U191/$F191</f>
        <v>0</v>
      </c>
      <c r="U191" s="197">
        <v>0.0</v>
      </c>
      <c r="V191" s="195"/>
      <c r="W191" s="196">
        <f>Roles!$D$8</f>
        <v>0.09</v>
      </c>
      <c r="X191" s="199">
        <f>MIN(U191,1)*Roles!$D$5+MAX(U191-1,0)*W191</f>
        <v>0</v>
      </c>
      <c r="Y191" s="193">
        <f>Z191/$F191</f>
        <v>4</v>
      </c>
      <c r="Z191" s="197">
        <v>12.0</v>
      </c>
      <c r="AA191" s="195"/>
      <c r="AB191" s="196">
        <f>Roles!$D$7</f>
        <v>0.12</v>
      </c>
      <c r="AC191" s="199">
        <f>MIN(Z191,1)*Roles!$D$4+MAX(Z191-1,0)*AB191</f>
        <v>1.76</v>
      </c>
      <c r="AD191" s="193">
        <f>AE191/$F191</f>
        <v>0</v>
      </c>
      <c r="AE191" s="197">
        <v>0.0</v>
      </c>
      <c r="AF191" s="200"/>
      <c r="AG191" s="208">
        <f>Roles!$D$6</f>
        <v>0.1</v>
      </c>
      <c r="AH191" s="199">
        <f>MIN(AE191,1)*Roles!$D$3+MAX(AE191-1,0)*AG191</f>
        <v>0</v>
      </c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 t="shared" si="1"/>
        <v>2</v>
      </c>
      <c r="F192" s="80">
        <v>3.0</v>
      </c>
      <c r="G192" s="105">
        <f t="shared" si="2"/>
        <v>0.00258397932816538</v>
      </c>
      <c r="H192" s="47">
        <f t="shared" si="157"/>
        <v>0.731266149870801</v>
      </c>
      <c r="I192" s="187">
        <f t="shared" si="155"/>
        <v>14</v>
      </c>
      <c r="J192" s="172">
        <f t="shared" si="158"/>
        <v>2019.5</v>
      </c>
      <c r="K192" s="115">
        <f t="shared" si="3"/>
        <v>0.770066730219256</v>
      </c>
      <c r="L192" s="191">
        <f t="shared" si="156"/>
        <v>2.29</v>
      </c>
      <c r="M192" s="172">
        <f t="shared" si="159"/>
        <v>342.86</v>
      </c>
      <c r="N192" s="47">
        <f t="shared" si="4"/>
        <v>0.7677287892698</v>
      </c>
      <c r="O192" s="193">
        <f>P192/$F192</f>
        <v>0</v>
      </c>
      <c r="P192" s="206">
        <v>0.0</v>
      </c>
      <c r="Q192" s="195"/>
      <c r="R192" s="196">
        <f>Roles!$D$2</f>
        <v>0.61</v>
      </c>
      <c r="S192" s="196">
        <f>R192*P192</f>
        <v>0</v>
      </c>
      <c r="T192" s="193">
        <f>U192/$F192</f>
        <v>0.666666666666667</v>
      </c>
      <c r="U192" s="197">
        <v>2.0</v>
      </c>
      <c r="V192" s="195"/>
      <c r="W192" s="196">
        <f>Roles!$D$8</f>
        <v>0.09</v>
      </c>
      <c r="X192" s="199">
        <f>MIN(U192,1)*Roles!$D$5+MAX(U192-1,0)*W192</f>
        <v>0.53</v>
      </c>
      <c r="Y192" s="193">
        <f>Z192/$F192</f>
        <v>4</v>
      </c>
      <c r="Z192" s="197">
        <v>12.0</v>
      </c>
      <c r="AA192" s="195"/>
      <c r="AB192" s="196">
        <f>Roles!$D$7</f>
        <v>0.12</v>
      </c>
      <c r="AC192" s="199">
        <f>MIN(Z192,1)*Roles!$D$4+MAX(Z192-1,0)*AB192</f>
        <v>1.76</v>
      </c>
      <c r="AD192" s="193">
        <f>AE192/$F192</f>
        <v>0</v>
      </c>
      <c r="AE192" s="197">
        <v>0.0</v>
      </c>
      <c r="AF192" s="200"/>
      <c r="AG192" s="208">
        <f>Roles!$D$6</f>
        <v>0.1</v>
      </c>
      <c r="AH192" s="199">
        <f>MIN(AE192,1)*Roles!$D$3+MAX(AE192-1,0)*AG192</f>
        <v>0</v>
      </c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 t="shared" si="1"/>
        <v>2</v>
      </c>
      <c r="F193" s="80">
        <v>3.0</v>
      </c>
      <c r="G193" s="105">
        <f t="shared" si="2"/>
        <v>0.00258397932816538</v>
      </c>
      <c r="H193" s="47">
        <f t="shared" si="157"/>
        <v>0.733850129198966</v>
      </c>
      <c r="I193" s="187">
        <f t="shared" si="155"/>
        <v>7</v>
      </c>
      <c r="J193" s="172">
        <f t="shared" si="158"/>
        <v>2026.5</v>
      </c>
      <c r="K193" s="115">
        <f t="shared" si="3"/>
        <v>0.772735938989514</v>
      </c>
      <c r="L193" s="191">
        <f t="shared" si="156"/>
        <v>1.94</v>
      </c>
      <c r="M193" s="172">
        <f t="shared" si="159"/>
        <v>344.8</v>
      </c>
      <c r="N193" s="47">
        <f t="shared" si="4"/>
        <v>0.772072818468842</v>
      </c>
      <c r="O193" s="193">
        <f>P193/$F193</f>
        <v>0.333333333333333</v>
      </c>
      <c r="P193" s="194">
        <v>1.0</v>
      </c>
      <c r="Q193" s="195"/>
      <c r="R193" s="196">
        <f>Roles!$D$2</f>
        <v>0.61</v>
      </c>
      <c r="S193" s="196">
        <f>R193*P193</f>
        <v>0.61</v>
      </c>
      <c r="T193" s="193">
        <f>U193/$F193</f>
        <v>0.666666666666667</v>
      </c>
      <c r="U193" s="197">
        <v>2.0</v>
      </c>
      <c r="V193" s="195"/>
      <c r="W193" s="196">
        <f>Roles!$D$8</f>
        <v>0.09</v>
      </c>
      <c r="X193" s="199">
        <f>MIN(U193,1)*Roles!$D$5+MAX(U193-1,0)*W193</f>
        <v>0.53</v>
      </c>
      <c r="Y193" s="193">
        <f>Z193/$F193</f>
        <v>1.33333333333333</v>
      </c>
      <c r="Z193" s="197">
        <v>4.0</v>
      </c>
      <c r="AA193" s="195"/>
      <c r="AB193" s="196">
        <f>Roles!$D$7</f>
        <v>0.12</v>
      </c>
      <c r="AC193" s="199">
        <f>MIN(Z193,1)*Roles!$D$4+MAX(Z193-1,0)*AB193</f>
        <v>0.8</v>
      </c>
      <c r="AD193" s="193">
        <f>AE193/$F193</f>
        <v>0</v>
      </c>
      <c r="AE193" s="197">
        <v>0.0</v>
      </c>
      <c r="AF193" s="200"/>
      <c r="AG193" s="208">
        <f>Roles!$D$6</f>
        <v>0.1</v>
      </c>
      <c r="AH193" s="199">
        <f>MIN(AE193,1)*Roles!$D$3+MAX(AE193-1,0)*AG193</f>
        <v>0</v>
      </c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 t="shared" si="1"/>
        <v>8</v>
      </c>
      <c r="F194" s="246">
        <f>SUM(F195:F197)</f>
        <v>71</v>
      </c>
      <c r="G194" s="105">
        <f t="shared" si="2"/>
        <v>0.0611541774332472</v>
      </c>
      <c r="H194" s="226">
        <f>H197</f>
        <v>0.795004306632213</v>
      </c>
      <c r="I194" s="247">
        <f>SUM(I195:I197)</f>
        <v>96</v>
      </c>
      <c r="J194" s="247">
        <f>J197</f>
        <v>2122.5</v>
      </c>
      <c r="K194" s="167">
        <f t="shared" si="3"/>
        <v>0.809342230695901</v>
      </c>
      <c r="L194" s="247">
        <f>SUM(L195:L197)</f>
        <v>15.27</v>
      </c>
      <c r="M194" s="247">
        <f>M197</f>
        <v>360.07</v>
      </c>
      <c r="N194" s="226">
        <f t="shared" si="4"/>
        <v>0.806265254483979</v>
      </c>
      <c r="O194" s="264"/>
      <c r="P194" s="174"/>
      <c r="Q194" s="178"/>
      <c r="R194" s="178"/>
      <c r="S194" s="178"/>
      <c r="T194" s="178"/>
      <c r="U194" s="195"/>
      <c r="V194" s="178"/>
      <c r="W194" s="178"/>
      <c r="X194" s="178"/>
      <c r="Y194" s="178"/>
      <c r="Z194" s="195"/>
      <c r="AA194" s="178"/>
      <c r="AB194" s="178"/>
      <c r="AC194" s="178"/>
      <c r="AD194" s="173"/>
      <c r="AE194" s="195"/>
      <c r="AF194" s="180"/>
      <c r="AG194" s="180"/>
      <c r="AH194" s="178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 t="shared" si="1"/>
        <v>4</v>
      </c>
      <c r="F195" s="80">
        <v>35.0</v>
      </c>
      <c r="G195" s="105">
        <f t="shared" si="2"/>
        <v>0.0301464254952627</v>
      </c>
      <c r="H195" s="47">
        <f>H193+G195</f>
        <v>0.763996554694229</v>
      </c>
      <c r="I195" s="187">
        <f t="shared" ref="I195:I197" si="160">P195+U195+Z195+AE195</f>
        <v>46</v>
      </c>
      <c r="J195" s="172">
        <f>J193+I195</f>
        <v>2072.5</v>
      </c>
      <c r="K195" s="115">
        <f t="shared" si="3"/>
        <v>0.790276453765491</v>
      </c>
      <c r="L195" s="191">
        <f t="shared" ref="L195:L197" si="161">S195+X195+AC195+AH195</f>
        <v>6.67</v>
      </c>
      <c r="M195" s="172">
        <f>M193+L195</f>
        <v>351.47</v>
      </c>
      <c r="N195" s="47">
        <f t="shared" si="4"/>
        <v>0.787008217828433</v>
      </c>
      <c r="O195" s="193">
        <f>P195/$F195</f>
        <v>0.0571428571428571</v>
      </c>
      <c r="P195" s="194">
        <v>2.0</v>
      </c>
      <c r="Q195" s="195"/>
      <c r="R195" s="196">
        <f>Roles!$D$2</f>
        <v>0.61</v>
      </c>
      <c r="S195" s="196">
        <f>R195*P195</f>
        <v>1.22</v>
      </c>
      <c r="T195" s="193">
        <f>U195/$F195</f>
        <v>0.114285714285714</v>
      </c>
      <c r="U195" s="197">
        <v>4.0</v>
      </c>
      <c r="V195" s="195"/>
      <c r="W195" s="195">
        <f>Roles!$D$8</f>
        <v>0.09</v>
      </c>
      <c r="X195" s="199">
        <f>MIN(U195,1)*Roles!$D$5+MAX(U195-1,0)*W195</f>
        <v>0.71</v>
      </c>
      <c r="Y195" s="193">
        <f>Z195/$F195</f>
        <v>0.114285714285714</v>
      </c>
      <c r="Z195" s="197">
        <v>4.0</v>
      </c>
      <c r="AA195" s="195"/>
      <c r="AB195" s="195">
        <f>Roles!$D$7</f>
        <v>0.12</v>
      </c>
      <c r="AC195" s="199">
        <f>MIN(Z195,1)*Roles!$D$4+MAX(Z195-1,0)*AB195</f>
        <v>0.8</v>
      </c>
      <c r="AD195" s="193">
        <f>AE195/$F195</f>
        <v>1.02857142857143</v>
      </c>
      <c r="AE195" s="197">
        <v>36.0</v>
      </c>
      <c r="AF195" s="200"/>
      <c r="AG195" s="200">
        <f>Roles!$D$6</f>
        <v>0.1</v>
      </c>
      <c r="AH195" s="199">
        <f>MIN(AE195,1)*Roles!$D$3+MAX(AE195-1,0)*AG195</f>
        <v>3.94</v>
      </c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 t="shared" si="1"/>
        <v>1</v>
      </c>
      <c r="F196" s="80">
        <v>1</v>
      </c>
      <c r="G196" s="105">
        <f t="shared" si="2"/>
        <v>0.000861326442721792</v>
      </c>
      <c r="H196" s="186">
        <f t="shared" ref="H196:H197" si="162">H195+G196</f>
        <v>0.76485788113695</v>
      </c>
      <c r="I196" s="187">
        <f t="shared" si="160"/>
        <v>4</v>
      </c>
      <c r="J196" s="233">
        <f t="shared" ref="J196:J197" si="163">J195+I196</f>
        <v>2076.5</v>
      </c>
      <c r="K196" s="340">
        <f t="shared" si="3"/>
        <v>0.791801715919924</v>
      </c>
      <c r="L196" s="191">
        <f t="shared" si="161"/>
        <v>1.93</v>
      </c>
      <c r="M196" s="233">
        <f t="shared" ref="M196:M197" si="164">M195+L196</f>
        <v>353.4</v>
      </c>
      <c r="N196" s="47">
        <f t="shared" si="4"/>
        <v>0.791329855124387</v>
      </c>
      <c r="O196" s="193">
        <f>P196/$F196</f>
        <v>1</v>
      </c>
      <c r="P196" s="194">
        <v>1</v>
      </c>
      <c r="Q196" s="195"/>
      <c r="R196" s="196">
        <f>Roles!$D$2</f>
        <v>0.61</v>
      </c>
      <c r="S196" s="196">
        <f>R196*P196</f>
        <v>0.61</v>
      </c>
      <c r="T196" s="193">
        <f>U196/$F196</f>
        <v>1</v>
      </c>
      <c r="U196" s="197">
        <v>1</v>
      </c>
      <c r="V196" s="195"/>
      <c r="W196" s="195">
        <f>Roles!$D$5</f>
        <v>0.44</v>
      </c>
      <c r="X196" s="199">
        <f>U196*W196</f>
        <v>0.44</v>
      </c>
      <c r="Y196" s="193">
        <f>Z196/$F196</f>
        <v>1</v>
      </c>
      <c r="Z196" s="197">
        <v>1</v>
      </c>
      <c r="AA196" s="195"/>
      <c r="AB196" s="195">
        <f>Roles!$D$4</f>
        <v>0.44</v>
      </c>
      <c r="AC196" s="199">
        <f>Z196*AB196</f>
        <v>0.44</v>
      </c>
      <c r="AD196" s="193">
        <f>AE196/$F196</f>
        <v>1</v>
      </c>
      <c r="AE196" s="197">
        <v>1</v>
      </c>
      <c r="AF196" s="200"/>
      <c r="AG196" s="200">
        <f>Roles!$D$3</f>
        <v>0.44</v>
      </c>
      <c r="AH196" s="199">
        <f>AE196*AG196</f>
        <v>0.44</v>
      </c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 t="shared" si="1"/>
        <v>4</v>
      </c>
      <c r="F197" s="80">
        <v>35.0</v>
      </c>
      <c r="G197" s="105">
        <f t="shared" si="2"/>
        <v>0.0301464254952627</v>
      </c>
      <c r="H197" s="186">
        <f t="shared" si="162"/>
        <v>0.795004306632213</v>
      </c>
      <c r="I197" s="187">
        <f t="shared" si="160"/>
        <v>46</v>
      </c>
      <c r="J197" s="233">
        <f t="shared" si="163"/>
        <v>2122.5</v>
      </c>
      <c r="K197" s="340">
        <f t="shared" si="3"/>
        <v>0.809342230695901</v>
      </c>
      <c r="L197" s="191">
        <f t="shared" si="161"/>
        <v>6.67</v>
      </c>
      <c r="M197" s="233">
        <f t="shared" si="164"/>
        <v>360.07</v>
      </c>
      <c r="N197" s="47">
        <f t="shared" si="4"/>
        <v>0.806265254483979</v>
      </c>
      <c r="O197" s="193">
        <f>P197/$F197</f>
        <v>0.0571428571428571</v>
      </c>
      <c r="P197" s="194">
        <v>2.0</v>
      </c>
      <c r="Q197" s="195"/>
      <c r="R197" s="196">
        <f>Roles!$D$2</f>
        <v>0.61</v>
      </c>
      <c r="S197" s="196">
        <f>R197*P197</f>
        <v>1.22</v>
      </c>
      <c r="T197" s="193">
        <f>U197/$F197</f>
        <v>0.114285714285714</v>
      </c>
      <c r="U197" s="197">
        <v>4.0</v>
      </c>
      <c r="V197" s="195"/>
      <c r="W197" s="195">
        <f>Roles!$D$8</f>
        <v>0.09</v>
      </c>
      <c r="X197" s="199">
        <f>MIN(U197,1)*Roles!$D$5+MAX(U197-1,0)*W197</f>
        <v>0.71</v>
      </c>
      <c r="Y197" s="193">
        <f>Z197/$F197</f>
        <v>0.114285714285714</v>
      </c>
      <c r="Z197" s="197">
        <v>4.0</v>
      </c>
      <c r="AA197" s="195"/>
      <c r="AB197" s="195">
        <f>Roles!$D$7</f>
        <v>0.12</v>
      </c>
      <c r="AC197" s="199">
        <f>MIN(Z197,1)*Roles!$D$4+MAX(Z197-1,0)*AB197</f>
        <v>0.8</v>
      </c>
      <c r="AD197" s="193">
        <f>AE197/$F197</f>
        <v>1.02857142857143</v>
      </c>
      <c r="AE197" s="197">
        <v>36.0</v>
      </c>
      <c r="AF197" s="200"/>
      <c r="AG197" s="200">
        <f>Roles!$D$6</f>
        <v>0.1</v>
      </c>
      <c r="AH197" s="199">
        <f>MIN(AE197,1)*Roles!$D$3+MAX(AE197-1,0)*AG197</f>
        <v>3.94</v>
      </c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 t="shared" si="1"/>
        <v>7</v>
      </c>
      <c r="F198" s="246">
        <f>SUM(F199:F201)</f>
        <v>61</v>
      </c>
      <c r="G198" s="105">
        <f t="shared" si="2"/>
        <v>0.0525409130060293</v>
      </c>
      <c r="H198" s="226">
        <f>H201</f>
        <v>0.847545219638242</v>
      </c>
      <c r="I198" s="247">
        <f>SUM(I199:I201)</f>
        <v>96</v>
      </c>
      <c r="J198" s="247">
        <f>J201</f>
        <v>2218.5</v>
      </c>
      <c r="K198" s="167">
        <f t="shared" si="3"/>
        <v>0.845948522402288</v>
      </c>
      <c r="L198" s="247">
        <f>SUM(L199:L201)</f>
        <v>15.27</v>
      </c>
      <c r="M198" s="247">
        <f>M201</f>
        <v>375.34</v>
      </c>
      <c r="N198" s="167">
        <f t="shared" si="4"/>
        <v>0.840457690499116</v>
      </c>
      <c r="O198" s="264"/>
      <c r="P198" s="174"/>
      <c r="Q198" s="178"/>
      <c r="R198" s="178"/>
      <c r="S198" s="178"/>
      <c r="T198" s="178"/>
      <c r="U198" s="195"/>
      <c r="V198" s="178"/>
      <c r="W198" s="178"/>
      <c r="X198" s="178"/>
      <c r="Y198" s="178"/>
      <c r="Z198" s="195"/>
      <c r="AA198" s="178"/>
      <c r="AB198" s="178"/>
      <c r="AC198" s="178"/>
      <c r="AD198" s="173"/>
      <c r="AE198" s="195"/>
      <c r="AF198" s="180"/>
      <c r="AG198" s="180"/>
      <c r="AH198" s="178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 t="shared" si="1"/>
        <v>1</v>
      </c>
      <c r="F199" s="80">
        <v>1</v>
      </c>
      <c r="G199" s="105">
        <f t="shared" si="2"/>
        <v>0.000861326442721792</v>
      </c>
      <c r="H199" s="47">
        <f>H197+G199</f>
        <v>0.795865633074935</v>
      </c>
      <c r="I199" s="187">
        <f t="shared" ref="I199:I201" si="165">P199+U199+Z199+AE199</f>
        <v>4</v>
      </c>
      <c r="J199" s="172">
        <f>J197+I199</f>
        <v>2126.5</v>
      </c>
      <c r="K199" s="115">
        <f t="shared" si="3"/>
        <v>0.810867492850334</v>
      </c>
      <c r="L199" s="191">
        <f t="shared" ref="L199:L201" si="166">S199+X199+AC199+AH199</f>
        <v>1.93</v>
      </c>
      <c r="M199" s="172">
        <f>M197+L199</f>
        <v>362</v>
      </c>
      <c r="N199" s="282">
        <f t="shared" si="4"/>
        <v>0.810586891779933</v>
      </c>
      <c r="O199" s="193">
        <f>P199/$F199</f>
        <v>1</v>
      </c>
      <c r="P199" s="194">
        <v>1</v>
      </c>
      <c r="Q199" s="195"/>
      <c r="R199" s="196">
        <f>Roles!$D$2</f>
        <v>0.61</v>
      </c>
      <c r="S199" s="196">
        <f>R199*P199</f>
        <v>0.61</v>
      </c>
      <c r="T199" s="193">
        <f>U199/$F199</f>
        <v>1</v>
      </c>
      <c r="U199" s="197">
        <v>1</v>
      </c>
      <c r="V199" s="195"/>
      <c r="W199" s="195">
        <f>Roles!$D$5</f>
        <v>0.44</v>
      </c>
      <c r="X199" s="199">
        <f>U199*W199</f>
        <v>0.44</v>
      </c>
      <c r="Y199" s="193">
        <f>Z199/$F199</f>
        <v>1</v>
      </c>
      <c r="Z199" s="197">
        <v>1</v>
      </c>
      <c r="AA199" s="195"/>
      <c r="AB199" s="195">
        <f>Roles!$D$4</f>
        <v>0.44</v>
      </c>
      <c r="AC199" s="199">
        <f>Z199*AB199</f>
        <v>0.44</v>
      </c>
      <c r="AD199" s="193">
        <f>AE199/$F199</f>
        <v>1</v>
      </c>
      <c r="AE199" s="197">
        <v>1</v>
      </c>
      <c r="AF199" s="200"/>
      <c r="AG199" s="200">
        <f>Roles!$D$3</f>
        <v>0.44</v>
      </c>
      <c r="AH199" s="199">
        <f>AE199*AG199</f>
        <v>0.44</v>
      </c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 t="shared" si="1"/>
        <v>4</v>
      </c>
      <c r="F200" s="80">
        <v>30.0</v>
      </c>
      <c r="G200" s="105">
        <f t="shared" si="2"/>
        <v>0.0258397932816537</v>
      </c>
      <c r="H200" s="186">
        <f t="shared" ref="H200:H201" si="167">H199+G200</f>
        <v>0.821705426356589</v>
      </c>
      <c r="I200" s="187">
        <f t="shared" si="165"/>
        <v>46</v>
      </c>
      <c r="J200" s="233">
        <f t="shared" ref="J200:J201" si="168">J199+I200</f>
        <v>2172.5</v>
      </c>
      <c r="K200" s="340">
        <f t="shared" si="3"/>
        <v>0.828408007626311</v>
      </c>
      <c r="L200" s="191">
        <f t="shared" si="166"/>
        <v>6.67</v>
      </c>
      <c r="M200" s="233">
        <f t="shared" ref="M200:M201" si="169">M199+L200</f>
        <v>368.67</v>
      </c>
      <c r="N200" s="282">
        <f t="shared" si="4"/>
        <v>0.825522291139524</v>
      </c>
      <c r="O200" s="193">
        <f>P200/$F200</f>
        <v>0.0666666666666667</v>
      </c>
      <c r="P200" s="194">
        <v>2.0</v>
      </c>
      <c r="Q200" s="195"/>
      <c r="R200" s="196">
        <f>Roles!$D$2</f>
        <v>0.61</v>
      </c>
      <c r="S200" s="196">
        <f>R200*P200</f>
        <v>1.22</v>
      </c>
      <c r="T200" s="193">
        <f>U200/$F200</f>
        <v>0.133333333333333</v>
      </c>
      <c r="U200" s="197">
        <v>4.0</v>
      </c>
      <c r="V200" s="195"/>
      <c r="W200" s="195">
        <f>Roles!$D$8</f>
        <v>0.09</v>
      </c>
      <c r="X200" s="199">
        <f>MIN(U200,1)*Roles!$D$5+MAX(U200-1,0)*W200</f>
        <v>0.71</v>
      </c>
      <c r="Y200" s="193">
        <f>Z200/$F200</f>
        <v>0.133333333333333</v>
      </c>
      <c r="Z200" s="197">
        <v>4.0</v>
      </c>
      <c r="AA200" s="195"/>
      <c r="AB200" s="195">
        <f>Roles!$D$7</f>
        <v>0.12</v>
      </c>
      <c r="AC200" s="199">
        <f>MIN(Z200,1)*Roles!$D$4+MAX(Z200-1,0)*AB200</f>
        <v>0.8</v>
      </c>
      <c r="AD200" s="193">
        <f>AE200/$F200</f>
        <v>1.2</v>
      </c>
      <c r="AE200" s="197">
        <v>36.0</v>
      </c>
      <c r="AF200" s="200"/>
      <c r="AG200" s="200">
        <f>Roles!$D$6</f>
        <v>0.1</v>
      </c>
      <c r="AH200" s="199">
        <f>MIN(AE200,1)*Roles!$D$3+MAX(AE200-1,0)*AG200</f>
        <v>3.94</v>
      </c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 t="shared" si="1"/>
        <v>3</v>
      </c>
      <c r="F201" s="80">
        <v>30.0</v>
      </c>
      <c r="G201" s="105">
        <f t="shared" si="2"/>
        <v>0.0258397932816537</v>
      </c>
      <c r="H201" s="186">
        <f t="shared" si="167"/>
        <v>0.847545219638242</v>
      </c>
      <c r="I201" s="187">
        <f t="shared" si="165"/>
        <v>46</v>
      </c>
      <c r="J201" s="233">
        <f t="shared" si="168"/>
        <v>2218.5</v>
      </c>
      <c r="K201" s="340">
        <f t="shared" si="3"/>
        <v>0.845948522402288</v>
      </c>
      <c r="L201" s="191">
        <f t="shared" si="166"/>
        <v>6.67</v>
      </c>
      <c r="M201" s="233">
        <f t="shared" si="169"/>
        <v>375.34</v>
      </c>
      <c r="N201" s="323">
        <f t="shared" si="4"/>
        <v>0.840457690499116</v>
      </c>
      <c r="O201" s="193">
        <f>P201/$F201</f>
        <v>0.0666666666666667</v>
      </c>
      <c r="P201" s="194">
        <v>2.0</v>
      </c>
      <c r="Q201" s="195"/>
      <c r="R201" s="196">
        <f>Roles!$D$2</f>
        <v>0.61</v>
      </c>
      <c r="S201" s="196">
        <f>R201*P201</f>
        <v>1.22</v>
      </c>
      <c r="T201" s="193">
        <f>U201/$F201</f>
        <v>0.133333333333333</v>
      </c>
      <c r="U201" s="197">
        <v>4.0</v>
      </c>
      <c r="V201" s="195"/>
      <c r="W201" s="195">
        <f>Roles!$D$8</f>
        <v>0.09</v>
      </c>
      <c r="X201" s="199">
        <f>MIN(U201,1)*Roles!$D$5+MAX(U201-1,0)*W201</f>
        <v>0.71</v>
      </c>
      <c r="Y201" s="193">
        <f>Z201/$F201</f>
        <v>0.133333333333333</v>
      </c>
      <c r="Z201" s="197">
        <v>4.0</v>
      </c>
      <c r="AA201" s="195"/>
      <c r="AB201" s="195">
        <f>Roles!$D$7</f>
        <v>0.12</v>
      </c>
      <c r="AC201" s="199">
        <f>MIN(Z201,1)*Roles!$D$4+MAX(Z201-1,0)*AB201</f>
        <v>0.8</v>
      </c>
      <c r="AD201" s="193">
        <f>AE201/$F201</f>
        <v>1.2</v>
      </c>
      <c r="AE201" s="197">
        <v>36.0</v>
      </c>
      <c r="AF201" s="195"/>
      <c r="AG201" s="200">
        <f>Roles!$D$6</f>
        <v>0.1</v>
      </c>
      <c r="AH201" s="199">
        <f>MIN(AE201,1)*Roles!$D$3+MAX(AE201-1,0)*AG201</f>
        <v>3.94</v>
      </c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 t="shared" si="1"/>
        <v>3</v>
      </c>
      <c r="F202" s="246">
        <f>SUM(F203:F205)</f>
        <v>31</v>
      </c>
      <c r="G202" s="105">
        <f t="shared" si="2"/>
        <v>0.0267011197243755</v>
      </c>
      <c r="H202" s="226">
        <f>H205</f>
        <v>0.874246339362618</v>
      </c>
      <c r="I202" s="247">
        <f>SUM(I203:I205)</f>
        <v>47</v>
      </c>
      <c r="J202" s="247">
        <f>J205</f>
        <v>2265.5</v>
      </c>
      <c r="K202" s="167">
        <f t="shared" si="3"/>
        <v>0.863870352716873</v>
      </c>
      <c r="L202" s="247">
        <f>SUM(L203:L205)</f>
        <v>8.75</v>
      </c>
      <c r="M202" s="247">
        <f>M205</f>
        <v>384.09</v>
      </c>
      <c r="N202" s="226">
        <f t="shared" si="4"/>
        <v>0.860050605700979</v>
      </c>
      <c r="O202" s="264"/>
      <c r="P202" s="174"/>
      <c r="Q202" s="178"/>
      <c r="R202" s="178"/>
      <c r="S202" s="178"/>
      <c r="T202" s="178"/>
      <c r="U202" s="195"/>
      <c r="V202" s="178"/>
      <c r="W202" s="178"/>
      <c r="X202" s="178"/>
      <c r="Y202" s="178"/>
      <c r="Z202" s="195"/>
      <c r="AA202" s="178"/>
      <c r="AB202" s="178"/>
      <c r="AC202" s="178"/>
      <c r="AD202" s="173"/>
      <c r="AE202" s="195"/>
      <c r="AF202" s="180"/>
      <c r="AG202" s="180"/>
      <c r="AH202" s="178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 t="shared" si="1"/>
        <v>1</v>
      </c>
      <c r="F203" s="80">
        <v>1</v>
      </c>
      <c r="G203" s="105">
        <f t="shared" si="2"/>
        <v>0.000861326442721792</v>
      </c>
      <c r="H203" s="47">
        <f>H201+G203</f>
        <v>0.848406546080964</v>
      </c>
      <c r="I203" s="187">
        <f t="shared" ref="I203:I205" si="170">P203+U203+Z203+AE203</f>
        <v>4</v>
      </c>
      <c r="J203" s="172">
        <f>J201+I203</f>
        <v>2222.5</v>
      </c>
      <c r="K203" s="115">
        <f t="shared" si="3"/>
        <v>0.847473784556721</v>
      </c>
      <c r="L203" s="191">
        <f t="shared" ref="L203:L205" si="171">S203+X203+AC203+AH203</f>
        <v>1.93</v>
      </c>
      <c r="M203" s="172">
        <f>M201+L203</f>
        <v>377.27</v>
      </c>
      <c r="N203" s="47">
        <f t="shared" si="4"/>
        <v>0.84477932779507</v>
      </c>
      <c r="O203" s="193">
        <f>P203/$F203</f>
        <v>1</v>
      </c>
      <c r="P203" s="194">
        <v>1</v>
      </c>
      <c r="Q203" s="195"/>
      <c r="R203" s="196">
        <f>Roles!$D$2</f>
        <v>0.61</v>
      </c>
      <c r="S203" s="196">
        <f>R203*P203</f>
        <v>0.61</v>
      </c>
      <c r="T203" s="193">
        <f>U203/$F203</f>
        <v>1</v>
      </c>
      <c r="U203" s="197">
        <v>1</v>
      </c>
      <c r="V203" s="195"/>
      <c r="W203" s="195">
        <f>Roles!$D$5</f>
        <v>0.44</v>
      </c>
      <c r="X203" s="199">
        <f>U203*W203</f>
        <v>0.44</v>
      </c>
      <c r="Y203" s="193">
        <f>Z203/$F203</f>
        <v>1</v>
      </c>
      <c r="Z203" s="197">
        <v>1</v>
      </c>
      <c r="AA203" s="195"/>
      <c r="AB203" s="195">
        <f>Roles!$D$4</f>
        <v>0.44</v>
      </c>
      <c r="AC203" s="199">
        <f>Z203*AB203</f>
        <v>0.44</v>
      </c>
      <c r="AD203" s="193">
        <f>AE203/$F203</f>
        <v>1</v>
      </c>
      <c r="AE203" s="197">
        <v>1</v>
      </c>
      <c r="AF203" s="200"/>
      <c r="AG203" s="200">
        <f>Roles!$D$3</f>
        <v>0.44</v>
      </c>
      <c r="AH203" s="199">
        <f>AE203*AG203</f>
        <v>0.44</v>
      </c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 t="shared" si="1"/>
        <v>2</v>
      </c>
      <c r="F204" s="80">
        <v>20.0</v>
      </c>
      <c r="G204" s="105">
        <f t="shared" si="2"/>
        <v>0.0172265288544358</v>
      </c>
      <c r="H204" s="186">
        <f t="shared" ref="H204:H205" si="172">H203+G204</f>
        <v>0.8656330749354</v>
      </c>
      <c r="I204" s="187">
        <f t="shared" si="170"/>
        <v>30</v>
      </c>
      <c r="J204" s="233">
        <f t="shared" ref="J204:J205" si="173">J203+I204</f>
        <v>2252.5</v>
      </c>
      <c r="K204" s="340">
        <f t="shared" si="3"/>
        <v>0.858913250714967</v>
      </c>
      <c r="L204" s="191">
        <f t="shared" si="171"/>
        <v>4.67</v>
      </c>
      <c r="M204" s="233">
        <f t="shared" ref="M204:M205" si="174">M203+L204</f>
        <v>381.94</v>
      </c>
      <c r="N204" s="47">
        <f t="shared" si="4"/>
        <v>0.855236346537092</v>
      </c>
      <c r="O204" s="193">
        <f>P204/$F204</f>
        <v>0.1</v>
      </c>
      <c r="P204" s="194">
        <v>2.0</v>
      </c>
      <c r="Q204" s="195"/>
      <c r="R204" s="196">
        <f>Roles!$D$2</f>
        <v>0.61</v>
      </c>
      <c r="S204" s="196">
        <f>R204*P204</f>
        <v>1.22</v>
      </c>
      <c r="T204" s="193">
        <f>U204/$F204</f>
        <v>0.2</v>
      </c>
      <c r="U204" s="197">
        <v>4.0</v>
      </c>
      <c r="V204" s="195"/>
      <c r="W204" s="195">
        <f>Roles!$D$8</f>
        <v>0.09</v>
      </c>
      <c r="X204" s="199">
        <f>MIN(U204,1)*Roles!$D$5+MAX(U204-1,0)*W204</f>
        <v>0.71</v>
      </c>
      <c r="Y204" s="193">
        <f>Z204/$F204</f>
        <v>0</v>
      </c>
      <c r="Z204" s="197">
        <v>0.0</v>
      </c>
      <c r="AA204" s="195"/>
      <c r="AB204" s="195">
        <f>Roles!$D$7</f>
        <v>0.12</v>
      </c>
      <c r="AC204" s="199">
        <f>MIN(Z204,1)*Roles!$D$4+MAX(Z204-1,0)*AB204</f>
        <v>0</v>
      </c>
      <c r="AD204" s="193">
        <f>AE204/$F204</f>
        <v>1.2</v>
      </c>
      <c r="AE204" s="197">
        <v>24.0</v>
      </c>
      <c r="AF204" s="200"/>
      <c r="AG204" s="200">
        <f>Roles!$D$6</f>
        <v>0.1</v>
      </c>
      <c r="AH204" s="199">
        <f>MIN(AE204,1)*Roles!$D$3+MAX(AE204-1,0)*AG204</f>
        <v>2.74</v>
      </c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 t="shared" si="1"/>
        <v>1</v>
      </c>
      <c r="F205" s="80">
        <v>10.0</v>
      </c>
      <c r="G205" s="105">
        <f t="shared" si="2"/>
        <v>0.00861326442721792</v>
      </c>
      <c r="H205" s="186">
        <f t="shared" si="172"/>
        <v>0.874246339362618</v>
      </c>
      <c r="I205" s="187">
        <f t="shared" si="170"/>
        <v>13</v>
      </c>
      <c r="J205" s="233">
        <f t="shared" si="173"/>
        <v>2265.5</v>
      </c>
      <c r="K205" s="340">
        <f t="shared" si="3"/>
        <v>0.863870352716873</v>
      </c>
      <c r="L205" s="191">
        <f t="shared" si="171"/>
        <v>2.15</v>
      </c>
      <c r="M205" s="233">
        <f t="shared" si="174"/>
        <v>384.09</v>
      </c>
      <c r="N205" s="47">
        <f t="shared" si="4"/>
        <v>0.860050605700979</v>
      </c>
      <c r="O205" s="193">
        <f>P205/$F205</f>
        <v>0.1</v>
      </c>
      <c r="P205" s="194">
        <v>1.0</v>
      </c>
      <c r="Q205" s="195"/>
      <c r="R205" s="196">
        <f>Roles!$D$2</f>
        <v>0.61</v>
      </c>
      <c r="S205" s="196">
        <f>R205*P205</f>
        <v>0.61</v>
      </c>
      <c r="T205" s="193">
        <f>U205/$F205</f>
        <v>0</v>
      </c>
      <c r="U205" s="197">
        <v>0.0</v>
      </c>
      <c r="V205" s="195"/>
      <c r="W205" s="195">
        <f>Roles!$D$8</f>
        <v>0.09</v>
      </c>
      <c r="X205" s="199">
        <f>MIN(U205,1)*Roles!$D$5+MAX(U205-1,0)*W205</f>
        <v>0</v>
      </c>
      <c r="Y205" s="193">
        <f>Z205/$F205</f>
        <v>0</v>
      </c>
      <c r="Z205" s="197">
        <v>0.0</v>
      </c>
      <c r="AA205" s="195"/>
      <c r="AB205" s="195">
        <f>Roles!$D$7</f>
        <v>0.12</v>
      </c>
      <c r="AC205" s="199">
        <f>MIN(Z205,1)*Roles!$D$4+MAX(Z205-1,0)*AB205</f>
        <v>0</v>
      </c>
      <c r="AD205" s="193">
        <f>AE205/$F205</f>
        <v>1.2</v>
      </c>
      <c r="AE205" s="197">
        <v>12.0</v>
      </c>
      <c r="AF205" s="200"/>
      <c r="AG205" s="200">
        <f>Roles!$D$6</f>
        <v>0.1</v>
      </c>
      <c r="AH205" s="199">
        <f>MIN(AE205,1)*Roles!$D$3+MAX(AE205-1,0)*AG205</f>
        <v>1.54</v>
      </c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 t="shared" si="1"/>
        <v>3</v>
      </c>
      <c r="F206" s="246">
        <f>SUM(F207:F211)</f>
        <v>27</v>
      </c>
      <c r="G206" s="105">
        <f t="shared" si="2"/>
        <v>0.0232558139534884</v>
      </c>
      <c r="H206" s="226">
        <f>H211</f>
        <v>0.897502153316106</v>
      </c>
      <c r="I206" s="247">
        <f>SUM(I207:I211)</f>
        <v>83</v>
      </c>
      <c r="J206" s="247">
        <f>J211</f>
        <v>2348.5</v>
      </c>
      <c r="K206" s="167">
        <f t="shared" si="3"/>
        <v>0.895519542421354</v>
      </c>
      <c r="L206" s="247">
        <f>SUM(L207:L211)</f>
        <v>13.24</v>
      </c>
      <c r="M206" s="247">
        <f>M211</f>
        <v>397.33</v>
      </c>
      <c r="N206" s="226">
        <f t="shared" si="4"/>
        <v>0.889697485389283</v>
      </c>
      <c r="O206" s="264"/>
      <c r="P206" s="174"/>
      <c r="Q206" s="178"/>
      <c r="R206" s="178"/>
      <c r="S206" s="178"/>
      <c r="T206" s="178"/>
      <c r="U206" s="195"/>
      <c r="V206" s="178"/>
      <c r="W206" s="178"/>
      <c r="X206" s="178"/>
      <c r="Y206" s="178"/>
      <c r="Z206" s="195"/>
      <c r="AA206" s="178"/>
      <c r="AB206" s="178"/>
      <c r="AC206" s="178"/>
      <c r="AD206" s="173"/>
      <c r="AE206" s="195"/>
      <c r="AF206" s="180"/>
      <c r="AG206" s="180"/>
      <c r="AH206" s="178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 t="shared" si="1"/>
        <v>2</v>
      </c>
      <c r="F207" s="80">
        <v>10.0</v>
      </c>
      <c r="G207" s="105">
        <f t="shared" si="2"/>
        <v>0.00861326442721792</v>
      </c>
      <c r="H207" s="47">
        <f>H205+G207</f>
        <v>0.882859603789836</v>
      </c>
      <c r="I207" s="187">
        <f t="shared" ref="I207:I211" si="175">P207+U207+Z207+AE207</f>
        <v>21</v>
      </c>
      <c r="J207" s="172">
        <f>J205+I207</f>
        <v>2286.5</v>
      </c>
      <c r="K207" s="115">
        <f t="shared" si="3"/>
        <v>0.871877979027645</v>
      </c>
      <c r="L207" s="191">
        <f t="shared" ref="L207:L211" si="176">S207+X207+AC207+AH207</f>
        <v>3.43</v>
      </c>
      <c r="M207" s="172">
        <f>M205+L207</f>
        <v>387.52</v>
      </c>
      <c r="N207" s="47">
        <f t="shared" si="4"/>
        <v>0.867731028460109</v>
      </c>
      <c r="O207" s="193">
        <f>P207/$F207</f>
        <v>0.1</v>
      </c>
      <c r="P207" s="194">
        <v>1.0</v>
      </c>
      <c r="Q207" s="195"/>
      <c r="R207" s="196">
        <f>Roles!$D$2</f>
        <v>0.61</v>
      </c>
      <c r="S207" s="196">
        <f>R207*P207</f>
        <v>0.61</v>
      </c>
      <c r="T207" s="193">
        <f>U207/$F207</f>
        <v>0</v>
      </c>
      <c r="U207" s="197">
        <v>0.0</v>
      </c>
      <c r="V207" s="195"/>
      <c r="W207" s="195">
        <f>Roles!$D$8</f>
        <v>0.09</v>
      </c>
      <c r="X207" s="199">
        <f>MIN(U207,1)*Roles!$D$5+MAX(U207-1,0)*W207</f>
        <v>0</v>
      </c>
      <c r="Y207" s="193">
        <f>Z207/$F207</f>
        <v>0.8</v>
      </c>
      <c r="Z207" s="197">
        <v>8</v>
      </c>
      <c r="AA207" s="195"/>
      <c r="AB207" s="195">
        <f>Roles!$D$7</f>
        <v>0.12</v>
      </c>
      <c r="AC207" s="199">
        <f>MIN(Z207,1)*Roles!$D$4+MAX(Z207-1,0)*AB207</f>
        <v>1.28</v>
      </c>
      <c r="AD207" s="193">
        <f>AE207/$F207</f>
        <v>1.2</v>
      </c>
      <c r="AE207" s="197">
        <v>12.0</v>
      </c>
      <c r="AF207" s="200"/>
      <c r="AG207" s="200">
        <f>Roles!$D$6</f>
        <v>0.1</v>
      </c>
      <c r="AH207" s="199">
        <f>MIN(AE207,1)*Roles!$D$3+MAX(AE207-1,0)*AG207</f>
        <v>1.54</v>
      </c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 t="shared" si="1"/>
        <v>2</v>
      </c>
      <c r="F208" s="80">
        <v>3.0</v>
      </c>
      <c r="G208" s="105">
        <f t="shared" si="2"/>
        <v>0.00258397932816538</v>
      </c>
      <c r="H208" s="47">
        <f t="shared" ref="H208:H212" si="177">H207+G208</f>
        <v>0.885443583118001</v>
      </c>
      <c r="I208" s="187">
        <f t="shared" si="175"/>
        <v>9</v>
      </c>
      <c r="J208" s="172">
        <f t="shared" ref="J208:J212" si="178">J207+I208</f>
        <v>2295.5</v>
      </c>
      <c r="K208" s="115">
        <f t="shared" si="3"/>
        <v>0.875309818875119</v>
      </c>
      <c r="L208" s="191">
        <f t="shared" si="176"/>
        <v>2.08</v>
      </c>
      <c r="M208" s="172">
        <f t="shared" ref="M208:M212" si="179">M207+L208</f>
        <v>389.6</v>
      </c>
      <c r="N208" s="47">
        <f t="shared" si="4"/>
        <v>0.87238854430238</v>
      </c>
      <c r="O208" s="193">
        <f>P208/$F208</f>
        <v>0.333333333333333</v>
      </c>
      <c r="P208" s="194">
        <v>1.0</v>
      </c>
      <c r="Q208" s="195"/>
      <c r="R208" s="196">
        <f>Roles!$D$2</f>
        <v>0.61</v>
      </c>
      <c r="S208" s="196">
        <f>R208*P208</f>
        <v>0.61</v>
      </c>
      <c r="T208" s="193">
        <f>U208/$F208</f>
        <v>0.666666666666667</v>
      </c>
      <c r="U208" s="197">
        <v>2.0</v>
      </c>
      <c r="V208" s="195"/>
      <c r="W208" s="196">
        <f>Roles!$D$8</f>
        <v>0.09</v>
      </c>
      <c r="X208" s="199">
        <f>MIN(U208,1)*Roles!$D$5+MAX(U208-1,0)*W208</f>
        <v>0.53</v>
      </c>
      <c r="Y208" s="193">
        <f>Z208/$F208</f>
        <v>0</v>
      </c>
      <c r="Z208" s="197">
        <v>0.0</v>
      </c>
      <c r="AA208" s="195"/>
      <c r="AB208" s="196">
        <f>Roles!$D$7</f>
        <v>0.12</v>
      </c>
      <c r="AC208" s="199">
        <f>MIN(Z208,1)*Roles!$D$4+MAX(Z208-1,0)*AB208</f>
        <v>0</v>
      </c>
      <c r="AD208" s="193">
        <f>AE208/$F208</f>
        <v>2</v>
      </c>
      <c r="AE208" s="197">
        <v>6.0</v>
      </c>
      <c r="AF208" s="200"/>
      <c r="AG208" s="208">
        <f>Roles!$D$6</f>
        <v>0.1</v>
      </c>
      <c r="AH208" s="199">
        <f>MIN(AE208,1)*Roles!$D$3+MAX(AE208-1,0)*AG208</f>
        <v>0.94</v>
      </c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 t="shared" si="1"/>
        <v>1</v>
      </c>
      <c r="F209" s="80">
        <v>2.0</v>
      </c>
      <c r="G209" s="105">
        <f t="shared" si="2"/>
        <v>0.00172265288544358</v>
      </c>
      <c r="H209" s="47">
        <f t="shared" si="177"/>
        <v>0.887166236003445</v>
      </c>
      <c r="I209" s="187">
        <f t="shared" si="175"/>
        <v>4</v>
      </c>
      <c r="J209" s="172">
        <f t="shared" si="178"/>
        <v>2299.5</v>
      </c>
      <c r="K209" s="115">
        <f t="shared" si="3"/>
        <v>0.876835081029552</v>
      </c>
      <c r="L209" s="191">
        <f t="shared" si="176"/>
        <v>1.23</v>
      </c>
      <c r="M209" s="172">
        <f t="shared" si="179"/>
        <v>390.83</v>
      </c>
      <c r="N209" s="47">
        <f t="shared" si="4"/>
        <v>0.875142748382185</v>
      </c>
      <c r="O209" s="193">
        <f>P209/$F209</f>
        <v>0.5</v>
      </c>
      <c r="P209" s="194">
        <v>1.0</v>
      </c>
      <c r="Q209" s="195"/>
      <c r="R209" s="196">
        <f>Roles!$D$2</f>
        <v>0.61</v>
      </c>
      <c r="S209" s="196">
        <f>R209*P209</f>
        <v>0.61</v>
      </c>
      <c r="T209" s="193">
        <f>U209/$F209</f>
        <v>1.5</v>
      </c>
      <c r="U209" s="197">
        <v>3.0</v>
      </c>
      <c r="V209" s="195"/>
      <c r="W209" s="196">
        <f>Roles!$D$8</f>
        <v>0.09</v>
      </c>
      <c r="X209" s="199">
        <f>MIN(U209,1)*Roles!$D$5+MAX(U209-1,0)*W209</f>
        <v>0.62</v>
      </c>
      <c r="Y209" s="193">
        <f>Z209/$F209</f>
        <v>0</v>
      </c>
      <c r="Z209" s="197">
        <v>0.0</v>
      </c>
      <c r="AA209" s="195"/>
      <c r="AB209" s="196">
        <f>Roles!$D$7</f>
        <v>0.12</v>
      </c>
      <c r="AC209" s="199">
        <f>MIN(Z209,1)*Roles!$D$4+MAX(Z209-1,0)*AB209</f>
        <v>0</v>
      </c>
      <c r="AD209" s="193">
        <f>AE209/$F209</f>
        <v>0</v>
      </c>
      <c r="AE209" s="197">
        <v>0.0</v>
      </c>
      <c r="AF209" s="200"/>
      <c r="AG209" s="208">
        <f>Roles!$D$6</f>
        <v>0.1</v>
      </c>
      <c r="AH209" s="199">
        <f>MIN(AE209,1)*Roles!$D$3+MAX(AE209-1,0)*AG209</f>
        <v>0</v>
      </c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 t="shared" si="1"/>
        <v>1</v>
      </c>
      <c r="F210" s="80">
        <v>10.0</v>
      </c>
      <c r="G210" s="105">
        <f t="shared" si="2"/>
        <v>0.00861326442721792</v>
      </c>
      <c r="H210" s="47">
        <f t="shared" si="177"/>
        <v>0.895779500430663</v>
      </c>
      <c r="I210" s="187">
        <f t="shared" si="175"/>
        <v>44</v>
      </c>
      <c r="J210" s="351">
        <f t="shared" si="178"/>
        <v>2343.5</v>
      </c>
      <c r="K210" s="352">
        <f t="shared" si="3"/>
        <v>0.893612964728313</v>
      </c>
      <c r="L210" s="191">
        <f t="shared" si="176"/>
        <v>5.18</v>
      </c>
      <c r="M210" s="351">
        <f t="shared" si="179"/>
        <v>396.01</v>
      </c>
      <c r="N210" s="47">
        <f t="shared" si="4"/>
        <v>0.886741754181688</v>
      </c>
      <c r="O210" s="193">
        <f>P210/$F210</f>
        <v>0.1</v>
      </c>
      <c r="P210" s="194">
        <v>1.0</v>
      </c>
      <c r="Q210" s="195"/>
      <c r="R210" s="196">
        <f>Roles!$D$2</f>
        <v>0.61</v>
      </c>
      <c r="S210" s="196">
        <f>R210*P210</f>
        <v>0.61</v>
      </c>
      <c r="T210" s="193">
        <f>U210/$F210</f>
        <v>4.2</v>
      </c>
      <c r="U210" s="197">
        <v>42.0</v>
      </c>
      <c r="V210" s="195"/>
      <c r="W210" s="195">
        <f>Roles!$D$8</f>
        <v>0.09</v>
      </c>
      <c r="X210" s="199">
        <f>MIN(U210,1)*Roles!$D$5+MAX(U210-1,0)*W210</f>
        <v>4.13</v>
      </c>
      <c r="Y210" s="193">
        <f>Z210/$F210</f>
        <v>0</v>
      </c>
      <c r="Z210" s="197">
        <v>0.0</v>
      </c>
      <c r="AA210" s="195"/>
      <c r="AB210" s="195">
        <f>Roles!$D$7</f>
        <v>0.12</v>
      </c>
      <c r="AC210" s="199">
        <f>MIN(Z210,1)*Roles!$D$4+MAX(Z210-1,0)*AB210</f>
        <v>0</v>
      </c>
      <c r="AD210" s="193">
        <f>AE210/$F210</f>
        <v>0.1</v>
      </c>
      <c r="AE210" s="197">
        <v>1.0</v>
      </c>
      <c r="AF210" s="200"/>
      <c r="AG210" s="200">
        <f>Roles!$D$6</f>
        <v>0.1</v>
      </c>
      <c r="AH210" s="199">
        <f>MIN(AE210,1)*Roles!$D$3+MAX(AE210-1,0)*AG210</f>
        <v>0.44</v>
      </c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 t="shared" si="1"/>
        <v>1</v>
      </c>
      <c r="F211" s="80">
        <v>2.0</v>
      </c>
      <c r="G211" s="105">
        <f t="shared" si="2"/>
        <v>0.00172265288544358</v>
      </c>
      <c r="H211" s="47">
        <f t="shared" si="177"/>
        <v>0.897502153316106</v>
      </c>
      <c r="I211" s="187">
        <f t="shared" si="175"/>
        <v>5</v>
      </c>
      <c r="J211" s="172">
        <f t="shared" si="178"/>
        <v>2348.5</v>
      </c>
      <c r="K211" s="115">
        <f t="shared" si="3"/>
        <v>0.895519542421354</v>
      </c>
      <c r="L211" s="191">
        <f t="shared" si="176"/>
        <v>1.32</v>
      </c>
      <c r="M211" s="172">
        <f t="shared" si="179"/>
        <v>397.33</v>
      </c>
      <c r="N211" s="47">
        <f t="shared" si="4"/>
        <v>0.889697485389283</v>
      </c>
      <c r="O211" s="193">
        <f>P211/$F211</f>
        <v>0.5</v>
      </c>
      <c r="P211" s="194">
        <v>1.0</v>
      </c>
      <c r="Q211" s="195"/>
      <c r="R211" s="196">
        <f>Roles!$D$2</f>
        <v>0.61</v>
      </c>
      <c r="S211" s="196">
        <f>R211*P211</f>
        <v>0.61</v>
      </c>
      <c r="T211" s="193">
        <f>U211/$F211</f>
        <v>2</v>
      </c>
      <c r="U211" s="197">
        <v>4.0</v>
      </c>
      <c r="V211" s="195"/>
      <c r="W211" s="196">
        <f>Roles!$D$8</f>
        <v>0.09</v>
      </c>
      <c r="X211" s="199">
        <f>MIN(U211,1)*Roles!$D$5+MAX(U211-1,0)*W211</f>
        <v>0.71</v>
      </c>
      <c r="Y211" s="193">
        <f>Z211/$F211</f>
        <v>0</v>
      </c>
      <c r="Z211" s="197">
        <v>0.0</v>
      </c>
      <c r="AA211" s="195"/>
      <c r="AB211" s="196">
        <f>Roles!$D$7</f>
        <v>0.12</v>
      </c>
      <c r="AC211" s="199">
        <f>MIN(Z211,1)*Roles!$D$4+MAX(Z211-1,0)*AB211</f>
        <v>0</v>
      </c>
      <c r="AD211" s="193">
        <f>AE211/$F211</f>
        <v>0</v>
      </c>
      <c r="AE211" s="197">
        <v>0.0</v>
      </c>
      <c r="AF211" s="200"/>
      <c r="AG211" s="208">
        <f>Roles!$D$6</f>
        <v>0.1</v>
      </c>
      <c r="AH211" s="199">
        <f>MIN(AE211,1)*Roles!$D$3+MAX(AE211-1,0)*AG211</f>
        <v>0</v>
      </c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 t="shared" si="1"/>
        <v>1</v>
      </c>
      <c r="F212" s="136">
        <v>0.0</v>
      </c>
      <c r="G212" s="105">
        <f t="shared" si="2"/>
        <v>0</v>
      </c>
      <c r="H212" s="115">
        <f t="shared" si="177"/>
        <v>0.897502153316106</v>
      </c>
      <c r="I212" s="110">
        <f>F212</f>
        <v>0</v>
      </c>
      <c r="J212" s="110">
        <f t="shared" si="178"/>
        <v>2348.5</v>
      </c>
      <c r="K212" s="115">
        <f t="shared" si="3"/>
        <v>0.895519542421354</v>
      </c>
      <c r="L212" s="110">
        <v>0.0</v>
      </c>
      <c r="M212" s="110">
        <f t="shared" si="179"/>
        <v>397.33</v>
      </c>
      <c r="N212" s="115">
        <f t="shared" si="4"/>
        <v>0.889697485389283</v>
      </c>
      <c r="O212" s="289"/>
      <c r="P212" s="118"/>
      <c r="Q212" s="119"/>
      <c r="R212" s="119"/>
      <c r="S212" s="119"/>
      <c r="T212" s="119"/>
      <c r="U212" s="195"/>
      <c r="V212" s="119"/>
      <c r="W212" s="119"/>
      <c r="X212" s="119"/>
      <c r="Y212" s="119"/>
      <c r="Z212" s="195"/>
      <c r="AA212" s="119"/>
      <c r="AB212" s="119"/>
      <c r="AC212" s="119"/>
      <c r="AD212" s="116"/>
      <c r="AE212" s="195"/>
      <c r="AF212" s="235"/>
      <c r="AG212" s="235"/>
      <c r="AH212" s="119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 t="shared" si="1"/>
        <v>15</v>
      </c>
      <c r="F213" s="240">
        <f>F214+F218+F223+F229+F232</f>
        <v>119</v>
      </c>
      <c r="G213" s="105">
        <f t="shared" si="2"/>
        <v>0.102497846683893</v>
      </c>
      <c r="H213" s="224">
        <f>H237</f>
        <v>0.999999999999999</v>
      </c>
      <c r="I213" s="241">
        <f>I214+I218+I223+I229+I232</f>
        <v>274</v>
      </c>
      <c r="J213" s="241">
        <f>J237</f>
        <v>2622.5</v>
      </c>
      <c r="K213" s="138">
        <f t="shared" si="3"/>
        <v>1</v>
      </c>
      <c r="L213" s="241">
        <f>L214+L218+L223+L229+L232</f>
        <v>49.26</v>
      </c>
      <c r="M213" s="241">
        <f>M237</f>
        <v>446.59</v>
      </c>
      <c r="N213" s="138">
        <f t="shared" si="4"/>
        <v>1</v>
      </c>
      <c r="O213" s="294"/>
      <c r="P213" s="144"/>
      <c r="Q213" s="149"/>
      <c r="R213" s="149"/>
      <c r="S213" s="149"/>
      <c r="T213" s="149"/>
      <c r="U213" s="195"/>
      <c r="V213" s="149"/>
      <c r="W213" s="149"/>
      <c r="X213" s="149"/>
      <c r="Y213" s="149"/>
      <c r="Z213" s="195"/>
      <c r="AA213" s="149"/>
      <c r="AB213" s="149"/>
      <c r="AC213" s="149"/>
      <c r="AD213" s="142"/>
      <c r="AE213" s="195"/>
      <c r="AF213" s="150"/>
      <c r="AG213" s="150"/>
      <c r="AH213" s="149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 t="shared" si="1"/>
        <v>6</v>
      </c>
      <c r="F214" s="246">
        <f>SUM(F215:F217)</f>
        <v>31</v>
      </c>
      <c r="G214" s="105">
        <f t="shared" si="2"/>
        <v>0.0267011197243755</v>
      </c>
      <c r="H214" s="226">
        <f>H217</f>
        <v>0.924203273040482</v>
      </c>
      <c r="I214" s="247">
        <f>SUM(I215:I217)</f>
        <v>54</v>
      </c>
      <c r="J214" s="247">
        <f>J217</f>
        <v>2402.5</v>
      </c>
      <c r="K214" s="167">
        <f t="shared" si="3"/>
        <v>0.916110581506196</v>
      </c>
      <c r="L214" s="247">
        <f>SUM(L215:L217)</f>
        <v>9.42</v>
      </c>
      <c r="M214" s="247">
        <f>M217</f>
        <v>406.75</v>
      </c>
      <c r="N214" s="167">
        <f t="shared" si="4"/>
        <v>0.910790658098032</v>
      </c>
      <c r="O214" s="264"/>
      <c r="P214" s="174"/>
      <c r="Q214" s="178"/>
      <c r="R214" s="178"/>
      <c r="S214" s="178"/>
      <c r="T214" s="178"/>
      <c r="U214" s="195"/>
      <c r="V214" s="178"/>
      <c r="W214" s="178"/>
      <c r="X214" s="178"/>
      <c r="Y214" s="178"/>
      <c r="Z214" s="195"/>
      <c r="AA214" s="178"/>
      <c r="AB214" s="178"/>
      <c r="AC214" s="178"/>
      <c r="AD214" s="173"/>
      <c r="AE214" s="195"/>
      <c r="AF214" s="180"/>
      <c r="AG214" s="180"/>
      <c r="AH214" s="178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 t="shared" si="1"/>
        <v>3</v>
      </c>
      <c r="F215" s="80">
        <v>15.0</v>
      </c>
      <c r="G215" s="105">
        <f t="shared" si="2"/>
        <v>0.0129198966408269</v>
      </c>
      <c r="H215" s="353">
        <f>H212+G215</f>
        <v>0.910422049956933</v>
      </c>
      <c r="I215" s="187">
        <f t="shared" ref="I215:I217" si="180">P215+U215+Z215+AE215</f>
        <v>27</v>
      </c>
      <c r="J215" s="351">
        <f>J212+I215</f>
        <v>2375.5</v>
      </c>
      <c r="K215" s="352">
        <f t="shared" si="3"/>
        <v>0.905815061963775</v>
      </c>
      <c r="L215" s="191">
        <f t="shared" ref="L215:L217" si="181">S215+X215+AC215+AH215</f>
        <v>4.03</v>
      </c>
      <c r="M215" s="351">
        <f>M212+L215</f>
        <v>401.36</v>
      </c>
      <c r="N215" s="248">
        <f t="shared" si="4"/>
        <v>0.898721422333684</v>
      </c>
      <c r="O215" s="193">
        <f>P215/$F215</f>
        <v>0.0666666666666667</v>
      </c>
      <c r="P215" s="194">
        <v>1.0</v>
      </c>
      <c r="Q215" s="195"/>
      <c r="R215" s="196">
        <f>Roles!$D$2</f>
        <v>0.61</v>
      </c>
      <c r="S215" s="196">
        <f>R215*P215</f>
        <v>0.61</v>
      </c>
      <c r="T215" s="193">
        <f>U215/$F215</f>
        <v>0</v>
      </c>
      <c r="U215" s="197">
        <v>0.0</v>
      </c>
      <c r="V215" s="195"/>
      <c r="W215" s="196">
        <f>Roles!$D$8</f>
        <v>0.09</v>
      </c>
      <c r="X215" s="199">
        <f>MIN(U215,1)*Roles!$D$5+MAX(U215-1,0)*W215</f>
        <v>0</v>
      </c>
      <c r="Y215" s="193">
        <f>Z215/$F215</f>
        <v>0.533333333333333</v>
      </c>
      <c r="Z215" s="197">
        <v>8</v>
      </c>
      <c r="AA215" s="195"/>
      <c r="AB215" s="196">
        <f>Roles!$D$7</f>
        <v>0.12</v>
      </c>
      <c r="AC215" s="199">
        <f>MIN(Z215,1)*Roles!$D$4+MAX(Z215-1,0)*AB215</f>
        <v>1.28</v>
      </c>
      <c r="AD215" s="193">
        <f>AE215/$F215</f>
        <v>1.2</v>
      </c>
      <c r="AE215" s="197">
        <v>18.0</v>
      </c>
      <c r="AF215" s="200"/>
      <c r="AG215" s="208">
        <f>Roles!$D$6</f>
        <v>0.1</v>
      </c>
      <c r="AH215" s="199">
        <f>MIN(AE215,1)*Roles!$D$3+MAX(AE215-1,0)*AG215</f>
        <v>2.14</v>
      </c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 t="shared" si="1"/>
        <v>1</v>
      </c>
      <c r="F216" s="80">
        <v>1</v>
      </c>
      <c r="G216" s="105">
        <f t="shared" si="2"/>
        <v>0.000861326442721792</v>
      </c>
      <c r="H216" s="47">
        <f t="shared" ref="H216:H217" si="182">H215+G216</f>
        <v>0.911283376399655</v>
      </c>
      <c r="I216" s="187">
        <f t="shared" si="180"/>
        <v>4</v>
      </c>
      <c r="J216" s="172">
        <f t="shared" ref="J216:J217" si="183">J215+I216</f>
        <v>2379.5</v>
      </c>
      <c r="K216" s="115">
        <f t="shared" si="3"/>
        <v>0.907340324118208</v>
      </c>
      <c r="L216" s="191">
        <f t="shared" si="181"/>
        <v>1.93</v>
      </c>
      <c r="M216" s="172">
        <f t="shared" ref="M216:M217" si="184">M215+L216</f>
        <v>403.29</v>
      </c>
      <c r="N216" s="248">
        <f t="shared" si="4"/>
        <v>0.903043059629638</v>
      </c>
      <c r="O216" s="193">
        <f>P216/$F216</f>
        <v>1</v>
      </c>
      <c r="P216" s="194">
        <v>1</v>
      </c>
      <c r="Q216" s="195"/>
      <c r="R216" s="196">
        <f>Roles!$D$2</f>
        <v>0.61</v>
      </c>
      <c r="S216" s="196">
        <f>R216*P216</f>
        <v>0.61</v>
      </c>
      <c r="T216" s="193">
        <f>U216/$F216</f>
        <v>1</v>
      </c>
      <c r="U216" s="197">
        <v>1</v>
      </c>
      <c r="V216" s="195"/>
      <c r="W216" s="195">
        <f>Roles!$D$5</f>
        <v>0.44</v>
      </c>
      <c r="X216" s="199">
        <f>U216*W216</f>
        <v>0.44</v>
      </c>
      <c r="Y216" s="193">
        <f>Z216/$F216</f>
        <v>1</v>
      </c>
      <c r="Z216" s="197">
        <v>1</v>
      </c>
      <c r="AA216" s="195"/>
      <c r="AB216" s="195">
        <f>Roles!$D$4</f>
        <v>0.44</v>
      </c>
      <c r="AC216" s="199">
        <f>Z216*AB216</f>
        <v>0.44</v>
      </c>
      <c r="AD216" s="193">
        <f>AE216/$F216</f>
        <v>1</v>
      </c>
      <c r="AE216" s="197">
        <v>1</v>
      </c>
      <c r="AF216" s="200"/>
      <c r="AG216" s="200">
        <f>Roles!$D$3</f>
        <v>0.44</v>
      </c>
      <c r="AH216" s="199">
        <f>AE216*AG216</f>
        <v>0.44</v>
      </c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 t="shared" si="1"/>
        <v>3</v>
      </c>
      <c r="F217" s="80">
        <v>15.0</v>
      </c>
      <c r="G217" s="105">
        <f t="shared" si="2"/>
        <v>0.0129198966408269</v>
      </c>
      <c r="H217" s="47">
        <f t="shared" si="182"/>
        <v>0.924203273040482</v>
      </c>
      <c r="I217" s="187">
        <f t="shared" si="180"/>
        <v>23</v>
      </c>
      <c r="J217" s="351">
        <f t="shared" si="183"/>
        <v>2402.5</v>
      </c>
      <c r="K217" s="352">
        <f t="shared" si="3"/>
        <v>0.916110581506196</v>
      </c>
      <c r="L217" s="191">
        <f t="shared" si="181"/>
        <v>3.46</v>
      </c>
      <c r="M217" s="351">
        <f t="shared" si="184"/>
        <v>406.75</v>
      </c>
      <c r="N217" s="47">
        <f t="shared" si="4"/>
        <v>0.910790658098032</v>
      </c>
      <c r="O217" s="193">
        <f>P217/$F217</f>
        <v>0.0666666666666667</v>
      </c>
      <c r="P217" s="194">
        <v>1.0</v>
      </c>
      <c r="Q217" s="195"/>
      <c r="R217" s="196">
        <f>Roles!$D$2</f>
        <v>0.61</v>
      </c>
      <c r="S217" s="196">
        <f>R217*P217</f>
        <v>0.61</v>
      </c>
      <c r="T217" s="193">
        <f>U217/$F217</f>
        <v>0.266666666666667</v>
      </c>
      <c r="U217" s="197">
        <v>4</v>
      </c>
      <c r="V217" s="195"/>
      <c r="W217" s="195">
        <f>Roles!$D$8</f>
        <v>0.09</v>
      </c>
      <c r="X217" s="199">
        <f>MIN(U217,1)*Roles!$D$5+MAX(U217-1,0)*W217</f>
        <v>0.71</v>
      </c>
      <c r="Y217" s="193">
        <f>Z217/$F217</f>
        <v>0</v>
      </c>
      <c r="Z217" s="197">
        <v>0.0</v>
      </c>
      <c r="AA217" s="195"/>
      <c r="AB217" s="195">
        <f>Roles!$D$7</f>
        <v>0.12</v>
      </c>
      <c r="AC217" s="199">
        <f>MIN(Z217,1)*Roles!$D$4+MAX(Z217-1,0)*AB217</f>
        <v>0</v>
      </c>
      <c r="AD217" s="193">
        <f>AE217/$F217</f>
        <v>1.2</v>
      </c>
      <c r="AE217" s="197">
        <v>18.0</v>
      </c>
      <c r="AF217" s="200"/>
      <c r="AG217" s="200">
        <f>Roles!$D$6</f>
        <v>0.1</v>
      </c>
      <c r="AH217" s="199">
        <f>MIN(AE217,1)*Roles!$D$3+MAX(AE217-1,0)*AG217</f>
        <v>2.14</v>
      </c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 t="shared" si="1"/>
        <v>4</v>
      </c>
      <c r="F218" s="246">
        <f>SUM(F219:F222)</f>
        <v>30</v>
      </c>
      <c r="G218" s="105">
        <f t="shared" si="2"/>
        <v>0.0258397932816537</v>
      </c>
      <c r="H218" s="226">
        <f>H222</f>
        <v>0.950043066322135</v>
      </c>
      <c r="I218" s="247">
        <f>SUM(I219:I222)</f>
        <v>63</v>
      </c>
      <c r="J218" s="247">
        <f>J222</f>
        <v>2465.5</v>
      </c>
      <c r="K218" s="167">
        <f t="shared" si="3"/>
        <v>0.940133460438513</v>
      </c>
      <c r="L218" s="247">
        <f>SUM(L219:L222)</f>
        <v>12.27</v>
      </c>
      <c r="M218" s="247">
        <f>M222</f>
        <v>419.02</v>
      </c>
      <c r="N218" s="226">
        <f t="shared" si="4"/>
        <v>0.938265523186816</v>
      </c>
      <c r="O218" s="264"/>
      <c r="P218" s="174"/>
      <c r="Q218" s="178"/>
      <c r="R218" s="178"/>
      <c r="S218" s="178"/>
      <c r="T218" s="178"/>
      <c r="U218" s="195"/>
      <c r="V218" s="178"/>
      <c r="W218" s="178"/>
      <c r="X218" s="178"/>
      <c r="Y218" s="178"/>
      <c r="Z218" s="195"/>
      <c r="AA218" s="178"/>
      <c r="AB218" s="178"/>
      <c r="AC218" s="178"/>
      <c r="AD218" s="173"/>
      <c r="AE218" s="195"/>
      <c r="AF218" s="180"/>
      <c r="AG218" s="180"/>
      <c r="AH218" s="178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 t="shared" si="1"/>
        <v>2</v>
      </c>
      <c r="F219" s="80">
        <v>15.0</v>
      </c>
      <c r="G219" s="105">
        <f t="shared" si="2"/>
        <v>0.0129198966408269</v>
      </c>
      <c r="H219" s="47">
        <f>H217+G219</f>
        <v>0.937123169681308</v>
      </c>
      <c r="I219" s="187">
        <f t="shared" ref="I219:I222" si="185">P219+U219+Z219+AE219</f>
        <v>23</v>
      </c>
      <c r="J219" s="172">
        <f>J217+I219</f>
        <v>2425.5</v>
      </c>
      <c r="K219" s="115">
        <f t="shared" si="3"/>
        <v>0.924880838894185</v>
      </c>
      <c r="L219" s="191">
        <f t="shared" ref="L219:L222" si="186">S219+X219+AC219+AH219</f>
        <v>3.71</v>
      </c>
      <c r="M219" s="172">
        <f>M217+L219</f>
        <v>410.46</v>
      </c>
      <c r="N219" s="47">
        <f t="shared" si="4"/>
        <v>0.919098054143622</v>
      </c>
      <c r="O219" s="193">
        <f>P219/$F219</f>
        <v>0.0666666666666667</v>
      </c>
      <c r="P219" s="194">
        <v>1.0</v>
      </c>
      <c r="Q219" s="195"/>
      <c r="R219" s="196">
        <f>Roles!$D$2</f>
        <v>0.61</v>
      </c>
      <c r="S219" s="196">
        <f>R219*P219</f>
        <v>0.61</v>
      </c>
      <c r="T219" s="193">
        <f>U219/$F219</f>
        <v>0</v>
      </c>
      <c r="U219" s="197">
        <v>0.0</v>
      </c>
      <c r="V219" s="195"/>
      <c r="W219" s="196">
        <f>Roles!$D$8</f>
        <v>0.09</v>
      </c>
      <c r="X219" s="199">
        <f>MIN(U219,1)*Roles!$D$5+MAX(U219-1,0)*W219</f>
        <v>0</v>
      </c>
      <c r="Y219" s="193">
        <f>Z219/$F219</f>
        <v>0.8</v>
      </c>
      <c r="Z219" s="197">
        <v>12</v>
      </c>
      <c r="AA219" s="195"/>
      <c r="AB219" s="196">
        <f>Roles!$D$7</f>
        <v>0.12</v>
      </c>
      <c r="AC219" s="199">
        <f>MIN(Z219,1)*Roles!$D$4+MAX(Z219-1,0)*AB219</f>
        <v>1.76</v>
      </c>
      <c r="AD219" s="193">
        <f>AE219/$F219</f>
        <v>0.666666666666667</v>
      </c>
      <c r="AE219" s="197">
        <v>10.0</v>
      </c>
      <c r="AF219" s="200"/>
      <c r="AG219" s="208">
        <f>Roles!$D$6</f>
        <v>0.1</v>
      </c>
      <c r="AH219" s="199">
        <f>MIN(AE219,1)*Roles!$D$3+MAX(AE219-1,0)*AG219</f>
        <v>1.34</v>
      </c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 t="shared" si="1"/>
        <v>4</v>
      </c>
      <c r="F220" s="80">
        <v>4.0</v>
      </c>
      <c r="G220" s="105">
        <f t="shared" si="2"/>
        <v>0.00344530577088717</v>
      </c>
      <c r="H220" s="47">
        <f t="shared" ref="H220:H222" si="187">H219+G220</f>
        <v>0.940568475452196</v>
      </c>
      <c r="I220" s="187">
        <f t="shared" si="185"/>
        <v>15</v>
      </c>
      <c r="J220" s="172">
        <f t="shared" ref="J220:J222" si="188">J219+I220</f>
        <v>2440.5</v>
      </c>
      <c r="K220" s="115">
        <f t="shared" si="3"/>
        <v>0.930600571973308</v>
      </c>
      <c r="L220" s="191">
        <f t="shared" si="186"/>
        <v>3.12</v>
      </c>
      <c r="M220" s="172">
        <f t="shared" ref="M220:M222" si="189">M219+L220</f>
        <v>413.58</v>
      </c>
      <c r="N220" s="47">
        <f t="shared" si="4"/>
        <v>0.926084327907029</v>
      </c>
      <c r="O220" s="193">
        <f>P220/$F220</f>
        <v>0.25</v>
      </c>
      <c r="P220" s="194">
        <v>1.0</v>
      </c>
      <c r="Q220" s="195"/>
      <c r="R220" s="196">
        <f>Roles!$D$2</f>
        <v>0.61</v>
      </c>
      <c r="S220" s="196">
        <f>R220*P220</f>
        <v>0.61</v>
      </c>
      <c r="T220" s="193">
        <f>U220/$F220</f>
        <v>0.5</v>
      </c>
      <c r="U220" s="197">
        <v>2</v>
      </c>
      <c r="V220" s="195"/>
      <c r="W220" s="196">
        <f>Roles!$D$8</f>
        <v>0.09</v>
      </c>
      <c r="X220" s="199">
        <f>MIN(U220,1)*Roles!$D$5+MAX(U220-1,0)*W220</f>
        <v>0.53</v>
      </c>
      <c r="Y220" s="193">
        <f>Z220/$F220</f>
        <v>1.5</v>
      </c>
      <c r="Z220" s="197">
        <v>6.0</v>
      </c>
      <c r="AA220" s="195"/>
      <c r="AB220" s="196">
        <f>Roles!$D$7</f>
        <v>0.12</v>
      </c>
      <c r="AC220" s="199">
        <f>MIN(Z220,1)*Roles!$D$4+MAX(Z220-1,0)*AB220</f>
        <v>1.04</v>
      </c>
      <c r="AD220" s="193">
        <f>AE220/$F220</f>
        <v>1.5</v>
      </c>
      <c r="AE220" s="197">
        <v>6.0</v>
      </c>
      <c r="AF220" s="200"/>
      <c r="AG220" s="208">
        <f>Roles!$D$6</f>
        <v>0.1</v>
      </c>
      <c r="AH220" s="199">
        <f>MIN(AE220,1)*Roles!$D$3+MAX(AE220-1,0)*AG220</f>
        <v>0.94</v>
      </c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 t="shared" si="1"/>
        <v>1</v>
      </c>
      <c r="F221" s="80">
        <v>1</v>
      </c>
      <c r="G221" s="105">
        <f t="shared" si="2"/>
        <v>0.000861326442721792</v>
      </c>
      <c r="H221" s="47">
        <f t="shared" si="187"/>
        <v>0.941429801894917</v>
      </c>
      <c r="I221" s="187">
        <f t="shared" si="185"/>
        <v>4</v>
      </c>
      <c r="J221" s="351">
        <f t="shared" si="188"/>
        <v>2444.5</v>
      </c>
      <c r="K221" s="352">
        <f t="shared" si="3"/>
        <v>0.932125834127741</v>
      </c>
      <c r="L221" s="191">
        <f t="shared" si="186"/>
        <v>1.93</v>
      </c>
      <c r="M221" s="351">
        <f t="shared" si="189"/>
        <v>415.51</v>
      </c>
      <c r="N221" s="47">
        <f t="shared" si="4"/>
        <v>0.930405965202983</v>
      </c>
      <c r="O221" s="193">
        <f>P221/$F221</f>
        <v>1</v>
      </c>
      <c r="P221" s="194">
        <v>1</v>
      </c>
      <c r="Q221" s="195"/>
      <c r="R221" s="196">
        <f>Roles!$D$2</f>
        <v>0.61</v>
      </c>
      <c r="S221" s="196">
        <f>R221*P221</f>
        <v>0.61</v>
      </c>
      <c r="T221" s="193">
        <f>U221/$F221</f>
        <v>1</v>
      </c>
      <c r="U221" s="197">
        <v>1</v>
      </c>
      <c r="V221" s="195"/>
      <c r="W221" s="195">
        <f>Roles!$D$5</f>
        <v>0.44</v>
      </c>
      <c r="X221" s="199">
        <f>U221*W221</f>
        <v>0.44</v>
      </c>
      <c r="Y221" s="193">
        <f>Z221/$F221</f>
        <v>1</v>
      </c>
      <c r="Z221" s="197">
        <v>1</v>
      </c>
      <c r="AA221" s="195"/>
      <c r="AB221" s="195">
        <f>Roles!$D$4</f>
        <v>0.44</v>
      </c>
      <c r="AC221" s="199">
        <f>Z221*AB221</f>
        <v>0.44</v>
      </c>
      <c r="AD221" s="193">
        <f>AE221/$F221</f>
        <v>1</v>
      </c>
      <c r="AE221" s="197">
        <v>1</v>
      </c>
      <c r="AF221" s="200"/>
      <c r="AG221" s="200">
        <f>Roles!$D$3</f>
        <v>0.44</v>
      </c>
      <c r="AH221" s="199">
        <f>AE221*AG221</f>
        <v>0.44</v>
      </c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 t="shared" si="1"/>
        <v>2</v>
      </c>
      <c r="F222" s="80">
        <v>10.0</v>
      </c>
      <c r="G222" s="105">
        <f t="shared" si="2"/>
        <v>0.00861326442721792</v>
      </c>
      <c r="H222" s="47">
        <f t="shared" si="187"/>
        <v>0.950043066322135</v>
      </c>
      <c r="I222" s="187">
        <f t="shared" si="185"/>
        <v>21</v>
      </c>
      <c r="J222" s="351">
        <f t="shared" si="188"/>
        <v>2465.5</v>
      </c>
      <c r="K222" s="352">
        <f t="shared" si="3"/>
        <v>0.940133460438513</v>
      </c>
      <c r="L222" s="191">
        <f t="shared" si="186"/>
        <v>3.51</v>
      </c>
      <c r="M222" s="351">
        <f t="shared" si="189"/>
        <v>419.02</v>
      </c>
      <c r="N222" s="47">
        <f t="shared" si="4"/>
        <v>0.938265523186816</v>
      </c>
      <c r="O222" s="193">
        <f>P222/$F222</f>
        <v>0.1</v>
      </c>
      <c r="P222" s="194">
        <v>1.0</v>
      </c>
      <c r="Q222" s="195"/>
      <c r="R222" s="196">
        <f>Roles!$D$2</f>
        <v>0.61</v>
      </c>
      <c r="S222" s="196">
        <f>R222*P222</f>
        <v>0.61</v>
      </c>
      <c r="T222" s="193">
        <f>U222/$F222</f>
        <v>0</v>
      </c>
      <c r="U222" s="197">
        <v>0.0</v>
      </c>
      <c r="V222" s="195"/>
      <c r="W222" s="196">
        <f>Roles!$D$8</f>
        <v>0.09</v>
      </c>
      <c r="X222" s="199">
        <f>MIN(U222,1)*Roles!$D$5+MAX(U222-1,0)*W222</f>
        <v>0</v>
      </c>
      <c r="Y222" s="193">
        <f>Z222/$F222</f>
        <v>1.2</v>
      </c>
      <c r="Z222" s="197">
        <v>12</v>
      </c>
      <c r="AA222" s="195"/>
      <c r="AB222" s="196">
        <f>Roles!$D$7</f>
        <v>0.12</v>
      </c>
      <c r="AC222" s="199">
        <f>MIN(Z222,1)*Roles!$D$4+MAX(Z222-1,0)*AB222</f>
        <v>1.76</v>
      </c>
      <c r="AD222" s="193">
        <f>AE222/$F222</f>
        <v>0.8</v>
      </c>
      <c r="AE222" s="197">
        <v>8.0</v>
      </c>
      <c r="AF222" s="200"/>
      <c r="AG222" s="208">
        <f>Roles!$D$6</f>
        <v>0.1</v>
      </c>
      <c r="AH222" s="199">
        <f>MIN(AE222,1)*Roles!$D$3+MAX(AE222-1,0)*AG222</f>
        <v>1.14</v>
      </c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 t="shared" si="1"/>
        <v>4</v>
      </c>
      <c r="F223" s="246">
        <f>SUM(F224:F228)</f>
        <v>15</v>
      </c>
      <c r="G223" s="105">
        <f t="shared" si="2"/>
        <v>0.0129198966408269</v>
      </c>
      <c r="H223" s="226">
        <f>H228</f>
        <v>0.962962962962962</v>
      </c>
      <c r="I223" s="247">
        <f>SUM(I224:I228)</f>
        <v>59</v>
      </c>
      <c r="J223" s="247">
        <f>J228</f>
        <v>2524.5</v>
      </c>
      <c r="K223" s="167">
        <f t="shared" si="3"/>
        <v>0.962631077216397</v>
      </c>
      <c r="L223" s="247">
        <f>SUM(L224:L228)</f>
        <v>10.15</v>
      </c>
      <c r="M223" s="247">
        <f>M228</f>
        <v>429.17</v>
      </c>
      <c r="N223" s="167">
        <f t="shared" si="4"/>
        <v>0.960993304820977</v>
      </c>
      <c r="O223" s="173"/>
      <c r="P223" s="174"/>
      <c r="Q223" s="178"/>
      <c r="R223" s="178"/>
      <c r="S223" s="178"/>
      <c r="T223" s="173"/>
      <c r="U223" s="195"/>
      <c r="V223" s="178"/>
      <c r="W223" s="178"/>
      <c r="X223" s="178"/>
      <c r="Y223" s="173"/>
      <c r="Z223" s="195"/>
      <c r="AA223" s="178"/>
      <c r="AB223" s="178"/>
      <c r="AC223" s="178"/>
      <c r="AD223" s="173"/>
      <c r="AE223" s="195"/>
      <c r="AF223" s="180"/>
      <c r="AG223" s="180"/>
      <c r="AH223" s="178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 t="shared" si="1"/>
        <v>2</v>
      </c>
      <c r="F224" s="80">
        <v>4.0</v>
      </c>
      <c r="G224" s="105">
        <f t="shared" si="2"/>
        <v>0.00344530577088717</v>
      </c>
      <c r="H224" s="47">
        <f>H222+G224</f>
        <v>0.953488372093022</v>
      </c>
      <c r="I224" s="187">
        <f t="shared" ref="I224:I228" si="190">P224+U224+Z224+AE224</f>
        <v>17</v>
      </c>
      <c r="J224" s="172">
        <f>J222+I224</f>
        <v>2482.5</v>
      </c>
      <c r="K224" s="115">
        <f t="shared" si="3"/>
        <v>0.946615824594852</v>
      </c>
      <c r="L224" s="191">
        <f t="shared" ref="L224:L228" si="191">S224+X224+AC224+AH224</f>
        <v>2.85</v>
      </c>
      <c r="M224" s="172">
        <f>M222+L224</f>
        <v>421.87</v>
      </c>
      <c r="N224" s="47">
        <f t="shared" si="4"/>
        <v>0.944647215566851</v>
      </c>
      <c r="O224" s="193">
        <f>P224/$F224</f>
        <v>0.25</v>
      </c>
      <c r="P224" s="194">
        <v>1.0</v>
      </c>
      <c r="Q224" s="195"/>
      <c r="R224" s="196">
        <f>Roles!$D$2</f>
        <v>0.61</v>
      </c>
      <c r="S224" s="196">
        <f>R224*P224</f>
        <v>0.61</v>
      </c>
      <c r="T224" s="193">
        <f>U224/$F224</f>
        <v>0</v>
      </c>
      <c r="U224" s="197">
        <v>0.0</v>
      </c>
      <c r="V224" s="195"/>
      <c r="W224" s="196">
        <f>Roles!$D$8</f>
        <v>0.09</v>
      </c>
      <c r="X224" s="199">
        <f>MIN(U224,1)*Roles!$D$5+MAX(U224-1,0)*W224</f>
        <v>0</v>
      </c>
      <c r="Y224" s="193">
        <f>Z224/$F224</f>
        <v>4</v>
      </c>
      <c r="Z224" s="197">
        <v>16.0</v>
      </c>
      <c r="AA224" s="195"/>
      <c r="AB224" s="196">
        <f>Roles!$D$7</f>
        <v>0.12</v>
      </c>
      <c r="AC224" s="199">
        <f>MIN(Z224,1)*Roles!$D$4+MAX(Z224-1,0)*AB224</f>
        <v>2.24</v>
      </c>
      <c r="AD224" s="193">
        <f>AE224/$F224</f>
        <v>0</v>
      </c>
      <c r="AE224" s="197">
        <v>0.0</v>
      </c>
      <c r="AF224" s="200"/>
      <c r="AG224" s="208">
        <f>Roles!$D$6</f>
        <v>0.1</v>
      </c>
      <c r="AH224" s="199">
        <f>MIN(AE224,1)*Roles!$D$3+MAX(AE224-1,0)*AG224</f>
        <v>0</v>
      </c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 t="shared" si="1"/>
        <v>2</v>
      </c>
      <c r="F225" s="80">
        <v>3.0</v>
      </c>
      <c r="G225" s="105">
        <f t="shared" si="2"/>
        <v>0.00258397932816538</v>
      </c>
      <c r="H225" s="47">
        <f t="shared" ref="H225:H228" si="192">H224+G225</f>
        <v>0.956072351421188</v>
      </c>
      <c r="I225" s="187">
        <f t="shared" si="190"/>
        <v>12</v>
      </c>
      <c r="J225" s="172">
        <f t="shared" ref="J225:J228" si="193">J224+I225</f>
        <v>2494.5</v>
      </c>
      <c r="K225" s="115">
        <f t="shared" si="3"/>
        <v>0.951191611058151</v>
      </c>
      <c r="L225" s="191">
        <f t="shared" si="191"/>
        <v>1.76</v>
      </c>
      <c r="M225" s="172">
        <f t="shared" ref="M225:M228" si="194">M224+L225</f>
        <v>423.63</v>
      </c>
      <c r="N225" s="47">
        <f t="shared" si="4"/>
        <v>0.948588190510312</v>
      </c>
      <c r="O225" s="193">
        <f>P225/$F225</f>
        <v>0</v>
      </c>
      <c r="P225" s="206">
        <v>0.0</v>
      </c>
      <c r="Q225" s="195"/>
      <c r="R225" s="196">
        <f>Roles!$D$2</f>
        <v>0.61</v>
      </c>
      <c r="S225" s="196">
        <f>R225*P225</f>
        <v>0</v>
      </c>
      <c r="T225" s="193">
        <f>U225/$F225</f>
        <v>0</v>
      </c>
      <c r="U225" s="197">
        <v>0.0</v>
      </c>
      <c r="V225" s="195"/>
      <c r="W225" s="196">
        <f>Roles!$D$8</f>
        <v>0.09</v>
      </c>
      <c r="X225" s="199">
        <f>MIN(U225,1)*Roles!$D$5+MAX(U225-1,0)*W225</f>
        <v>0</v>
      </c>
      <c r="Y225" s="193">
        <f>Z225/$F225</f>
        <v>4</v>
      </c>
      <c r="Z225" s="197">
        <v>12.0</v>
      </c>
      <c r="AA225" s="195"/>
      <c r="AB225" s="196">
        <f>Roles!$D$7</f>
        <v>0.12</v>
      </c>
      <c r="AC225" s="199">
        <f>MIN(Z225,1)*Roles!$D$4+MAX(Z225-1,0)*AB225</f>
        <v>1.76</v>
      </c>
      <c r="AD225" s="193">
        <f>AE225/$F225</f>
        <v>0</v>
      </c>
      <c r="AE225" s="197">
        <v>0.0</v>
      </c>
      <c r="AF225" s="200"/>
      <c r="AG225" s="208">
        <f>Roles!$D$6</f>
        <v>0.1</v>
      </c>
      <c r="AH225" s="199">
        <f>MIN(AE225,1)*Roles!$D$3+MAX(AE225-1,0)*AG225</f>
        <v>0</v>
      </c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 t="shared" si="1"/>
        <v>1</v>
      </c>
      <c r="F226" s="80">
        <v>3.0</v>
      </c>
      <c r="G226" s="105">
        <f t="shared" si="2"/>
        <v>0.00258397932816538</v>
      </c>
      <c r="H226" s="47">
        <f t="shared" si="192"/>
        <v>0.958656330749353</v>
      </c>
      <c r="I226" s="187">
        <f t="shared" si="190"/>
        <v>13</v>
      </c>
      <c r="J226" s="172">
        <f t="shared" si="193"/>
        <v>2507.5</v>
      </c>
      <c r="K226" s="115">
        <f t="shared" si="3"/>
        <v>0.956148713060057</v>
      </c>
      <c r="L226" s="191">
        <f t="shared" si="191"/>
        <v>2.37</v>
      </c>
      <c r="M226" s="172">
        <f t="shared" si="194"/>
        <v>426</v>
      </c>
      <c r="N226" s="47">
        <f t="shared" si="4"/>
        <v>0.95389507154213</v>
      </c>
      <c r="O226" s="193">
        <f>P226/$F226</f>
        <v>0.333333333333333</v>
      </c>
      <c r="P226" s="194">
        <v>1.0</v>
      </c>
      <c r="Q226" s="195"/>
      <c r="R226" s="196">
        <f>Roles!$D$2</f>
        <v>0.61</v>
      </c>
      <c r="S226" s="196">
        <f>R226*P226</f>
        <v>0.61</v>
      </c>
      <c r="T226" s="193">
        <f>U226/$F226</f>
        <v>0</v>
      </c>
      <c r="U226" s="197">
        <v>0.0</v>
      </c>
      <c r="V226" s="195"/>
      <c r="W226" s="196">
        <f>Roles!$D$8</f>
        <v>0.09</v>
      </c>
      <c r="X226" s="199">
        <f>MIN(U226,1)*Roles!$D$5+MAX(U226-1,0)*W226</f>
        <v>0</v>
      </c>
      <c r="Y226" s="193">
        <f>Z226/$F226</f>
        <v>4</v>
      </c>
      <c r="Z226" s="197">
        <v>12.0</v>
      </c>
      <c r="AA226" s="195"/>
      <c r="AB226" s="196">
        <f>Roles!$D$7</f>
        <v>0.12</v>
      </c>
      <c r="AC226" s="199">
        <f>MIN(Z226,1)*Roles!$D$4+MAX(Z226-1,0)*AB226</f>
        <v>1.76</v>
      </c>
      <c r="AD226" s="193">
        <f>AE226/$F226</f>
        <v>0</v>
      </c>
      <c r="AE226" s="197">
        <v>0.0</v>
      </c>
      <c r="AF226" s="200"/>
      <c r="AG226" s="208">
        <f>Roles!$D$6</f>
        <v>0.1</v>
      </c>
      <c r="AH226" s="199">
        <f>MIN(AE226,1)*Roles!$D$3+MAX(AE226-1,0)*AG226</f>
        <v>0</v>
      </c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 t="shared" si="1"/>
        <v>2</v>
      </c>
      <c r="F227" s="80">
        <v>3.0</v>
      </c>
      <c r="G227" s="105">
        <f t="shared" si="2"/>
        <v>0.00258397932816538</v>
      </c>
      <c r="H227" s="47">
        <f t="shared" si="192"/>
        <v>0.961240310077518</v>
      </c>
      <c r="I227" s="187">
        <f t="shared" si="190"/>
        <v>12</v>
      </c>
      <c r="J227" s="172">
        <f t="shared" si="193"/>
        <v>2519.5</v>
      </c>
      <c r="K227" s="115">
        <f t="shared" si="3"/>
        <v>0.960724499523356</v>
      </c>
      <c r="L227" s="191">
        <f t="shared" si="191"/>
        <v>1.76</v>
      </c>
      <c r="M227" s="172">
        <f t="shared" si="194"/>
        <v>427.76</v>
      </c>
      <c r="N227" s="47">
        <f t="shared" si="4"/>
        <v>0.957836046485591</v>
      </c>
      <c r="O227" s="193">
        <f>P227/$F227</f>
        <v>0</v>
      </c>
      <c r="P227" s="206">
        <v>0.0</v>
      </c>
      <c r="Q227" s="195"/>
      <c r="R227" s="196">
        <f>Roles!$D$2</f>
        <v>0.61</v>
      </c>
      <c r="S227" s="196">
        <f>R227*P227</f>
        <v>0</v>
      </c>
      <c r="T227" s="193">
        <f>U227/$F227</f>
        <v>0</v>
      </c>
      <c r="U227" s="197">
        <v>0.0</v>
      </c>
      <c r="V227" s="195"/>
      <c r="W227" s="196">
        <f>Roles!$D$8</f>
        <v>0.09</v>
      </c>
      <c r="X227" s="199">
        <f>MIN(U227,1)*Roles!$D$5+MAX(U227-1,0)*W227</f>
        <v>0</v>
      </c>
      <c r="Y227" s="193">
        <f>Z227/$F227</f>
        <v>4</v>
      </c>
      <c r="Z227" s="197">
        <v>12.0</v>
      </c>
      <c r="AA227" s="195"/>
      <c r="AB227" s="196">
        <f>Roles!$D$7</f>
        <v>0.12</v>
      </c>
      <c r="AC227" s="199">
        <f>MIN(Z227,1)*Roles!$D$4+MAX(Z227-1,0)*AB227</f>
        <v>1.76</v>
      </c>
      <c r="AD227" s="193">
        <f>AE227/$F227</f>
        <v>0</v>
      </c>
      <c r="AE227" s="197">
        <v>0.0</v>
      </c>
      <c r="AF227" s="200"/>
      <c r="AG227" s="208">
        <f>Roles!$D$6</f>
        <v>0.1</v>
      </c>
      <c r="AH227" s="199">
        <f>MIN(AE227,1)*Roles!$D$3+MAX(AE227-1,0)*AG227</f>
        <v>0</v>
      </c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 t="shared" si="1"/>
        <v>1</v>
      </c>
      <c r="F228" s="80">
        <v>2.0</v>
      </c>
      <c r="G228" s="105">
        <f t="shared" si="2"/>
        <v>0.00172265288544358</v>
      </c>
      <c r="H228" s="47">
        <f t="shared" si="192"/>
        <v>0.962962962962962</v>
      </c>
      <c r="I228" s="187">
        <f t="shared" si="190"/>
        <v>5</v>
      </c>
      <c r="J228" s="172">
        <f t="shared" si="193"/>
        <v>2524.5</v>
      </c>
      <c r="K228" s="115">
        <f t="shared" si="3"/>
        <v>0.962631077216397</v>
      </c>
      <c r="L228" s="191">
        <f t="shared" si="191"/>
        <v>1.41</v>
      </c>
      <c r="M228" s="172">
        <f t="shared" si="194"/>
        <v>429.17</v>
      </c>
      <c r="N228" s="47">
        <f t="shared" si="4"/>
        <v>0.960993304820977</v>
      </c>
      <c r="O228" s="193">
        <f>P228/$F228</f>
        <v>0.5</v>
      </c>
      <c r="P228" s="194">
        <v>1.0</v>
      </c>
      <c r="Q228" s="195"/>
      <c r="R228" s="196">
        <f>Roles!$D$2</f>
        <v>0.61</v>
      </c>
      <c r="S228" s="196">
        <f>R228*P228</f>
        <v>0.61</v>
      </c>
      <c r="T228" s="193">
        <f>U228/$F228</f>
        <v>0</v>
      </c>
      <c r="U228" s="197">
        <v>0.0</v>
      </c>
      <c r="V228" s="195"/>
      <c r="W228" s="196">
        <f>Roles!$D$8</f>
        <v>0.09</v>
      </c>
      <c r="X228" s="199">
        <f>MIN(U228,1)*Roles!$D$5+MAX(U228-1,0)*W228</f>
        <v>0</v>
      </c>
      <c r="Y228" s="193">
        <f>Z228/$F228</f>
        <v>2</v>
      </c>
      <c r="Z228" s="197">
        <v>4.0</v>
      </c>
      <c r="AA228" s="195"/>
      <c r="AB228" s="196">
        <f>Roles!$D$7</f>
        <v>0.12</v>
      </c>
      <c r="AC228" s="199">
        <f>MIN(Z228,1)*Roles!$D$4+MAX(Z228-1,0)*AB228</f>
        <v>0.8</v>
      </c>
      <c r="AD228" s="193">
        <f>AE228/$F228</f>
        <v>0</v>
      </c>
      <c r="AE228" s="197">
        <v>0.0</v>
      </c>
      <c r="AF228" s="200"/>
      <c r="AG228" s="208">
        <f>Roles!$D$6</f>
        <v>0.1</v>
      </c>
      <c r="AH228" s="199">
        <f>MIN(AE228,1)*Roles!$D$3+MAX(AE228-1,0)*AG228</f>
        <v>0</v>
      </c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 t="shared" si="1"/>
        <v>3</v>
      </c>
      <c r="F229" s="246">
        <f>SUM(F230:F231)</f>
        <v>20</v>
      </c>
      <c r="G229" s="105">
        <f t="shared" si="2"/>
        <v>0.0172265288544358</v>
      </c>
      <c r="H229" s="226">
        <f>H231</f>
        <v>0.980189491817398</v>
      </c>
      <c r="I229" s="247">
        <f>SUM(I230:I231)</f>
        <v>28</v>
      </c>
      <c r="J229" s="247">
        <f>J231</f>
        <v>2552.5</v>
      </c>
      <c r="K229" s="167">
        <f t="shared" si="3"/>
        <v>0.973307912297426</v>
      </c>
      <c r="L229" s="247">
        <f>SUM(L230:L231)</f>
        <v>5.35</v>
      </c>
      <c r="M229" s="247">
        <f>M231</f>
        <v>434.52</v>
      </c>
      <c r="N229" s="226">
        <f t="shared" si="4"/>
        <v>0.972972972972973</v>
      </c>
      <c r="O229" s="264"/>
      <c r="P229" s="174"/>
      <c r="Q229" s="178"/>
      <c r="R229" s="178"/>
      <c r="S229" s="178"/>
      <c r="T229" s="178"/>
      <c r="U229" s="195"/>
      <c r="V229" s="178"/>
      <c r="W229" s="178"/>
      <c r="X229" s="178"/>
      <c r="Y229" s="178"/>
      <c r="Z229" s="195"/>
      <c r="AA229" s="178"/>
      <c r="AB229" s="178"/>
      <c r="AC229" s="178"/>
      <c r="AD229" s="173"/>
      <c r="AE229" s="195"/>
      <c r="AF229" s="180"/>
      <c r="AG229" s="180"/>
      <c r="AH229" s="178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 t="shared" si="1"/>
        <v>2</v>
      </c>
      <c r="F230" s="80">
        <v>10.0</v>
      </c>
      <c r="G230" s="105">
        <f t="shared" si="2"/>
        <v>0.00861326442721792</v>
      </c>
      <c r="H230" s="47">
        <f>H228+G230</f>
        <v>0.97157622739018</v>
      </c>
      <c r="I230" s="187">
        <f t="shared" ref="I230:I231" si="195">P230+U230+Z230+AE230</f>
        <v>15</v>
      </c>
      <c r="J230" s="172">
        <f>J228+I230</f>
        <v>2539.5</v>
      </c>
      <c r="K230" s="115">
        <f t="shared" si="3"/>
        <v>0.96835081029552</v>
      </c>
      <c r="L230" s="191">
        <f t="shared" ref="L230:L231" si="196">S230+X230+AC230+AH230</f>
        <v>3.2</v>
      </c>
      <c r="M230" s="172">
        <f>M228+L230</f>
        <v>432.37</v>
      </c>
      <c r="N230" s="47">
        <f t="shared" si="4"/>
        <v>0.968158713809087</v>
      </c>
      <c r="O230" s="193">
        <f>P230/$F230</f>
        <v>0.1</v>
      </c>
      <c r="P230" s="194">
        <v>1.0</v>
      </c>
      <c r="Q230" s="195"/>
      <c r="R230" s="196">
        <f>Roles!$D$2</f>
        <v>0.61</v>
      </c>
      <c r="S230" s="196">
        <f>R230*P230</f>
        <v>0.61</v>
      </c>
      <c r="T230" s="193">
        <f>U230/$F230</f>
        <v>0.2</v>
      </c>
      <c r="U230" s="197">
        <v>2.0</v>
      </c>
      <c r="V230" s="195"/>
      <c r="W230" s="196">
        <f>Roles!$D$8</f>
        <v>0.09</v>
      </c>
      <c r="X230" s="199">
        <f>MIN(U230,1)*Roles!$D$5+MAX(U230-1,0)*W230</f>
        <v>0.53</v>
      </c>
      <c r="Y230" s="193">
        <f>Z230/$F230</f>
        <v>1</v>
      </c>
      <c r="Z230" s="197">
        <v>10.0</v>
      </c>
      <c r="AA230" s="195"/>
      <c r="AB230" s="196">
        <f>Roles!$D$7</f>
        <v>0.12</v>
      </c>
      <c r="AC230" s="199">
        <f>MIN(Z230,1)*Roles!$D$4+MAX(Z230-1,0)*AB230</f>
        <v>1.52</v>
      </c>
      <c r="AD230" s="193">
        <f>AE230/$F230</f>
        <v>0.2</v>
      </c>
      <c r="AE230" s="197">
        <v>2.0</v>
      </c>
      <c r="AF230" s="200"/>
      <c r="AG230" s="208">
        <f>Roles!$D$6</f>
        <v>0.1</v>
      </c>
      <c r="AH230" s="199">
        <f>MIN(AE230,1)*Roles!$D$3+MAX(AE230-1,0)*AG230</f>
        <v>0.54</v>
      </c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 t="shared" si="1"/>
        <v>1</v>
      </c>
      <c r="F231" s="80">
        <v>10.0</v>
      </c>
      <c r="G231" s="105">
        <f t="shared" si="2"/>
        <v>0.00861326442721792</v>
      </c>
      <c r="H231" s="353">
        <f>H230+G231</f>
        <v>0.980189491817398</v>
      </c>
      <c r="I231" s="187">
        <f t="shared" si="195"/>
        <v>13</v>
      </c>
      <c r="J231" s="351">
        <f>J230+I231</f>
        <v>2552.5</v>
      </c>
      <c r="K231" s="352">
        <f t="shared" si="3"/>
        <v>0.973307912297426</v>
      </c>
      <c r="L231" s="191">
        <f t="shared" si="196"/>
        <v>2.15</v>
      </c>
      <c r="M231" s="351">
        <f>M230+L231</f>
        <v>434.52</v>
      </c>
      <c r="N231" s="47">
        <f t="shared" si="4"/>
        <v>0.972972972972973</v>
      </c>
      <c r="O231" s="193">
        <f>P231/$F231</f>
        <v>0.1</v>
      </c>
      <c r="P231" s="194">
        <v>1.0</v>
      </c>
      <c r="Q231" s="195"/>
      <c r="R231" s="196">
        <f>Roles!$D$2</f>
        <v>0.61</v>
      </c>
      <c r="S231" s="196">
        <f>R231*P231</f>
        <v>0.61</v>
      </c>
      <c r="T231" s="193">
        <f>U231/$F231</f>
        <v>0</v>
      </c>
      <c r="U231" s="197">
        <v>0.0</v>
      </c>
      <c r="V231" s="195"/>
      <c r="W231" s="195">
        <f>Roles!$D$8</f>
        <v>0.09</v>
      </c>
      <c r="X231" s="199">
        <f>MIN(U231,1)*Roles!$D$5+MAX(U231-1,0)*W231</f>
        <v>0</v>
      </c>
      <c r="Y231" s="193">
        <f>Z231/$F231</f>
        <v>0</v>
      </c>
      <c r="Z231" s="197">
        <v>0.0</v>
      </c>
      <c r="AA231" s="195"/>
      <c r="AB231" s="195">
        <f>Roles!$D$7</f>
        <v>0.12</v>
      </c>
      <c r="AC231" s="199">
        <f>MIN(Z231,1)*Roles!$D$4+MAX(Z231-1,0)*AB231</f>
        <v>0</v>
      </c>
      <c r="AD231" s="193">
        <f>AE231/$F231</f>
        <v>1.2</v>
      </c>
      <c r="AE231" s="197">
        <v>12.0</v>
      </c>
      <c r="AF231" s="200"/>
      <c r="AG231" s="200">
        <f>Roles!$D$6</f>
        <v>0.1</v>
      </c>
      <c r="AH231" s="199">
        <f>MIN(AE231,1)*Roles!$D$3+MAX(AE231-1,0)*AG231</f>
        <v>1.54</v>
      </c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 t="shared" si="1"/>
        <v>3</v>
      </c>
      <c r="F232" s="246">
        <f>SUM(F233:F237)</f>
        <v>23</v>
      </c>
      <c r="G232" s="105">
        <f t="shared" si="2"/>
        <v>0.0198105081826012</v>
      </c>
      <c r="H232" s="226">
        <f>H237</f>
        <v>0.999999999999999</v>
      </c>
      <c r="I232" s="247">
        <f>SUM(I233:I237)</f>
        <v>70</v>
      </c>
      <c r="J232" s="247">
        <f>J237</f>
        <v>2622.5</v>
      </c>
      <c r="K232" s="167">
        <f t="shared" si="3"/>
        <v>1</v>
      </c>
      <c r="L232" s="247">
        <f>SUM(L233:L237)</f>
        <v>12.07</v>
      </c>
      <c r="M232" s="247">
        <f>M237</f>
        <v>446.59</v>
      </c>
      <c r="N232" s="167">
        <f t="shared" si="4"/>
        <v>1</v>
      </c>
      <c r="O232" s="264"/>
      <c r="P232" s="174"/>
      <c r="Q232" s="178"/>
      <c r="R232" s="178"/>
      <c r="S232" s="178"/>
      <c r="T232" s="178"/>
      <c r="U232" s="195"/>
      <c r="V232" s="178"/>
      <c r="W232" s="178"/>
      <c r="X232" s="178"/>
      <c r="Y232" s="178"/>
      <c r="Z232" s="195"/>
      <c r="AA232" s="178"/>
      <c r="AB232" s="178"/>
      <c r="AC232" s="178"/>
      <c r="AD232" s="173"/>
      <c r="AE232" s="195"/>
      <c r="AF232" s="180"/>
      <c r="AG232" s="180"/>
      <c r="AH232" s="178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 t="shared" si="1"/>
        <v>2</v>
      </c>
      <c r="F233" s="80">
        <v>3.0</v>
      </c>
      <c r="G233" s="105">
        <f t="shared" si="2"/>
        <v>0.00258397932816538</v>
      </c>
      <c r="H233" s="47">
        <f>H231+G233</f>
        <v>0.982773471145563</v>
      </c>
      <c r="I233" s="187">
        <f t="shared" ref="I233:I237" si="197">P233+U233+Z233+AE233</f>
        <v>9</v>
      </c>
      <c r="J233" s="172">
        <f>J231+I233</f>
        <v>2561.5</v>
      </c>
      <c r="K233" s="115">
        <f t="shared" si="3"/>
        <v>0.9767397521449</v>
      </c>
      <c r="L233" s="191">
        <f t="shared" ref="L233:L237" si="198">S233+X233+AC233+AH233</f>
        <v>2.06</v>
      </c>
      <c r="M233" s="172">
        <f>M231+L233</f>
        <v>436.58</v>
      </c>
      <c r="N233" s="47">
        <f t="shared" si="4"/>
        <v>0.977585705009069</v>
      </c>
      <c r="O233" s="193">
        <f>P233/$F233</f>
        <v>0.333333333333333</v>
      </c>
      <c r="P233" s="194">
        <v>1.0</v>
      </c>
      <c r="Q233" s="195"/>
      <c r="R233" s="196">
        <f>Roles!$D$2</f>
        <v>0.61</v>
      </c>
      <c r="S233" s="196">
        <f>R233*P233</f>
        <v>0.61</v>
      </c>
      <c r="T233" s="193">
        <f>U233/$F233</f>
        <v>1.33333333333333</v>
      </c>
      <c r="U233" s="197">
        <v>4.0</v>
      </c>
      <c r="V233" s="195"/>
      <c r="W233" s="196">
        <f>Roles!$D$8</f>
        <v>0.09</v>
      </c>
      <c r="X233" s="199">
        <f>MIN(U233,1)*Roles!$D$5+MAX(U233-1,0)*W233</f>
        <v>0.71</v>
      </c>
      <c r="Y233" s="193">
        <f>Z233/$F233</f>
        <v>0</v>
      </c>
      <c r="Z233" s="197">
        <v>0.0</v>
      </c>
      <c r="AA233" s="195"/>
      <c r="AB233" s="196">
        <f>Roles!$D$7</f>
        <v>0.12</v>
      </c>
      <c r="AC233" s="199">
        <f>MIN(Z233,1)*Roles!$D$4+MAX(Z233-1,0)*AB233</f>
        <v>0</v>
      </c>
      <c r="AD233" s="193">
        <f>AE233/$F233</f>
        <v>1.33333333333333</v>
      </c>
      <c r="AE233" s="197">
        <v>4.0</v>
      </c>
      <c r="AF233" s="200"/>
      <c r="AG233" s="208">
        <f>Roles!$D$6</f>
        <v>0.1</v>
      </c>
      <c r="AH233" s="199">
        <f>MIN(AE233,1)*Roles!$D$3+MAX(AE233-1,0)*AG233</f>
        <v>0.74</v>
      </c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 t="shared" si="1"/>
        <v>2</v>
      </c>
      <c r="F234" s="80">
        <v>10.0</v>
      </c>
      <c r="G234" s="105">
        <f t="shared" si="2"/>
        <v>0.00861326442721792</v>
      </c>
      <c r="H234" s="47">
        <f t="shared" ref="H234:H238" si="199">H233+G234</f>
        <v>0.991386735572781</v>
      </c>
      <c r="I234" s="187">
        <f t="shared" si="197"/>
        <v>31</v>
      </c>
      <c r="J234" s="172">
        <f t="shared" ref="J234:J238" si="200">J233+I234</f>
        <v>2592.5</v>
      </c>
      <c r="K234" s="115">
        <f t="shared" si="3"/>
        <v>0.988560533841754</v>
      </c>
      <c r="L234" s="191">
        <f t="shared" si="198"/>
        <v>3.66</v>
      </c>
      <c r="M234" s="172">
        <f t="shared" ref="M234:M238" si="201">M233+L234</f>
        <v>440.24</v>
      </c>
      <c r="N234" s="282">
        <f t="shared" si="4"/>
        <v>0.98578114153922</v>
      </c>
      <c r="O234" s="193">
        <f>P234/$F234</f>
        <v>0.1</v>
      </c>
      <c r="P234" s="194">
        <v>1.0</v>
      </c>
      <c r="Q234" s="195"/>
      <c r="R234" s="196">
        <f>Roles!$D$2</f>
        <v>0.61</v>
      </c>
      <c r="S234" s="196">
        <f>R234*P234</f>
        <v>0.61</v>
      </c>
      <c r="T234" s="193">
        <f>U234/$F234</f>
        <v>3</v>
      </c>
      <c r="U234" s="197">
        <v>30.0</v>
      </c>
      <c r="V234" s="195"/>
      <c r="W234" s="195">
        <f>Roles!$D$8</f>
        <v>0.09</v>
      </c>
      <c r="X234" s="199">
        <f>MIN(U234,1)*Roles!$D$5+MAX(U234-1,0)*W234</f>
        <v>3.05</v>
      </c>
      <c r="Y234" s="193">
        <f>Z234/$F234</f>
        <v>0</v>
      </c>
      <c r="Z234" s="197">
        <v>0.0</v>
      </c>
      <c r="AA234" s="195"/>
      <c r="AB234" s="195">
        <f>Roles!$D$7</f>
        <v>0.12</v>
      </c>
      <c r="AC234" s="199">
        <f>MIN(Z234,1)*Roles!$D$4+MAX(Z234-1,0)*AB234</f>
        <v>0</v>
      </c>
      <c r="AD234" s="193">
        <f>AE234/$F234</f>
        <v>0</v>
      </c>
      <c r="AE234" s="197">
        <v>0.0</v>
      </c>
      <c r="AF234" s="200"/>
      <c r="AG234" s="200">
        <f>Roles!$D$6</f>
        <v>0.1</v>
      </c>
      <c r="AH234" s="199">
        <f>MIN(AE234,1)*Roles!$D$3+MAX(AE234-1,0)*AG234</f>
        <v>0</v>
      </c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 t="shared" si="1"/>
        <v>1</v>
      </c>
      <c r="F235" s="80">
        <v>2.0</v>
      </c>
      <c r="G235" s="105">
        <f t="shared" si="2"/>
        <v>0.00172265288544358</v>
      </c>
      <c r="H235" s="47">
        <f t="shared" si="199"/>
        <v>0.993109388458225</v>
      </c>
      <c r="I235" s="187">
        <f t="shared" si="197"/>
        <v>4</v>
      </c>
      <c r="J235" s="172">
        <f t="shared" si="200"/>
        <v>2596.5</v>
      </c>
      <c r="K235" s="115">
        <f t="shared" si="3"/>
        <v>0.990085795996187</v>
      </c>
      <c r="L235" s="191">
        <f t="shared" si="198"/>
        <v>1.23</v>
      </c>
      <c r="M235" s="172">
        <f t="shared" si="201"/>
        <v>441.47</v>
      </c>
      <c r="N235" s="47">
        <f t="shared" si="4"/>
        <v>0.988535345619024</v>
      </c>
      <c r="O235" s="193">
        <f>P235/$F235</f>
        <v>0.5</v>
      </c>
      <c r="P235" s="194">
        <v>1.0</v>
      </c>
      <c r="Q235" s="195"/>
      <c r="R235" s="196">
        <f>Roles!$D$2</f>
        <v>0.61</v>
      </c>
      <c r="S235" s="196">
        <f>R235*P235</f>
        <v>0.61</v>
      </c>
      <c r="T235" s="193">
        <f>U235/$F235</f>
        <v>1.5</v>
      </c>
      <c r="U235" s="197">
        <v>3.0</v>
      </c>
      <c r="V235" s="195"/>
      <c r="W235" s="196">
        <f>Roles!$D$8</f>
        <v>0.09</v>
      </c>
      <c r="X235" s="199">
        <f>MIN(U235,1)*Roles!$D$5+MAX(U235-1,0)*W235</f>
        <v>0.62</v>
      </c>
      <c r="Y235" s="193">
        <f>Z235/$F235</f>
        <v>0</v>
      </c>
      <c r="Z235" s="197">
        <v>0.0</v>
      </c>
      <c r="AA235" s="195"/>
      <c r="AB235" s="196">
        <f>Roles!$D$7</f>
        <v>0.12</v>
      </c>
      <c r="AC235" s="199">
        <f>MIN(Z235,1)*Roles!$D$4+MAX(Z235-1,0)*AB235</f>
        <v>0</v>
      </c>
      <c r="AD235" s="193">
        <f>AE235/$F235</f>
        <v>0</v>
      </c>
      <c r="AE235" s="197">
        <v>0.0</v>
      </c>
      <c r="AF235" s="200"/>
      <c r="AG235" s="208">
        <f>Roles!$D$6</f>
        <v>0.1</v>
      </c>
      <c r="AH235" s="199">
        <f>MIN(AE235,1)*Roles!$D$3+MAX(AE235-1,0)*AG235</f>
        <v>0</v>
      </c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 t="shared" si="1"/>
        <v>2</v>
      </c>
      <c r="F236" s="80">
        <v>3.0</v>
      </c>
      <c r="G236" s="105">
        <f t="shared" si="2"/>
        <v>0.00258397932816538</v>
      </c>
      <c r="H236" s="47">
        <f t="shared" si="199"/>
        <v>0.99569336778639</v>
      </c>
      <c r="I236" s="187">
        <f t="shared" si="197"/>
        <v>5</v>
      </c>
      <c r="J236" s="172">
        <f t="shared" si="200"/>
        <v>2601.5</v>
      </c>
      <c r="K236" s="115">
        <f t="shared" si="3"/>
        <v>0.991992373689228</v>
      </c>
      <c r="L236" s="191">
        <f t="shared" si="198"/>
        <v>1.32</v>
      </c>
      <c r="M236" s="172">
        <f t="shared" si="201"/>
        <v>442.79</v>
      </c>
      <c r="N236" s="47">
        <f t="shared" si="4"/>
        <v>0.99149107682662</v>
      </c>
      <c r="O236" s="193">
        <f>P236/$F236</f>
        <v>0.333333333333333</v>
      </c>
      <c r="P236" s="194">
        <v>1.0</v>
      </c>
      <c r="Q236" s="195"/>
      <c r="R236" s="196">
        <f>Roles!$D$2</f>
        <v>0.61</v>
      </c>
      <c r="S236" s="196">
        <f>R236*P236</f>
        <v>0.61</v>
      </c>
      <c r="T236" s="193">
        <f>U236/$F236</f>
        <v>1.33333333333333</v>
      </c>
      <c r="U236" s="197">
        <v>4.0</v>
      </c>
      <c r="V236" s="195"/>
      <c r="W236" s="196">
        <f>Roles!$D$8</f>
        <v>0.09</v>
      </c>
      <c r="X236" s="199">
        <f>MIN(U236,1)*Roles!$D$5+MAX(U236-1,0)*W236</f>
        <v>0.71</v>
      </c>
      <c r="Y236" s="193">
        <f>Z236/$F236</f>
        <v>0</v>
      </c>
      <c r="Z236" s="197">
        <v>0.0</v>
      </c>
      <c r="AA236" s="195"/>
      <c r="AB236" s="196">
        <f>Roles!$D$7</f>
        <v>0.12</v>
      </c>
      <c r="AC236" s="199">
        <f>MIN(Z236,1)*Roles!$D$4+MAX(Z236-1,0)*AB236</f>
        <v>0</v>
      </c>
      <c r="AD236" s="193">
        <f>AE236/$F236</f>
        <v>0</v>
      </c>
      <c r="AE236" s="197">
        <v>0.0</v>
      </c>
      <c r="AF236" s="200"/>
      <c r="AG236" s="208">
        <f>Roles!$D$6</f>
        <v>0.1</v>
      </c>
      <c r="AH236" s="199">
        <f>MIN(AE236,1)*Roles!$D$3+MAX(AE236-1,0)*AG236</f>
        <v>0</v>
      </c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 t="shared" si="1"/>
        <v>1</v>
      </c>
      <c r="F237" s="80">
        <v>5.0</v>
      </c>
      <c r="G237" s="105">
        <f t="shared" si="2"/>
        <v>0.00430663221360896</v>
      </c>
      <c r="H237" s="47">
        <f t="shared" si="199"/>
        <v>0.999999999999999</v>
      </c>
      <c r="I237" s="187">
        <f t="shared" si="197"/>
        <v>21</v>
      </c>
      <c r="J237" s="172">
        <f t="shared" si="200"/>
        <v>2622.5</v>
      </c>
      <c r="K237" s="115">
        <f t="shared" si="3"/>
        <v>1</v>
      </c>
      <c r="L237" s="191">
        <f t="shared" si="198"/>
        <v>3.8</v>
      </c>
      <c r="M237" s="172">
        <f t="shared" si="201"/>
        <v>446.59</v>
      </c>
      <c r="N237" s="342">
        <f t="shared" si="4"/>
        <v>1</v>
      </c>
      <c r="O237" s="193">
        <f>P237/$F237</f>
        <v>0.6</v>
      </c>
      <c r="P237" s="194">
        <v>3</v>
      </c>
      <c r="Q237" s="195"/>
      <c r="R237" s="196">
        <f>Roles!$D$2</f>
        <v>0.61</v>
      </c>
      <c r="S237" s="196">
        <f>R237*P237</f>
        <v>1.83</v>
      </c>
      <c r="T237" s="193">
        <f>U237/$F237</f>
        <v>3.6</v>
      </c>
      <c r="U237" s="197">
        <v>18.0</v>
      </c>
      <c r="V237" s="195"/>
      <c r="W237" s="195">
        <f>Roles!$D$8</f>
        <v>0.09</v>
      </c>
      <c r="X237" s="199">
        <f>MIN(U237,1)*Roles!$D$5+MAX(U237-1,0)*W237</f>
        <v>1.97</v>
      </c>
      <c r="Y237" s="193">
        <f>Z237/$F237</f>
        <v>0</v>
      </c>
      <c r="Z237" s="197">
        <v>0.0</v>
      </c>
      <c r="AA237" s="195"/>
      <c r="AB237" s="195">
        <f>Roles!$D$7</f>
        <v>0.12</v>
      </c>
      <c r="AC237" s="199">
        <f>MIN(Z237,1)*Roles!$D$4+MAX(Z237-1,0)*AB237</f>
        <v>0</v>
      </c>
      <c r="AD237" s="193">
        <f>AE237/$F237</f>
        <v>0</v>
      </c>
      <c r="AE237" s="197">
        <v>0.0</v>
      </c>
      <c r="AF237" s="195"/>
      <c r="AG237" s="200">
        <f>Roles!$D$6</f>
        <v>0.1</v>
      </c>
      <c r="AH237" s="199">
        <f>MIN(AE237,1)*Roles!$D$3+MAX(AE237-1,0)*AG237</f>
        <v>0</v>
      </c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 t="shared" si="1"/>
        <v>1</v>
      </c>
      <c r="F238" s="136">
        <v>0.0</v>
      </c>
      <c r="G238" s="105">
        <f t="shared" si="2"/>
        <v>0</v>
      </c>
      <c r="H238" s="115">
        <f t="shared" si="199"/>
        <v>0.999999999999999</v>
      </c>
      <c r="I238" s="110">
        <f>F238</f>
        <v>0</v>
      </c>
      <c r="J238" s="110">
        <f t="shared" si="200"/>
        <v>2622.5</v>
      </c>
      <c r="K238" s="115">
        <f t="shared" si="3"/>
        <v>1</v>
      </c>
      <c r="L238" s="110">
        <v>0.0</v>
      </c>
      <c r="M238" s="110">
        <f t="shared" si="201"/>
        <v>446.59</v>
      </c>
      <c r="N238" s="115">
        <f t="shared" si="4"/>
        <v>1</v>
      </c>
      <c r="O238" s="289"/>
      <c r="P238" s="118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8"/>
      <c r="AF238" s="119"/>
      <c r="AG238" s="119"/>
      <c r="AH238" s="119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2622.5</v>
      </c>
      <c r="J239" s="7"/>
      <c r="K239" s="7"/>
      <c r="L239" s="329">
        <f>L5+L30+L80+L146+L186+L213</f>
        <v>446.59</v>
      </c>
      <c r="M239" s="7"/>
      <c r="N239" s="7"/>
      <c r="P239" s="359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360"/>
      <c r="AE239" s="361"/>
      <c r="AF239" s="362"/>
      <c r="AG239" s="362"/>
      <c r="AH239" s="363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359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360"/>
      <c r="AE240" s="361"/>
      <c r="AF240" s="362"/>
      <c r="AG240" s="362"/>
      <c r="AH240" s="363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359"/>
      <c r="Q241" s="7"/>
      <c r="R241" s="349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360"/>
      <c r="AE241" s="361"/>
      <c r="AF241" s="362"/>
      <c r="AG241" s="362"/>
      <c r="AH241" s="363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359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360"/>
      <c r="AE242" s="361"/>
      <c r="AF242" s="362"/>
      <c r="AG242" s="362"/>
      <c r="AH242" s="363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359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360"/>
      <c r="AE243" s="361"/>
      <c r="AF243" s="362"/>
      <c r="AG243" s="362"/>
      <c r="AH243" s="363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359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360"/>
      <c r="AE244" s="361"/>
      <c r="AF244" s="362"/>
      <c r="AG244" s="362"/>
      <c r="AH244" s="363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359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359"/>
      <c r="AF245" s="7"/>
      <c r="AG245" s="7"/>
      <c r="AH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359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359"/>
      <c r="AF246" s="7"/>
      <c r="AG246" s="7"/>
      <c r="AH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359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360"/>
      <c r="AE247" s="361"/>
      <c r="AF247" s="362"/>
      <c r="AG247" s="362"/>
      <c r="AH247" s="363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359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360"/>
      <c r="AE248" s="361"/>
      <c r="AF248" s="362"/>
      <c r="AG248" s="362"/>
      <c r="AH248" s="363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359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360"/>
      <c r="AE249" s="361"/>
      <c r="AF249" s="362"/>
      <c r="AG249" s="362"/>
      <c r="AH249" s="363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359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364"/>
      <c r="AE250" s="365"/>
      <c r="AF250" s="366"/>
      <c r="AG250" s="366"/>
      <c r="AH250" s="36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359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364"/>
      <c r="AE251" s="365"/>
      <c r="AF251" s="366"/>
      <c r="AG251" s="366"/>
      <c r="AH251" s="36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359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360"/>
      <c r="AE252" s="361"/>
      <c r="AF252" s="362"/>
      <c r="AG252" s="362"/>
      <c r="AH252" s="363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359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360"/>
      <c r="AE253" s="361"/>
      <c r="AF253" s="362"/>
      <c r="AG253" s="362"/>
      <c r="AH253" s="363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359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360"/>
      <c r="AE254" s="361"/>
      <c r="AF254" s="362"/>
      <c r="AG254" s="362"/>
      <c r="AH254" s="363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359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364"/>
      <c r="AE255" s="365"/>
      <c r="AF255" s="366"/>
      <c r="AG255" s="366"/>
      <c r="AH255" s="36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359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360"/>
      <c r="AE256" s="361"/>
      <c r="AF256" s="362"/>
      <c r="AG256" s="362"/>
      <c r="AH256" s="363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359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364"/>
      <c r="AE257" s="365"/>
      <c r="AF257" s="366"/>
      <c r="AG257" s="366"/>
      <c r="AH257" s="36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359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359"/>
      <c r="AF258" s="7"/>
      <c r="AG258" s="7"/>
      <c r="AH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359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359"/>
      <c r="AF259" s="7"/>
      <c r="AG259" s="7"/>
      <c r="AH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359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359"/>
      <c r="AF260" s="7"/>
      <c r="AG260" s="7"/>
      <c r="AH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359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359"/>
      <c r="AF261" s="7"/>
      <c r="AG261" s="7"/>
      <c r="AH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359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359"/>
      <c r="AF262" s="7"/>
      <c r="AG262" s="7"/>
      <c r="AH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359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359"/>
      <c r="AF263" s="7"/>
      <c r="AG263" s="7"/>
      <c r="AH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359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359"/>
      <c r="AF264" s="7"/>
      <c r="AG264" s="7"/>
      <c r="AH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359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359"/>
      <c r="AF265" s="7"/>
      <c r="AG265" s="7"/>
      <c r="AH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359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359"/>
      <c r="AF266" s="7"/>
      <c r="AG266" s="7"/>
      <c r="AH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359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359"/>
      <c r="AF267" s="7"/>
      <c r="AG267" s="7"/>
      <c r="AH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359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359"/>
      <c r="AF268" s="7"/>
      <c r="AG268" s="7"/>
      <c r="AH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359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359"/>
      <c r="AF269" s="7"/>
      <c r="AG269" s="7"/>
      <c r="AH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359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359"/>
      <c r="AF270" s="7"/>
      <c r="AG270" s="7"/>
      <c r="AH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359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359"/>
      <c r="AF271" s="7"/>
      <c r="AG271" s="7"/>
      <c r="AH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359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359"/>
      <c r="AF272" s="7"/>
      <c r="AG272" s="7"/>
      <c r="AH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359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359"/>
      <c r="AF273" s="7"/>
      <c r="AG273" s="7"/>
      <c r="AH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359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359"/>
      <c r="AF274" s="7"/>
      <c r="AG274" s="7"/>
      <c r="AH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359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359"/>
      <c r="AF275" s="7"/>
      <c r="AG275" s="7"/>
      <c r="AH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359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359"/>
      <c r="AF276" s="7"/>
      <c r="AG276" s="7"/>
      <c r="AH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359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359"/>
      <c r="AF277" s="7"/>
      <c r="AG277" s="7"/>
      <c r="AH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359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359"/>
      <c r="AF278" s="7"/>
      <c r="AG278" s="7"/>
      <c r="AH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359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359"/>
      <c r="AF279" s="7"/>
      <c r="AG279" s="7"/>
      <c r="AH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359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359"/>
      <c r="AF280" s="7"/>
      <c r="AG280" s="7"/>
      <c r="AH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359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359"/>
      <c r="AF281" s="7"/>
      <c r="AG281" s="7"/>
      <c r="AH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359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359"/>
      <c r="AF282" s="7"/>
      <c r="AG282" s="7"/>
      <c r="AH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359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359"/>
      <c r="AF283" s="7"/>
      <c r="AG283" s="7"/>
      <c r="AH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359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359"/>
      <c r="AF284" s="7"/>
      <c r="AG284" s="7"/>
      <c r="AH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359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359"/>
      <c r="AF285" s="7"/>
      <c r="AG285" s="7"/>
      <c r="AH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359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359"/>
      <c r="AF286" s="7"/>
      <c r="AG286" s="7"/>
      <c r="AH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359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359"/>
      <c r="AF287" s="7"/>
      <c r="AG287" s="7"/>
      <c r="AH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359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359"/>
      <c r="AF288" s="7"/>
      <c r="AG288" s="7"/>
      <c r="AH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359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359"/>
      <c r="AF289" s="7"/>
      <c r="AG289" s="7"/>
      <c r="AH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359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359"/>
      <c r="AF290" s="7"/>
      <c r="AG290" s="7"/>
      <c r="AH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359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359"/>
      <c r="AF291" s="7"/>
      <c r="AG291" s="7"/>
      <c r="AH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359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359"/>
      <c r="AF292" s="7"/>
      <c r="AG292" s="7"/>
      <c r="AH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359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359"/>
      <c r="AF293" s="7"/>
      <c r="AG293" s="7"/>
      <c r="AH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359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359"/>
      <c r="AF294" s="7"/>
      <c r="AG294" s="7"/>
      <c r="AH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359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359"/>
      <c r="AF295" s="7"/>
      <c r="AG295" s="7"/>
      <c r="AH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359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359"/>
      <c r="AF296" s="7"/>
      <c r="AG296" s="7"/>
      <c r="AH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359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359"/>
      <c r="AF297" s="7"/>
      <c r="AG297" s="7"/>
      <c r="AH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359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359"/>
      <c r="AF298" s="7"/>
      <c r="AG298" s="7"/>
      <c r="AH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359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359"/>
      <c r="AF299" s="7"/>
      <c r="AG299" s="7"/>
      <c r="AH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359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359"/>
      <c r="AF300" s="7"/>
      <c r="AG300" s="7"/>
      <c r="AH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359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359"/>
      <c r="AF301" s="7"/>
      <c r="AG301" s="7"/>
      <c r="AH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359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359"/>
      <c r="AF302" s="7"/>
      <c r="AG302" s="7"/>
      <c r="AH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359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359"/>
      <c r="AF303" s="7"/>
      <c r="AG303" s="7"/>
      <c r="AH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359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359"/>
      <c r="AF304" s="7"/>
      <c r="AG304" s="7"/>
      <c r="AH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359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359"/>
      <c r="AF305" s="7"/>
      <c r="AG305" s="7"/>
      <c r="AH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359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359"/>
      <c r="AF306" s="7"/>
      <c r="AG306" s="7"/>
      <c r="AH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359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359"/>
      <c r="AF307" s="7"/>
      <c r="AG307" s="7"/>
      <c r="AH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359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359"/>
      <c r="AF308" s="7"/>
      <c r="AG308" s="7"/>
      <c r="AH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359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359"/>
      <c r="AF309" s="7"/>
      <c r="AG309" s="7"/>
      <c r="AH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359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359"/>
      <c r="AF310" s="7"/>
      <c r="AG310" s="7"/>
      <c r="AH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359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359"/>
      <c r="AF311" s="7"/>
      <c r="AG311" s="7"/>
      <c r="AH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359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359"/>
      <c r="AF312" s="7"/>
      <c r="AG312" s="7"/>
      <c r="AH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359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359"/>
      <c r="AF313" s="7"/>
      <c r="AG313" s="7"/>
      <c r="AH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359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359"/>
      <c r="AF314" s="7"/>
      <c r="AG314" s="7"/>
      <c r="AH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359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359"/>
      <c r="AF315" s="7"/>
      <c r="AG315" s="7"/>
      <c r="AH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359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359"/>
      <c r="AF316" s="7"/>
      <c r="AG316" s="7"/>
      <c r="AH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359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359"/>
      <c r="AF317" s="7"/>
      <c r="AG317" s="7"/>
      <c r="AH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359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359"/>
      <c r="AF318" s="7"/>
      <c r="AG318" s="7"/>
      <c r="AH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359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359"/>
      <c r="AF319" s="7"/>
      <c r="AG319" s="7"/>
      <c r="AH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359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359"/>
      <c r="AF320" s="7"/>
      <c r="AG320" s="7"/>
      <c r="AH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359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359"/>
      <c r="AF321" s="7"/>
      <c r="AG321" s="7"/>
      <c r="AH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359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359"/>
      <c r="AF322" s="7"/>
      <c r="AG322" s="7"/>
      <c r="AH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359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359"/>
      <c r="AF323" s="7"/>
      <c r="AG323" s="7"/>
      <c r="AH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359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359"/>
      <c r="AF324" s="7"/>
      <c r="AG324" s="7"/>
      <c r="AH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359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359"/>
      <c r="AF325" s="7"/>
      <c r="AG325" s="7"/>
      <c r="AH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359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359"/>
      <c r="AF326" s="7"/>
      <c r="AG326" s="7"/>
      <c r="AH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359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359"/>
      <c r="AF327" s="7"/>
      <c r="AG327" s="7"/>
      <c r="AH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359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359"/>
      <c r="AF328" s="7"/>
      <c r="AG328" s="7"/>
      <c r="AH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359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359"/>
      <c r="AF329" s="7"/>
      <c r="AG329" s="7"/>
      <c r="AH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359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359"/>
      <c r="AF330" s="7"/>
      <c r="AG330" s="7"/>
      <c r="AH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359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359"/>
      <c r="AF331" s="7"/>
      <c r="AG331" s="7"/>
      <c r="AH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359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359"/>
      <c r="AF332" s="7"/>
      <c r="AG332" s="7"/>
      <c r="AH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359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359"/>
      <c r="AF333" s="7"/>
      <c r="AG333" s="7"/>
      <c r="AH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359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359"/>
      <c r="AF334" s="7"/>
      <c r="AG334" s="7"/>
      <c r="AH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359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359"/>
      <c r="AF335" s="7"/>
      <c r="AG335" s="7"/>
      <c r="AH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359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359"/>
      <c r="AF336" s="7"/>
      <c r="AG336" s="7"/>
      <c r="AH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359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359"/>
      <c r="AF337" s="7"/>
      <c r="AG337" s="7"/>
      <c r="AH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359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359"/>
      <c r="AF338" s="7"/>
      <c r="AG338" s="7"/>
      <c r="AH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359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359"/>
      <c r="AF339" s="7"/>
      <c r="AG339" s="7"/>
      <c r="AH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359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359"/>
      <c r="AF340" s="7"/>
      <c r="AG340" s="7"/>
      <c r="AH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359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359"/>
      <c r="AF341" s="7"/>
      <c r="AG341" s="7"/>
      <c r="AH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359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359"/>
      <c r="AF342" s="7"/>
      <c r="AG342" s="7"/>
      <c r="AH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359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359"/>
      <c r="AF343" s="7"/>
      <c r="AG343" s="7"/>
      <c r="AH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359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359"/>
      <c r="AF344" s="7"/>
      <c r="AG344" s="7"/>
      <c r="AH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359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359"/>
      <c r="AF345" s="7"/>
      <c r="AG345" s="7"/>
      <c r="AH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359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359"/>
      <c r="AF346" s="7"/>
      <c r="AG346" s="7"/>
      <c r="AH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359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359"/>
      <c r="AF347" s="7"/>
      <c r="AG347" s="7"/>
      <c r="AH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359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359"/>
      <c r="AF348" s="7"/>
      <c r="AG348" s="7"/>
      <c r="AH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359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359"/>
      <c r="AF349" s="7"/>
      <c r="AG349" s="7"/>
      <c r="AH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359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359"/>
      <c r="AF350" s="7"/>
      <c r="AG350" s="7"/>
      <c r="AH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359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359"/>
      <c r="AF351" s="7"/>
      <c r="AG351" s="7"/>
      <c r="AH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359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359"/>
      <c r="AF352" s="7"/>
      <c r="AG352" s="7"/>
      <c r="AH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359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359"/>
      <c r="AF353" s="7"/>
      <c r="AG353" s="7"/>
      <c r="AH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359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359"/>
      <c r="AF354" s="7"/>
      <c r="AG354" s="7"/>
      <c r="AH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359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359"/>
      <c r="AF355" s="7"/>
      <c r="AG355" s="7"/>
      <c r="AH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359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359"/>
      <c r="AF356" s="7"/>
      <c r="AG356" s="7"/>
      <c r="AH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359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359"/>
      <c r="AF357" s="7"/>
      <c r="AG357" s="7"/>
      <c r="AH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359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359"/>
      <c r="AF358" s="7"/>
      <c r="AG358" s="7"/>
      <c r="AH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359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359"/>
      <c r="AF359" s="7"/>
      <c r="AG359" s="7"/>
      <c r="AH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359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359"/>
      <c r="AF360" s="7"/>
      <c r="AG360" s="7"/>
      <c r="AH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359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359"/>
      <c r="AF361" s="7"/>
      <c r="AG361" s="7"/>
      <c r="AH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359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359"/>
      <c r="AF362" s="7"/>
      <c r="AG362" s="7"/>
      <c r="AH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359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359"/>
      <c r="AF363" s="7"/>
      <c r="AG363" s="7"/>
      <c r="AH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359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359"/>
      <c r="AF364" s="7"/>
      <c r="AG364" s="7"/>
      <c r="AH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359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359"/>
      <c r="AF365" s="7"/>
      <c r="AG365" s="7"/>
      <c r="AH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359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359"/>
      <c r="AF366" s="7"/>
      <c r="AG366" s="7"/>
      <c r="AH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359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359"/>
      <c r="AF367" s="7"/>
      <c r="AG367" s="7"/>
      <c r="AH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359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359"/>
      <c r="AF368" s="7"/>
      <c r="AG368" s="7"/>
      <c r="AH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359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359"/>
      <c r="AF369" s="7"/>
      <c r="AG369" s="7"/>
      <c r="AH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359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359"/>
      <c r="AF370" s="7"/>
      <c r="AG370" s="7"/>
      <c r="AH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359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359"/>
      <c r="AF371" s="7"/>
      <c r="AG371" s="7"/>
      <c r="AH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359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359"/>
      <c r="AF372" s="7"/>
      <c r="AG372" s="7"/>
      <c r="AH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359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359"/>
      <c r="AF373" s="7"/>
      <c r="AG373" s="7"/>
      <c r="AH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359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359"/>
      <c r="AF374" s="7"/>
      <c r="AG374" s="7"/>
      <c r="AH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359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359"/>
      <c r="AF375" s="7"/>
      <c r="AG375" s="7"/>
      <c r="AH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359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359"/>
      <c r="AF376" s="7"/>
      <c r="AG376" s="7"/>
      <c r="AH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359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359"/>
      <c r="AF377" s="7"/>
      <c r="AG377" s="7"/>
      <c r="AH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359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359"/>
      <c r="AF378" s="7"/>
      <c r="AG378" s="7"/>
      <c r="AH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359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359"/>
      <c r="AF379" s="7"/>
      <c r="AG379" s="7"/>
      <c r="AH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359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359"/>
      <c r="AF380" s="7"/>
      <c r="AG380" s="7"/>
      <c r="AH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359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359"/>
      <c r="AF381" s="7"/>
      <c r="AG381" s="7"/>
      <c r="AH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359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359"/>
      <c r="AF382" s="7"/>
      <c r="AG382" s="7"/>
      <c r="AH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359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359"/>
      <c r="AF383" s="7"/>
      <c r="AG383" s="7"/>
      <c r="AH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359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359"/>
      <c r="AF384" s="7"/>
      <c r="AG384" s="7"/>
      <c r="AH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359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359"/>
      <c r="AF385" s="7"/>
      <c r="AG385" s="7"/>
      <c r="AH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359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359"/>
      <c r="AF386" s="7"/>
      <c r="AG386" s="7"/>
      <c r="AH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359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359"/>
      <c r="AF387" s="7"/>
      <c r="AG387" s="7"/>
      <c r="AH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359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359"/>
      <c r="AF388" s="7"/>
      <c r="AG388" s="7"/>
      <c r="AH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359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359"/>
      <c r="AF389" s="7"/>
      <c r="AG389" s="7"/>
      <c r="AH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359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359"/>
      <c r="AF390" s="7"/>
      <c r="AG390" s="7"/>
      <c r="AH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359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359"/>
      <c r="AF391" s="7"/>
      <c r="AG391" s="7"/>
      <c r="AH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359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359"/>
      <c r="AF392" s="7"/>
      <c r="AG392" s="7"/>
      <c r="AH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359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359"/>
      <c r="AF393" s="7"/>
      <c r="AG393" s="7"/>
      <c r="AH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359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359"/>
      <c r="AF394" s="7"/>
      <c r="AG394" s="7"/>
      <c r="AH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359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359"/>
      <c r="AF395" s="7"/>
      <c r="AG395" s="7"/>
      <c r="AH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359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359"/>
      <c r="AF396" s="7"/>
      <c r="AG396" s="7"/>
      <c r="AH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359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359"/>
      <c r="AF397" s="7"/>
      <c r="AG397" s="7"/>
      <c r="AH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359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359"/>
      <c r="AF398" s="7"/>
      <c r="AG398" s="7"/>
      <c r="AH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359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359"/>
      <c r="AF399" s="7"/>
      <c r="AG399" s="7"/>
      <c r="AH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359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359"/>
      <c r="AF400" s="7"/>
      <c r="AG400" s="7"/>
      <c r="AH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359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359"/>
      <c r="AF401" s="7"/>
      <c r="AG401" s="7"/>
      <c r="AH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359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359"/>
      <c r="AF402" s="7"/>
      <c r="AG402" s="7"/>
      <c r="AH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359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359"/>
      <c r="AF403" s="7"/>
      <c r="AG403" s="7"/>
      <c r="AH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359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359"/>
      <c r="AF404" s="7"/>
      <c r="AG404" s="7"/>
      <c r="AH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359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359"/>
      <c r="AF405" s="7"/>
      <c r="AG405" s="7"/>
      <c r="AH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359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359"/>
      <c r="AF406" s="7"/>
      <c r="AG406" s="7"/>
      <c r="AH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359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359"/>
      <c r="AF407" s="7"/>
      <c r="AG407" s="7"/>
      <c r="AH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359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359"/>
      <c r="AF408" s="7"/>
      <c r="AG408" s="7"/>
      <c r="AH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359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359"/>
      <c r="AF409" s="7"/>
      <c r="AG409" s="7"/>
      <c r="AH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359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359"/>
      <c r="AF410" s="7"/>
      <c r="AG410" s="7"/>
      <c r="AH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359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359"/>
      <c r="AF411" s="7"/>
      <c r="AG411" s="7"/>
      <c r="AH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359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359"/>
      <c r="AF412" s="7"/>
      <c r="AG412" s="7"/>
      <c r="AH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359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359"/>
      <c r="AF413" s="7"/>
      <c r="AG413" s="7"/>
      <c r="AH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359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359"/>
      <c r="AF414" s="7"/>
      <c r="AG414" s="7"/>
      <c r="AH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359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359"/>
      <c r="AF415" s="7"/>
      <c r="AG415" s="7"/>
      <c r="AH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359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359"/>
      <c r="AF416" s="7"/>
      <c r="AG416" s="7"/>
      <c r="AH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359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359"/>
      <c r="AF417" s="7"/>
      <c r="AG417" s="7"/>
      <c r="AH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359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359"/>
      <c r="AF418" s="7"/>
      <c r="AG418" s="7"/>
      <c r="AH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359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359"/>
      <c r="AF419" s="7"/>
      <c r="AG419" s="7"/>
      <c r="AH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359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359"/>
      <c r="AF420" s="7"/>
      <c r="AG420" s="7"/>
      <c r="AH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359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359"/>
      <c r="AF421" s="7"/>
      <c r="AG421" s="7"/>
      <c r="AH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359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359"/>
      <c r="AF422" s="7"/>
      <c r="AG422" s="7"/>
      <c r="AH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359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359"/>
      <c r="AF423" s="7"/>
      <c r="AG423" s="7"/>
      <c r="AH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359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359"/>
      <c r="AF424" s="7"/>
      <c r="AG424" s="7"/>
      <c r="AH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359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359"/>
      <c r="AF425" s="7"/>
      <c r="AG425" s="7"/>
      <c r="AH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359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359"/>
      <c r="AF426" s="7"/>
      <c r="AG426" s="7"/>
      <c r="AH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359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359"/>
      <c r="AF427" s="7"/>
      <c r="AG427" s="7"/>
      <c r="AH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359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359"/>
      <c r="AF428" s="7"/>
      <c r="AG428" s="7"/>
      <c r="AH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359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359"/>
      <c r="AF429" s="7"/>
      <c r="AG429" s="7"/>
      <c r="AH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359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359"/>
      <c r="AF430" s="7"/>
      <c r="AG430" s="7"/>
      <c r="AH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359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359"/>
      <c r="AF431" s="7"/>
      <c r="AG431" s="7"/>
      <c r="AH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359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359"/>
      <c r="AF432" s="7"/>
      <c r="AG432" s="7"/>
      <c r="AH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359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359"/>
      <c r="AF433" s="7"/>
      <c r="AG433" s="7"/>
      <c r="AH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359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359"/>
      <c r="AF434" s="7"/>
      <c r="AG434" s="7"/>
      <c r="AH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359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359"/>
      <c r="AF435" s="7"/>
      <c r="AG435" s="7"/>
      <c r="AH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359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359"/>
      <c r="AF436" s="7"/>
      <c r="AG436" s="7"/>
      <c r="AH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359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359"/>
      <c r="AF437" s="7"/>
      <c r="AG437" s="7"/>
      <c r="AH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359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359"/>
      <c r="AF438" s="7"/>
      <c r="AG438" s="7"/>
      <c r="AH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359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359"/>
      <c r="AF439" s="7"/>
      <c r="AG439" s="7"/>
      <c r="AH439" s="7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2:H3"/>
    <mergeCell ref="I2:J2"/>
    <mergeCell ref="L2:M2"/>
    <mergeCell ref="O2:S2"/>
    <mergeCell ref="T2:X2"/>
    <mergeCell ref="Y2:AC2"/>
    <mergeCell ref="O1:AH1"/>
    <mergeCell ref="A2:A3"/>
    <mergeCell ref="B2:B3"/>
    <mergeCell ref="C2:D2"/>
    <mergeCell ref="E2:E3"/>
    <mergeCell ref="F2:F3"/>
    <mergeCell ref="G2:G3"/>
    <mergeCell ref="AD2:AH2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5.0" ySplit="3.0" topLeftCell="P4" activePane="bottomRight" state="frozen"/>
      <selection activeCell="P1" sqref="P1" pane="topRight"/>
      <selection activeCell="A4" sqref="A4" pane="bottomLeft"/>
      <selection activeCell="P4" sqref="P4" pane="bottomRight"/>
    </sheetView>
  </sheetViews>
  <sheetFormatPr customHeight="1" defaultColWidth="14.43" defaultRowHeight="15.0" outlineLevelRow="1"/>
  <cols>
    <col customWidth="1" min="1" max="1" width="5.0"/>
    <col customWidth="1" min="2" max="2" width="49.29"/>
    <col customWidth="1" min="3" max="4" width="8.57"/>
    <col customWidth="1" min="5" max="6" width="5.86"/>
    <col customWidth="1" min="7" max="7" width="8.43"/>
    <col customWidth="1" min="8" max="8" width="7.86"/>
    <col customWidth="1" min="9" max="9" width="7.14"/>
    <col customWidth="1" min="10" max="10" width="8.0"/>
    <col customWidth="1" hidden="1" min="11" max="11" width="7.71"/>
    <col customWidth="1" min="12" max="12" width="6.71"/>
    <col customWidth="1" min="13" max="13" width="5.43"/>
    <col customWidth="1" min="14" max="14" width="10.86"/>
    <col customWidth="1" min="15" max="15" width="9.43"/>
    <col customWidth="1" hidden="1" min="16" max="18" width="8.14"/>
    <col customWidth="1" min="19" max="19" width="8.71"/>
    <col customWidth="1" min="20" max="20" width="8.0"/>
    <col customWidth="1" min="21" max="21" width="5.29"/>
    <col customWidth="1" min="22" max="22" width="9.57"/>
    <col customWidth="1" min="23" max="23" width="7.57"/>
    <col customWidth="1" min="24" max="24" width="8.86"/>
    <col customWidth="1" min="25" max="25" width="8.71"/>
    <col customWidth="1" min="26" max="26" width="3.14"/>
    <col customWidth="1" min="27" max="27" width="9.57"/>
    <col customWidth="1" min="28" max="28" width="7.57"/>
    <col customWidth="1" min="29" max="29" width="9.14"/>
    <col customWidth="1" min="30" max="30" width="8.71"/>
    <col customWidth="1" min="31" max="31" width="3.14"/>
    <col customWidth="1" min="32" max="32" width="9.57"/>
    <col customWidth="1" min="33" max="34" width="7.57"/>
    <col customWidth="1" min="35" max="35" width="8.71"/>
    <col customWidth="1" min="36" max="36" width="3.14"/>
    <col customWidth="1" min="37" max="37" width="9.57"/>
    <col customWidth="1" min="38" max="42" width="7.57"/>
  </cols>
  <sheetData>
    <row r="1" outlineLevel="1">
      <c r="A1" s="3"/>
      <c r="B1" s="5"/>
      <c r="C1" s="5"/>
      <c r="D1" s="7"/>
      <c r="E1" s="3"/>
      <c r="F1" s="7"/>
      <c r="G1" s="7"/>
      <c r="H1" s="7"/>
      <c r="I1" s="7"/>
      <c r="J1" s="7"/>
      <c r="K1" s="7"/>
      <c r="L1" s="7"/>
      <c r="M1" s="7"/>
      <c r="N1" s="216"/>
      <c r="O1" s="216"/>
      <c r="P1" s="7"/>
      <c r="Q1" s="7"/>
      <c r="R1" s="7"/>
      <c r="S1" s="11" t="s">
        <v>12</v>
      </c>
      <c r="AL1" s="13"/>
      <c r="AM1" s="218" t="s">
        <v>25</v>
      </c>
      <c r="AN1" s="219" t="s">
        <v>27</v>
      </c>
      <c r="AO1" s="219" t="s">
        <v>29</v>
      </c>
      <c r="AP1" s="219" t="s">
        <v>30</v>
      </c>
    </row>
    <row r="2" outlineLevel="1">
      <c r="A2" s="17" t="s">
        <v>0</v>
      </c>
      <c r="B2" s="19" t="s">
        <v>2</v>
      </c>
      <c r="C2" s="22" t="s">
        <v>9</v>
      </c>
      <c r="D2" s="31"/>
      <c r="E2" s="19" t="s">
        <v>24</v>
      </c>
      <c r="F2" s="19" t="s">
        <v>7</v>
      </c>
      <c r="G2" s="36" t="s">
        <v>26</v>
      </c>
      <c r="H2" s="36" t="s">
        <v>28</v>
      </c>
      <c r="I2" s="22" t="s">
        <v>31</v>
      </c>
      <c r="J2" s="31"/>
      <c r="K2" s="7"/>
      <c r="L2" s="22" t="s">
        <v>32</v>
      </c>
      <c r="M2" s="31"/>
      <c r="N2" s="220" t="s">
        <v>73</v>
      </c>
      <c r="O2" s="220" t="s">
        <v>74</v>
      </c>
      <c r="P2" s="7"/>
      <c r="Q2" s="7"/>
      <c r="R2" s="7"/>
      <c r="S2" s="43" t="s">
        <v>34</v>
      </c>
      <c r="T2" s="45"/>
      <c r="U2" s="45"/>
      <c r="V2" s="45"/>
      <c r="W2" s="31"/>
      <c r="X2" s="49" t="s">
        <v>35</v>
      </c>
      <c r="Y2" s="20"/>
      <c r="Z2" s="20"/>
      <c r="AA2" s="20"/>
      <c r="AB2" s="6"/>
      <c r="AC2" s="52" t="s">
        <v>36</v>
      </c>
      <c r="AD2" s="20"/>
      <c r="AE2" s="20"/>
      <c r="AF2" s="20"/>
      <c r="AG2" s="6"/>
      <c r="AH2" s="55" t="s">
        <v>39</v>
      </c>
      <c r="AI2" s="20"/>
      <c r="AJ2" s="20"/>
      <c r="AK2" s="20"/>
      <c r="AL2" s="6"/>
      <c r="AM2" s="72"/>
      <c r="AN2" s="72"/>
      <c r="AO2" s="72"/>
      <c r="AP2" s="72"/>
    </row>
    <row r="3" outlineLevel="1">
      <c r="A3" s="25"/>
      <c r="B3" s="25"/>
      <c r="C3" s="59" t="s">
        <v>4</v>
      </c>
      <c r="D3" s="59" t="s">
        <v>41</v>
      </c>
      <c r="E3" s="25"/>
      <c r="F3" s="25"/>
      <c r="G3" s="25"/>
      <c r="H3" s="25"/>
      <c r="I3" s="59" t="s">
        <v>42</v>
      </c>
      <c r="J3" s="59" t="s">
        <v>43</v>
      </c>
      <c r="K3" s="62" t="s">
        <v>44</v>
      </c>
      <c r="L3" s="59" t="s">
        <v>45</v>
      </c>
      <c r="M3" s="59" t="s">
        <v>43</v>
      </c>
      <c r="N3" s="221"/>
      <c r="O3" s="221"/>
      <c r="P3" s="222"/>
      <c r="Q3" s="222"/>
      <c r="R3" s="65" t="s">
        <v>44</v>
      </c>
      <c r="S3" s="68" t="s">
        <v>46</v>
      </c>
      <c r="T3" s="70" t="s">
        <v>48</v>
      </c>
      <c r="U3" s="68" t="s">
        <v>49</v>
      </c>
      <c r="V3" s="68" t="s">
        <v>50</v>
      </c>
      <c r="W3" s="68" t="s">
        <v>32</v>
      </c>
      <c r="X3" s="73" t="s">
        <v>46</v>
      </c>
      <c r="Y3" s="73" t="s">
        <v>48</v>
      </c>
      <c r="Z3" s="73" t="s">
        <v>49</v>
      </c>
      <c r="AA3" s="73" t="s">
        <v>50</v>
      </c>
      <c r="AB3" s="73" t="s">
        <v>32</v>
      </c>
      <c r="AC3" s="77" t="s">
        <v>46</v>
      </c>
      <c r="AD3" s="78" t="s">
        <v>48</v>
      </c>
      <c r="AE3" s="77" t="s">
        <v>49</v>
      </c>
      <c r="AF3" s="77" t="s">
        <v>50</v>
      </c>
      <c r="AG3" s="77" t="s">
        <v>32</v>
      </c>
      <c r="AH3" s="79" t="s">
        <v>46</v>
      </c>
      <c r="AI3" s="82" t="s">
        <v>48</v>
      </c>
      <c r="AJ3" s="79" t="s">
        <v>49</v>
      </c>
      <c r="AK3" s="79" t="s">
        <v>50</v>
      </c>
      <c r="AL3" s="79" t="s">
        <v>32</v>
      </c>
      <c r="AM3" s="72"/>
      <c r="AN3" s="72"/>
      <c r="AO3" s="72"/>
      <c r="AP3" s="72"/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 t="shared" ref="E4:E238" si="1">D4-C4+1</f>
        <v>1</v>
      </c>
      <c r="F4" s="100">
        <v>0.0</v>
      </c>
      <c r="G4" s="105">
        <f t="shared" ref="G4:G238" si="2"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 t="shared" ref="K4:K238" si="3">J4/$I$239</f>
        <v>0</v>
      </c>
      <c r="L4" s="110">
        <v>0.0</v>
      </c>
      <c r="M4" s="110">
        <f>L4</f>
        <v>0</v>
      </c>
      <c r="N4" s="105">
        <v>0.0</v>
      </c>
      <c r="O4" s="105">
        <v>0.0</v>
      </c>
      <c r="P4" s="105"/>
      <c r="Q4" s="105"/>
      <c r="R4" s="105"/>
      <c r="S4" s="116"/>
      <c r="T4" s="118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8"/>
      <c r="AJ4" s="119"/>
      <c r="AK4" s="119"/>
      <c r="AL4" s="119"/>
      <c r="AM4" s="223"/>
      <c r="AN4" s="223"/>
      <c r="AO4" s="223"/>
      <c r="AP4" s="223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 t="shared" si="1"/>
        <v>7</v>
      </c>
      <c r="F5" s="131">
        <f>F6+F10+F23</f>
        <v>58</v>
      </c>
      <c r="G5" s="105">
        <f t="shared" si="2"/>
        <v>0.04995693368</v>
      </c>
      <c r="H5" s="135">
        <f>H28</f>
        <v>0.04995693368</v>
      </c>
      <c r="I5" s="137">
        <f>I6+I10+I23</f>
        <v>145</v>
      </c>
      <c r="J5" s="137">
        <f>J28</f>
        <v>145</v>
      </c>
      <c r="K5" s="138">
        <f t="shared" si="3"/>
        <v>0.04937010555</v>
      </c>
      <c r="L5" s="137">
        <f>L6+L10+L23</f>
        <v>68.39</v>
      </c>
      <c r="M5" s="137">
        <f>M28</f>
        <v>68.39</v>
      </c>
      <c r="N5" s="224">
        <f t="shared" ref="N5:N238" si="4">G5*AM5</f>
        <v>0</v>
      </c>
      <c r="O5" s="224">
        <v>0.0</v>
      </c>
      <c r="P5" s="138"/>
      <c r="Q5" s="138"/>
      <c r="R5" s="138">
        <f t="shared" ref="R5:R18" si="5">M5/$L$87</f>
        <v>8.939869281</v>
      </c>
      <c r="S5" s="142"/>
      <c r="T5" s="144"/>
      <c r="U5" s="145"/>
      <c r="V5" s="146"/>
      <c r="W5" s="147"/>
      <c r="X5" s="149"/>
      <c r="Y5" s="149"/>
      <c r="Z5" s="149"/>
      <c r="AA5" s="146"/>
      <c r="AB5" s="145"/>
      <c r="AC5" s="149"/>
      <c r="AD5" s="149"/>
      <c r="AE5" s="145"/>
      <c r="AF5" s="146"/>
      <c r="AG5" s="145"/>
      <c r="AH5" s="146"/>
      <c r="AI5" s="144"/>
      <c r="AJ5" s="145"/>
      <c r="AK5" s="150"/>
      <c r="AL5" s="149"/>
      <c r="AM5" s="225"/>
      <c r="AN5" s="225"/>
      <c r="AO5" s="225"/>
      <c r="AP5" s="225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 t="shared" si="1"/>
        <v>3</v>
      </c>
      <c r="F6" s="161">
        <f>SUM(F7:F9)</f>
        <v>8</v>
      </c>
      <c r="G6" s="105">
        <f t="shared" si="2"/>
        <v>0.006890611542</v>
      </c>
      <c r="H6" s="163">
        <f>H9</f>
        <v>0.006890611542</v>
      </c>
      <c r="I6" s="165">
        <f>SUM(I7:I9)</f>
        <v>15</v>
      </c>
      <c r="J6" s="165">
        <f>J9</f>
        <v>15</v>
      </c>
      <c r="K6" s="167">
        <f t="shared" si="3"/>
        <v>0.005107252298</v>
      </c>
      <c r="L6" s="165">
        <f>SUM(L7:L9)</f>
        <v>6.77</v>
      </c>
      <c r="M6" s="165">
        <f>M9</f>
        <v>6.77</v>
      </c>
      <c r="N6" s="226">
        <f t="shared" si="4"/>
        <v>0</v>
      </c>
      <c r="O6" s="226">
        <v>0.0</v>
      </c>
      <c r="P6" s="167"/>
      <c r="Q6" s="167"/>
      <c r="R6" s="167">
        <f t="shared" si="5"/>
        <v>0.8849673203</v>
      </c>
      <c r="S6" s="173"/>
      <c r="T6" s="174"/>
      <c r="U6" s="175"/>
      <c r="V6" s="176"/>
      <c r="W6" s="177"/>
      <c r="X6" s="178"/>
      <c r="Y6" s="178"/>
      <c r="Z6" s="178"/>
      <c r="AA6" s="176"/>
      <c r="AB6" s="175"/>
      <c r="AC6" s="178"/>
      <c r="AD6" s="178"/>
      <c r="AE6" s="175"/>
      <c r="AF6" s="176"/>
      <c r="AG6" s="175"/>
      <c r="AH6" s="176"/>
      <c r="AI6" s="174"/>
      <c r="AJ6" s="175"/>
      <c r="AK6" s="180"/>
      <c r="AL6" s="178"/>
      <c r="AM6" s="227"/>
      <c r="AN6" s="227"/>
      <c r="AO6" s="227"/>
      <c r="AP6" s="227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 t="shared" si="1"/>
        <v>2</v>
      </c>
      <c r="F7" s="185">
        <v>1.0</v>
      </c>
      <c r="G7" s="105">
        <f t="shared" si="2"/>
        <v>0.0008613264427</v>
      </c>
      <c r="H7" s="186">
        <f>H4+G7</f>
        <v>0.0008613264427</v>
      </c>
      <c r="I7" s="187">
        <f t="shared" ref="I7:I9" si="6">T7+Y7+AD7+AI7</f>
        <v>1</v>
      </c>
      <c r="J7" s="187">
        <f>J4+I7</f>
        <v>1</v>
      </c>
      <c r="K7" s="115">
        <f t="shared" si="3"/>
        <v>0.0003404834866</v>
      </c>
      <c r="L7" s="191">
        <f t="shared" ref="L7:L9" si="7">W7+AB7+AG7+AL7</f>
        <v>0.61</v>
      </c>
      <c r="M7" s="191">
        <f>M4+L7</f>
        <v>0.61</v>
      </c>
      <c r="N7" s="47">
        <f t="shared" si="4"/>
        <v>0.0008613264427</v>
      </c>
      <c r="O7" s="47">
        <f>N7</f>
        <v>0.0008613264427</v>
      </c>
      <c r="P7" s="47"/>
      <c r="Q7" s="47"/>
      <c r="R7" s="47">
        <f t="shared" si="5"/>
        <v>0.07973856209</v>
      </c>
      <c r="S7" s="229">
        <f t="shared" ref="S7:S9" si="8">T7/$F7</f>
        <v>1</v>
      </c>
      <c r="T7" s="194">
        <v>1.0</v>
      </c>
      <c r="U7" s="195"/>
      <c r="V7" s="230">
        <f>Roles!$D$2</f>
        <v>0.61</v>
      </c>
      <c r="W7" s="230">
        <f t="shared" ref="W7:W9" si="9">V7*T7</f>
        <v>0.61</v>
      </c>
      <c r="X7" s="229">
        <f t="shared" ref="X7:X9" si="10">Y7/$F7</f>
        <v>0</v>
      </c>
      <c r="Y7" s="231">
        <f>'CD R Documentación'!$I7</f>
        <v>0</v>
      </c>
      <c r="Z7" s="195"/>
      <c r="AA7" s="195"/>
      <c r="AB7" s="232">
        <f>'CD R Documentación'!$L7</f>
        <v>0</v>
      </c>
      <c r="AC7" s="229">
        <f t="shared" ref="AC7:AC9" si="11">AD7/$F7</f>
        <v>0</v>
      </c>
      <c r="AD7" s="231">
        <f>'CD R Investigación'!$I7</f>
        <v>0</v>
      </c>
      <c r="AE7" s="195"/>
      <c r="AF7" s="195"/>
      <c r="AG7" s="232">
        <f>'CD R Investigación'!$L7</f>
        <v>0</v>
      </c>
      <c r="AH7" s="229">
        <f t="shared" ref="AH7:AH9" si="12">AI7/$F7</f>
        <v>0</v>
      </c>
      <c r="AI7" s="231">
        <f>'CD R Desarrollo'!$I7</f>
        <v>0</v>
      </c>
      <c r="AJ7" s="200"/>
      <c r="AK7" s="200"/>
      <c r="AL7" s="232">
        <f>'CD R Desarrollo'!$L7</f>
        <v>0</v>
      </c>
      <c r="AM7" s="234">
        <v>1.0</v>
      </c>
      <c r="AN7" s="84">
        <f>'PL Cronograma detallado'!L7*AM7</f>
        <v>0.61</v>
      </c>
      <c r="AO7" s="234">
        <f>AN7/'PL Cronograma detallado'!M$238</f>
        <v>0.001034740128</v>
      </c>
      <c r="AP7" s="234">
        <f>AO7</f>
        <v>0.001034740128</v>
      </c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 t="shared" si="1"/>
        <v>2</v>
      </c>
      <c r="F8" s="80">
        <v>4.0</v>
      </c>
      <c r="G8" s="105">
        <f t="shared" si="2"/>
        <v>0.003445305771</v>
      </c>
      <c r="H8" s="47">
        <f t="shared" ref="H8:H9" si="13">H7+G8</f>
        <v>0.004306632214</v>
      </c>
      <c r="I8" s="187">
        <f t="shared" si="6"/>
        <v>8</v>
      </c>
      <c r="J8" s="172">
        <f t="shared" ref="J8:J9" si="14">J7+I8</f>
        <v>9</v>
      </c>
      <c r="K8" s="115">
        <f t="shared" si="3"/>
        <v>0.003064351379</v>
      </c>
      <c r="L8" s="191">
        <f t="shared" si="7"/>
        <v>3.52</v>
      </c>
      <c r="M8" s="172">
        <f t="shared" ref="M8:M9" si="15">M7+L8</f>
        <v>4.13</v>
      </c>
      <c r="N8" s="47">
        <f t="shared" si="4"/>
        <v>0.003445305771</v>
      </c>
      <c r="O8" s="47">
        <f t="shared" ref="O8:O238" si="16">N8+O7</f>
        <v>0.004306632214</v>
      </c>
      <c r="P8" s="167"/>
      <c r="Q8" s="167"/>
      <c r="R8" s="167">
        <f t="shared" si="5"/>
        <v>0.539869281</v>
      </c>
      <c r="S8" s="229">
        <f t="shared" si="8"/>
        <v>0</v>
      </c>
      <c r="T8" s="206"/>
      <c r="U8" s="195"/>
      <c r="V8" s="230">
        <f>Roles!$D$2</f>
        <v>0.61</v>
      </c>
      <c r="W8" s="230">
        <f t="shared" si="9"/>
        <v>0</v>
      </c>
      <c r="X8" s="229">
        <f t="shared" si="10"/>
        <v>0</v>
      </c>
      <c r="Y8" s="231">
        <f>'CD R Documentación'!$I8</f>
        <v>0</v>
      </c>
      <c r="Z8" s="195"/>
      <c r="AA8" s="230"/>
      <c r="AB8" s="232">
        <f>'CD R Documentación'!$L8</f>
        <v>0</v>
      </c>
      <c r="AC8" s="229">
        <f t="shared" si="11"/>
        <v>2</v>
      </c>
      <c r="AD8" s="231">
        <f>'CD R Investigación'!$I8</f>
        <v>8</v>
      </c>
      <c r="AE8" s="195"/>
      <c r="AF8" s="230"/>
      <c r="AG8" s="232">
        <f>'CD R Investigación'!$L8</f>
        <v>3.52</v>
      </c>
      <c r="AH8" s="229">
        <f t="shared" si="12"/>
        <v>0</v>
      </c>
      <c r="AI8" s="231">
        <f>'CD R Desarrollo'!$I8</f>
        <v>0</v>
      </c>
      <c r="AJ8" s="200"/>
      <c r="AK8" s="185"/>
      <c r="AL8" s="232">
        <f>'CD R Desarrollo'!$L8</f>
        <v>0</v>
      </c>
      <c r="AM8" s="234">
        <v>1.0</v>
      </c>
      <c r="AN8" s="84">
        <f>'PL Cronograma detallado'!L8*AM8</f>
        <v>1.6</v>
      </c>
      <c r="AO8" s="234">
        <f>AN8/'PL Cronograma detallado'!M$238</f>
        <v>0.002714072466</v>
      </c>
      <c r="AP8" s="234">
        <f t="shared" ref="AP8:AP9" si="17">AO8+AP7</f>
        <v>0.003748812593</v>
      </c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 t="shared" si="1"/>
        <v>2</v>
      </c>
      <c r="F9" s="80">
        <v>3.0</v>
      </c>
      <c r="G9" s="105">
        <f t="shared" si="2"/>
        <v>0.002583979328</v>
      </c>
      <c r="H9" s="47">
        <f t="shared" si="13"/>
        <v>0.006890611542</v>
      </c>
      <c r="I9" s="187">
        <f t="shared" si="6"/>
        <v>6</v>
      </c>
      <c r="J9" s="172">
        <f t="shared" si="14"/>
        <v>15</v>
      </c>
      <c r="K9" s="115">
        <f t="shared" si="3"/>
        <v>0.005107252298</v>
      </c>
      <c r="L9" s="191">
        <f t="shared" si="7"/>
        <v>2.64</v>
      </c>
      <c r="M9" s="172">
        <f t="shared" si="15"/>
        <v>6.77</v>
      </c>
      <c r="N9" s="47">
        <f t="shared" si="4"/>
        <v>0.002583979328</v>
      </c>
      <c r="O9" s="47">
        <f t="shared" si="16"/>
        <v>0.006890611542</v>
      </c>
      <c r="P9" s="47"/>
      <c r="Q9" s="47"/>
      <c r="R9" s="47">
        <f t="shared" si="5"/>
        <v>0.8849673203</v>
      </c>
      <c r="S9" s="229">
        <f t="shared" si="8"/>
        <v>0</v>
      </c>
      <c r="T9" s="206"/>
      <c r="U9" s="195"/>
      <c r="V9" s="230">
        <f>Roles!$D$2</f>
        <v>0.61</v>
      </c>
      <c r="W9" s="230">
        <f t="shared" si="9"/>
        <v>0</v>
      </c>
      <c r="X9" s="229">
        <f t="shared" si="10"/>
        <v>0</v>
      </c>
      <c r="Y9" s="231">
        <f>'CD R Documentación'!$I9</f>
        <v>0</v>
      </c>
      <c r="Z9" s="195"/>
      <c r="AA9" s="230"/>
      <c r="AB9" s="232">
        <f>'CD R Documentación'!$L9</f>
        <v>0</v>
      </c>
      <c r="AC9" s="229">
        <f t="shared" si="11"/>
        <v>1</v>
      </c>
      <c r="AD9" s="231">
        <f>'CD R Investigación'!$I9</f>
        <v>3</v>
      </c>
      <c r="AE9" s="195"/>
      <c r="AF9" s="230"/>
      <c r="AG9" s="232">
        <f>'CD R Investigación'!$L9</f>
        <v>1.32</v>
      </c>
      <c r="AH9" s="229">
        <f t="shared" si="12"/>
        <v>1</v>
      </c>
      <c r="AI9" s="231">
        <f>'CD R Desarrollo'!$I9</f>
        <v>3</v>
      </c>
      <c r="AJ9" s="200"/>
      <c r="AK9" s="185"/>
      <c r="AL9" s="232">
        <f>'CD R Desarrollo'!$L9</f>
        <v>1.32</v>
      </c>
      <c r="AM9" s="234">
        <v>1.0</v>
      </c>
      <c r="AN9" s="84">
        <f>'PL Cronograma detallado'!L9*AM9</f>
        <v>1.14</v>
      </c>
      <c r="AO9" s="234">
        <f>AN9/'PL Cronograma detallado'!M$238</f>
        <v>0.001933776632</v>
      </c>
      <c r="AP9" s="234">
        <f t="shared" si="17"/>
        <v>0.005682589225</v>
      </c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 t="shared" si="1"/>
        <v>5</v>
      </c>
      <c r="F10" s="161">
        <f>SUM(F11:F22)</f>
        <v>30</v>
      </c>
      <c r="G10" s="105">
        <f t="shared" si="2"/>
        <v>0.02583979328</v>
      </c>
      <c r="H10" s="163">
        <f>H22</f>
        <v>0.03273040482</v>
      </c>
      <c r="I10" s="213">
        <f>SUM(I11:I22)</f>
        <v>94</v>
      </c>
      <c r="J10" s="213">
        <f>J22</f>
        <v>109</v>
      </c>
      <c r="K10" s="167">
        <f t="shared" si="3"/>
        <v>0.03711270003</v>
      </c>
      <c r="L10" s="215">
        <f>SUM(L11:L22)</f>
        <v>45.27</v>
      </c>
      <c r="M10" s="215">
        <f>M22</f>
        <v>52.04</v>
      </c>
      <c r="N10" s="47">
        <f t="shared" si="4"/>
        <v>0</v>
      </c>
      <c r="O10" s="47">
        <f t="shared" si="16"/>
        <v>0.006890611542</v>
      </c>
      <c r="P10" s="226"/>
      <c r="Q10" s="226"/>
      <c r="R10" s="226">
        <f t="shared" si="5"/>
        <v>6.802614379</v>
      </c>
      <c r="S10" s="173"/>
      <c r="T10" s="174"/>
      <c r="U10" s="178"/>
      <c r="V10" s="178"/>
      <c r="W10" s="178"/>
      <c r="X10" s="173"/>
      <c r="Y10" s="231"/>
      <c r="Z10" s="178"/>
      <c r="AA10" s="178"/>
      <c r="AB10" s="232"/>
      <c r="AC10" s="173"/>
      <c r="AD10" s="231"/>
      <c r="AE10" s="178"/>
      <c r="AF10" s="178"/>
      <c r="AG10" s="232"/>
      <c r="AH10" s="173"/>
      <c r="AI10" s="231"/>
      <c r="AJ10" s="180"/>
      <c r="AK10" s="180"/>
      <c r="AL10" s="232"/>
      <c r="AM10" s="234"/>
      <c r="AN10" s="84"/>
      <c r="AO10" s="234"/>
      <c r="AP10" s="234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 t="shared" si="1"/>
        <v>1</v>
      </c>
      <c r="F11" s="185">
        <v>1.0</v>
      </c>
      <c r="G11" s="105">
        <f t="shared" si="2"/>
        <v>0.0008613264427</v>
      </c>
      <c r="H11" s="186">
        <f>H9+G11</f>
        <v>0.007751937984</v>
      </c>
      <c r="I11" s="187">
        <f t="shared" ref="I11:I22" si="18">T11+Y11+AD11+AI11</f>
        <v>5</v>
      </c>
      <c r="J11" s="187">
        <f>J9+I11</f>
        <v>20</v>
      </c>
      <c r="K11" s="115">
        <f t="shared" si="3"/>
        <v>0.006809669731</v>
      </c>
      <c r="L11" s="191">
        <f t="shared" ref="L11:L22" si="19">W11+AB11+AG11+AL11</f>
        <v>2.37</v>
      </c>
      <c r="M11" s="191">
        <f>M9+L11</f>
        <v>9.14</v>
      </c>
      <c r="N11" s="47">
        <f t="shared" si="4"/>
        <v>0.0008613264427</v>
      </c>
      <c r="O11" s="47">
        <f t="shared" si="16"/>
        <v>0.007751937984</v>
      </c>
      <c r="P11" s="47"/>
      <c r="Q11" s="47"/>
      <c r="R11" s="47">
        <f t="shared" si="5"/>
        <v>1.194771242</v>
      </c>
      <c r="S11" s="229">
        <f t="shared" ref="S11:S22" si="20">T11/$F11</f>
        <v>1</v>
      </c>
      <c r="T11" s="194">
        <v>1.0</v>
      </c>
      <c r="U11" s="195"/>
      <c r="V11" s="230">
        <f>Roles!$D$2</f>
        <v>0.61</v>
      </c>
      <c r="W11" s="230">
        <f t="shared" ref="W11:W22" si="21">V11*T11</f>
        <v>0.61</v>
      </c>
      <c r="X11" s="229">
        <f t="shared" ref="X11:X22" si="22">Y11/$F11</f>
        <v>1</v>
      </c>
      <c r="Y11" s="231">
        <f>'CD R Documentación'!$I11</f>
        <v>1</v>
      </c>
      <c r="Z11" s="195"/>
      <c r="AA11" s="195"/>
      <c r="AB11" s="232">
        <f>'CD R Documentación'!$L11</f>
        <v>0.44</v>
      </c>
      <c r="AC11" s="229">
        <f t="shared" ref="AC11:AC22" si="23">AD11/$F11</f>
        <v>3</v>
      </c>
      <c r="AD11" s="231">
        <f>'CD R Investigación'!$I11</f>
        <v>3</v>
      </c>
      <c r="AE11" s="195"/>
      <c r="AF11" s="195"/>
      <c r="AG11" s="232">
        <f>'CD R Investigación'!$L11</f>
        <v>1.32</v>
      </c>
      <c r="AH11" s="229">
        <f t="shared" ref="AH11:AH22" si="24">AI11/$F11</f>
        <v>0</v>
      </c>
      <c r="AI11" s="231">
        <f>'CD R Desarrollo'!$I11</f>
        <v>0</v>
      </c>
      <c r="AJ11" s="200"/>
      <c r="AK11" s="200"/>
      <c r="AL11" s="232">
        <f>'CD R Desarrollo'!$L11</f>
        <v>0</v>
      </c>
      <c r="AM11" s="234">
        <v>1.0</v>
      </c>
      <c r="AN11" s="84">
        <f>'PL Cronograma detallado'!L11*AM11</f>
        <v>2.37</v>
      </c>
      <c r="AO11" s="234">
        <f>AN11/'PL Cronograma detallado'!M$238</f>
        <v>0.00402021984</v>
      </c>
      <c r="AP11" s="234">
        <f t="shared" ref="AP11:AP22" si="25">AO11+AP10</f>
        <v>0.00402021984</v>
      </c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 t="shared" si="1"/>
        <v>1</v>
      </c>
      <c r="F12" s="185">
        <v>2.0</v>
      </c>
      <c r="G12" s="105">
        <f t="shared" si="2"/>
        <v>0.001722652885</v>
      </c>
      <c r="H12" s="186">
        <f t="shared" ref="H12:H22" si="26">H11+G12</f>
        <v>0.00947459087</v>
      </c>
      <c r="I12" s="187">
        <f t="shared" si="18"/>
        <v>5</v>
      </c>
      <c r="J12" s="187">
        <f t="shared" ref="J12:J22" si="27">J11+I12</f>
        <v>25</v>
      </c>
      <c r="K12" s="115">
        <f t="shared" si="3"/>
        <v>0.008512087164</v>
      </c>
      <c r="L12" s="191">
        <f t="shared" si="19"/>
        <v>2.54</v>
      </c>
      <c r="M12" s="191">
        <f t="shared" ref="M12:M22" si="28">M11+L12</f>
        <v>11.68</v>
      </c>
      <c r="N12" s="47">
        <f t="shared" si="4"/>
        <v>0.001722652885</v>
      </c>
      <c r="O12" s="47">
        <f t="shared" si="16"/>
        <v>0.00947459087</v>
      </c>
      <c r="P12" s="47"/>
      <c r="Q12" s="47"/>
      <c r="R12" s="47">
        <f t="shared" si="5"/>
        <v>1.526797386</v>
      </c>
      <c r="S12" s="229">
        <f t="shared" si="20"/>
        <v>1</v>
      </c>
      <c r="T12" s="194">
        <v>2.0</v>
      </c>
      <c r="U12" s="195"/>
      <c r="V12" s="230">
        <f>Roles!$D$2</f>
        <v>0.61</v>
      </c>
      <c r="W12" s="230">
        <f t="shared" si="21"/>
        <v>1.22</v>
      </c>
      <c r="X12" s="229">
        <f t="shared" si="22"/>
        <v>0.5</v>
      </c>
      <c r="Y12" s="231">
        <f>'CD R Documentación'!$I12</f>
        <v>1</v>
      </c>
      <c r="Z12" s="195"/>
      <c r="AA12" s="195"/>
      <c r="AB12" s="232">
        <f>'CD R Documentación'!$L12</f>
        <v>0.44</v>
      </c>
      <c r="AC12" s="229">
        <f t="shared" si="23"/>
        <v>1</v>
      </c>
      <c r="AD12" s="231">
        <f>'CD R Investigación'!$I12</f>
        <v>2</v>
      </c>
      <c r="AE12" s="195"/>
      <c r="AF12" s="195"/>
      <c r="AG12" s="232">
        <f>'CD R Investigación'!$L12</f>
        <v>0.88</v>
      </c>
      <c r="AH12" s="229">
        <f t="shared" si="24"/>
        <v>0</v>
      </c>
      <c r="AI12" s="231">
        <f>'CD R Desarrollo'!$I12</f>
        <v>0</v>
      </c>
      <c r="AJ12" s="200"/>
      <c r="AK12" s="200"/>
      <c r="AL12" s="232">
        <f>'CD R Desarrollo'!$L12</f>
        <v>0</v>
      </c>
      <c r="AM12" s="234">
        <v>1.0</v>
      </c>
      <c r="AN12" s="84">
        <f>'PL Cronograma detallado'!L12*AM12</f>
        <v>2.54</v>
      </c>
      <c r="AO12" s="234">
        <f>AN12/'PL Cronograma detallado'!M$238</f>
        <v>0.004308590039</v>
      </c>
      <c r="AP12" s="234">
        <f t="shared" si="25"/>
        <v>0.008328809879</v>
      </c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 t="shared" si="1"/>
        <v>1</v>
      </c>
      <c r="F13" s="185">
        <v>1.0</v>
      </c>
      <c r="G13" s="105">
        <f t="shared" si="2"/>
        <v>0.0008613264427</v>
      </c>
      <c r="H13" s="186">
        <f t="shared" si="26"/>
        <v>0.01033591731</v>
      </c>
      <c r="I13" s="187">
        <f t="shared" si="18"/>
        <v>2.5</v>
      </c>
      <c r="J13" s="187">
        <f t="shared" si="27"/>
        <v>27.5</v>
      </c>
      <c r="K13" s="115">
        <f t="shared" si="3"/>
        <v>0.00936329588</v>
      </c>
      <c r="L13" s="191">
        <f t="shared" si="19"/>
        <v>1.27</v>
      </c>
      <c r="M13" s="191">
        <f t="shared" si="28"/>
        <v>12.95</v>
      </c>
      <c r="N13" s="47">
        <f t="shared" si="4"/>
        <v>0.0008613264427</v>
      </c>
      <c r="O13" s="47">
        <f t="shared" si="16"/>
        <v>0.01033591731</v>
      </c>
      <c r="P13" s="226"/>
      <c r="Q13" s="226"/>
      <c r="R13" s="226">
        <f t="shared" si="5"/>
        <v>1.692810458</v>
      </c>
      <c r="S13" s="229">
        <f t="shared" si="20"/>
        <v>1</v>
      </c>
      <c r="T13" s="194">
        <v>1.0</v>
      </c>
      <c r="U13" s="195"/>
      <c r="V13" s="230">
        <f>Roles!$D$2</f>
        <v>0.61</v>
      </c>
      <c r="W13" s="230">
        <f t="shared" si="21"/>
        <v>0.61</v>
      </c>
      <c r="X13" s="229">
        <f t="shared" si="22"/>
        <v>0.5</v>
      </c>
      <c r="Y13" s="231">
        <f>'CD R Documentación'!$I13</f>
        <v>0.5</v>
      </c>
      <c r="Z13" s="195"/>
      <c r="AA13" s="195"/>
      <c r="AB13" s="232">
        <f>'CD R Documentación'!$L13</f>
        <v>0.22</v>
      </c>
      <c r="AC13" s="229">
        <f t="shared" si="23"/>
        <v>1</v>
      </c>
      <c r="AD13" s="231">
        <f>'CD R Investigación'!$I13</f>
        <v>1</v>
      </c>
      <c r="AE13" s="195"/>
      <c r="AF13" s="195"/>
      <c r="AG13" s="232">
        <f>'CD R Investigación'!$L13</f>
        <v>0.44</v>
      </c>
      <c r="AH13" s="229">
        <f t="shared" si="24"/>
        <v>0</v>
      </c>
      <c r="AI13" s="231">
        <f>'CD R Desarrollo'!$I13</f>
        <v>0</v>
      </c>
      <c r="AJ13" s="200"/>
      <c r="AK13" s="200"/>
      <c r="AL13" s="232">
        <f>'CD R Desarrollo'!$L13</f>
        <v>0</v>
      </c>
      <c r="AM13" s="234">
        <v>1.0</v>
      </c>
      <c r="AN13" s="84">
        <f>'PL Cronograma detallado'!L13*AM13</f>
        <v>1.27</v>
      </c>
      <c r="AO13" s="234">
        <f>AN13/'PL Cronograma detallado'!M$238</f>
        <v>0.00215429502</v>
      </c>
      <c r="AP13" s="234">
        <f t="shared" si="25"/>
        <v>0.0104831049</v>
      </c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 t="shared" si="1"/>
        <v>1</v>
      </c>
      <c r="F14" s="185">
        <v>1.0</v>
      </c>
      <c r="G14" s="105">
        <f t="shared" si="2"/>
        <v>0.0008613264427</v>
      </c>
      <c r="H14" s="186">
        <f t="shared" si="26"/>
        <v>0.01119724376</v>
      </c>
      <c r="I14" s="187">
        <f t="shared" si="18"/>
        <v>6</v>
      </c>
      <c r="J14" s="187">
        <f t="shared" si="27"/>
        <v>33.5</v>
      </c>
      <c r="K14" s="115">
        <f t="shared" si="3"/>
        <v>0.0114061968</v>
      </c>
      <c r="L14" s="191">
        <f t="shared" si="19"/>
        <v>2.81</v>
      </c>
      <c r="M14" s="191">
        <f t="shared" si="28"/>
        <v>15.76</v>
      </c>
      <c r="N14" s="47">
        <f t="shared" si="4"/>
        <v>0.0008613264427</v>
      </c>
      <c r="O14" s="47">
        <f t="shared" si="16"/>
        <v>0.01119724376</v>
      </c>
      <c r="P14" s="47"/>
      <c r="Q14" s="47"/>
      <c r="R14" s="47">
        <f t="shared" si="5"/>
        <v>2.060130719</v>
      </c>
      <c r="S14" s="229">
        <f t="shared" si="20"/>
        <v>1</v>
      </c>
      <c r="T14" s="194">
        <v>1.0</v>
      </c>
      <c r="U14" s="195"/>
      <c r="V14" s="230">
        <f>Roles!$D$2</f>
        <v>0.61</v>
      </c>
      <c r="W14" s="230">
        <f t="shared" si="21"/>
        <v>0.61</v>
      </c>
      <c r="X14" s="229">
        <f t="shared" si="22"/>
        <v>1</v>
      </c>
      <c r="Y14" s="231">
        <f>'CD R Documentación'!$I14</f>
        <v>1</v>
      </c>
      <c r="Z14" s="195"/>
      <c r="AA14" s="195"/>
      <c r="AB14" s="232">
        <f>'CD R Documentación'!$L14</f>
        <v>0.44</v>
      </c>
      <c r="AC14" s="229">
        <f t="shared" si="23"/>
        <v>4</v>
      </c>
      <c r="AD14" s="231">
        <f>'CD R Investigación'!$I14</f>
        <v>4</v>
      </c>
      <c r="AE14" s="195"/>
      <c r="AF14" s="195"/>
      <c r="AG14" s="232">
        <f>'CD R Investigación'!$L14</f>
        <v>1.76</v>
      </c>
      <c r="AH14" s="229">
        <f t="shared" si="24"/>
        <v>0</v>
      </c>
      <c r="AI14" s="231">
        <f>'CD R Desarrollo'!$I14</f>
        <v>0</v>
      </c>
      <c r="AJ14" s="200"/>
      <c r="AK14" s="200"/>
      <c r="AL14" s="232">
        <f>'CD R Desarrollo'!$L14</f>
        <v>0</v>
      </c>
      <c r="AM14" s="234">
        <v>1.0</v>
      </c>
      <c r="AN14" s="84">
        <f>'PL Cronograma detallado'!L14*AM14</f>
        <v>2.81</v>
      </c>
      <c r="AO14" s="234">
        <f>AN14/'PL Cronograma detallado'!M$238</f>
        <v>0.004766589768</v>
      </c>
      <c r="AP14" s="234">
        <f t="shared" si="25"/>
        <v>0.01524969467</v>
      </c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 t="shared" si="1"/>
        <v>1</v>
      </c>
      <c r="F15" s="185">
        <v>1.0</v>
      </c>
      <c r="G15" s="105">
        <f t="shared" si="2"/>
        <v>0.0008613264427</v>
      </c>
      <c r="H15" s="186">
        <f t="shared" si="26"/>
        <v>0.0120585702</v>
      </c>
      <c r="I15" s="187">
        <f t="shared" si="18"/>
        <v>5</v>
      </c>
      <c r="J15" s="187">
        <f t="shared" si="27"/>
        <v>38.5</v>
      </c>
      <c r="K15" s="115">
        <f t="shared" si="3"/>
        <v>0.01310861423</v>
      </c>
      <c r="L15" s="191">
        <f t="shared" si="19"/>
        <v>2.37</v>
      </c>
      <c r="M15" s="191">
        <f t="shared" si="28"/>
        <v>18.13</v>
      </c>
      <c r="N15" s="47">
        <f t="shared" si="4"/>
        <v>0.0008613264427</v>
      </c>
      <c r="O15" s="47">
        <f t="shared" si="16"/>
        <v>0.0120585702</v>
      </c>
      <c r="P15" s="47"/>
      <c r="Q15" s="47"/>
      <c r="R15" s="47">
        <f t="shared" si="5"/>
        <v>2.369934641</v>
      </c>
      <c r="S15" s="229">
        <f t="shared" si="20"/>
        <v>1</v>
      </c>
      <c r="T15" s="194">
        <v>1.0</v>
      </c>
      <c r="U15" s="195"/>
      <c r="V15" s="230">
        <f>Roles!$D$2</f>
        <v>0.61</v>
      </c>
      <c r="W15" s="230">
        <f t="shared" si="21"/>
        <v>0.61</v>
      </c>
      <c r="X15" s="229">
        <f t="shared" si="22"/>
        <v>1</v>
      </c>
      <c r="Y15" s="231">
        <f>'CD R Documentación'!$I15</f>
        <v>1</v>
      </c>
      <c r="Z15" s="195"/>
      <c r="AA15" s="195"/>
      <c r="AB15" s="232">
        <f>'CD R Documentación'!$L15</f>
        <v>0.44</v>
      </c>
      <c r="AC15" s="229">
        <f t="shared" si="23"/>
        <v>3</v>
      </c>
      <c r="AD15" s="231">
        <f>'CD R Investigación'!$I15</f>
        <v>3</v>
      </c>
      <c r="AE15" s="195"/>
      <c r="AF15" s="195"/>
      <c r="AG15" s="232">
        <f>'CD R Investigación'!$L15</f>
        <v>1.32</v>
      </c>
      <c r="AH15" s="229">
        <f t="shared" si="24"/>
        <v>0</v>
      </c>
      <c r="AI15" s="231">
        <f>'CD R Desarrollo'!$I15</f>
        <v>0</v>
      </c>
      <c r="AJ15" s="200"/>
      <c r="AK15" s="200"/>
      <c r="AL15" s="232">
        <f>'CD R Desarrollo'!$L15</f>
        <v>0</v>
      </c>
      <c r="AM15" s="234">
        <v>1.0</v>
      </c>
      <c r="AN15" s="84">
        <f>'PL Cronograma detallado'!L15*AM15</f>
        <v>2.37</v>
      </c>
      <c r="AO15" s="234">
        <f>AN15/'PL Cronograma detallado'!M$238</f>
        <v>0.00402021984</v>
      </c>
      <c r="AP15" s="234">
        <f t="shared" si="25"/>
        <v>0.01926991451</v>
      </c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 t="shared" si="1"/>
        <v>2</v>
      </c>
      <c r="F16" s="185">
        <v>2.0</v>
      </c>
      <c r="G16" s="105">
        <f t="shared" si="2"/>
        <v>0.001722652885</v>
      </c>
      <c r="H16" s="186">
        <f t="shared" si="26"/>
        <v>0.01378122308</v>
      </c>
      <c r="I16" s="187">
        <f t="shared" si="18"/>
        <v>26.5</v>
      </c>
      <c r="J16" s="187">
        <f t="shared" si="27"/>
        <v>65</v>
      </c>
      <c r="K16" s="115">
        <f t="shared" si="3"/>
        <v>0.02213142663</v>
      </c>
      <c r="L16" s="191">
        <f t="shared" si="19"/>
        <v>12</v>
      </c>
      <c r="M16" s="191">
        <f t="shared" si="28"/>
        <v>30.13</v>
      </c>
      <c r="N16" s="47">
        <f t="shared" si="4"/>
        <v>0.001722652885</v>
      </c>
      <c r="O16" s="47">
        <f t="shared" si="16"/>
        <v>0.01378122308</v>
      </c>
      <c r="P16" s="47"/>
      <c r="Q16" s="47"/>
      <c r="R16" s="47">
        <f t="shared" si="5"/>
        <v>3.938562092</v>
      </c>
      <c r="S16" s="229">
        <f t="shared" si="20"/>
        <v>1</v>
      </c>
      <c r="T16" s="194">
        <v>2.0</v>
      </c>
      <c r="U16" s="195"/>
      <c r="V16" s="230">
        <f>Roles!$D$2</f>
        <v>0.61</v>
      </c>
      <c r="W16" s="230">
        <f t="shared" si="21"/>
        <v>1.22</v>
      </c>
      <c r="X16" s="229">
        <f t="shared" si="22"/>
        <v>11.25</v>
      </c>
      <c r="Y16" s="231">
        <f>'CD R Documentación'!$I16</f>
        <v>22.5</v>
      </c>
      <c r="Z16" s="195"/>
      <c r="AA16" s="195"/>
      <c r="AB16" s="232">
        <f>'CD R Documentación'!$L16</f>
        <v>9.9</v>
      </c>
      <c r="AC16" s="229">
        <f t="shared" si="23"/>
        <v>1</v>
      </c>
      <c r="AD16" s="231">
        <f>'CD R Investigación'!$I16</f>
        <v>2</v>
      </c>
      <c r="AE16" s="195"/>
      <c r="AF16" s="195"/>
      <c r="AG16" s="232">
        <f>'CD R Investigación'!$L16</f>
        <v>0.88</v>
      </c>
      <c r="AH16" s="229">
        <f t="shared" si="24"/>
        <v>0</v>
      </c>
      <c r="AI16" s="231">
        <f>'CD R Desarrollo'!$I16</f>
        <v>0</v>
      </c>
      <c r="AJ16" s="200"/>
      <c r="AK16" s="200"/>
      <c r="AL16" s="232">
        <f>'CD R Desarrollo'!$L16</f>
        <v>0</v>
      </c>
      <c r="AM16" s="234">
        <v>1.0</v>
      </c>
      <c r="AN16" s="84">
        <f>'PL Cronograma detallado'!L16*AM16</f>
        <v>10.6</v>
      </c>
      <c r="AO16" s="234">
        <f>AN16/'PL Cronograma detallado'!M$238</f>
        <v>0.01798073009</v>
      </c>
      <c r="AP16" s="234">
        <f t="shared" si="25"/>
        <v>0.03725064459</v>
      </c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 t="shared" si="1"/>
        <v>2</v>
      </c>
      <c r="F17" s="185">
        <v>2.0</v>
      </c>
      <c r="G17" s="105">
        <f t="shared" si="2"/>
        <v>0.001722652885</v>
      </c>
      <c r="H17" s="186">
        <f t="shared" si="26"/>
        <v>0.01550387597</v>
      </c>
      <c r="I17" s="187">
        <f t="shared" si="18"/>
        <v>6</v>
      </c>
      <c r="J17" s="187">
        <f t="shared" si="27"/>
        <v>71</v>
      </c>
      <c r="K17" s="115">
        <f t="shared" si="3"/>
        <v>0.02417432755</v>
      </c>
      <c r="L17" s="191">
        <f t="shared" si="19"/>
        <v>2.98</v>
      </c>
      <c r="M17" s="191">
        <f t="shared" si="28"/>
        <v>33.11</v>
      </c>
      <c r="N17" s="47">
        <f t="shared" si="4"/>
        <v>0.001722652885</v>
      </c>
      <c r="O17" s="47">
        <f t="shared" si="16"/>
        <v>0.01550387597</v>
      </c>
      <c r="P17" s="115"/>
      <c r="Q17" s="115"/>
      <c r="R17" s="115">
        <f t="shared" si="5"/>
        <v>4.328104575</v>
      </c>
      <c r="S17" s="229">
        <f t="shared" si="20"/>
        <v>1</v>
      </c>
      <c r="T17" s="194">
        <v>2.0</v>
      </c>
      <c r="U17" s="195"/>
      <c r="V17" s="230">
        <f>Roles!$D$2</f>
        <v>0.61</v>
      </c>
      <c r="W17" s="230">
        <f t="shared" si="21"/>
        <v>1.22</v>
      </c>
      <c r="X17" s="229">
        <f t="shared" si="22"/>
        <v>1</v>
      </c>
      <c r="Y17" s="231">
        <f>'CD R Documentación'!$I17</f>
        <v>2</v>
      </c>
      <c r="Z17" s="195"/>
      <c r="AA17" s="195"/>
      <c r="AB17" s="232">
        <f>'CD R Documentación'!$L17</f>
        <v>0.88</v>
      </c>
      <c r="AC17" s="229">
        <f t="shared" si="23"/>
        <v>1</v>
      </c>
      <c r="AD17" s="231">
        <f>'CD R Investigación'!$I17</f>
        <v>2</v>
      </c>
      <c r="AE17" s="195"/>
      <c r="AF17" s="195"/>
      <c r="AG17" s="232">
        <f>'CD R Investigación'!$L17</f>
        <v>0.88</v>
      </c>
      <c r="AH17" s="229">
        <f t="shared" si="24"/>
        <v>0</v>
      </c>
      <c r="AI17" s="231">
        <f>'CD R Desarrollo'!$I17</f>
        <v>0</v>
      </c>
      <c r="AJ17" s="200"/>
      <c r="AK17" s="200"/>
      <c r="AL17" s="232">
        <f>'CD R Desarrollo'!$L17</f>
        <v>0</v>
      </c>
      <c r="AM17" s="234">
        <v>1.0</v>
      </c>
      <c r="AN17" s="84">
        <f>'PL Cronograma detallado'!L17*AM17</f>
        <v>2.98</v>
      </c>
      <c r="AO17" s="234">
        <f>AN17/'PL Cronograma detallado'!M$238</f>
        <v>0.005054959967</v>
      </c>
      <c r="AP17" s="234">
        <f t="shared" si="25"/>
        <v>0.04230560456</v>
      </c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 t="shared" si="1"/>
        <v>4</v>
      </c>
      <c r="F18" s="185">
        <v>5.0</v>
      </c>
      <c r="G18" s="105">
        <f t="shared" si="2"/>
        <v>0.004306632214</v>
      </c>
      <c r="H18" s="186">
        <f t="shared" si="26"/>
        <v>0.01981050818</v>
      </c>
      <c r="I18" s="187">
        <f t="shared" si="18"/>
        <v>11</v>
      </c>
      <c r="J18" s="187">
        <f t="shared" si="27"/>
        <v>82</v>
      </c>
      <c r="K18" s="115">
        <f t="shared" si="3"/>
        <v>0.0279196459</v>
      </c>
      <c r="L18" s="191">
        <f t="shared" si="19"/>
        <v>5.69</v>
      </c>
      <c r="M18" s="191">
        <f t="shared" si="28"/>
        <v>38.8</v>
      </c>
      <c r="N18" s="47">
        <f t="shared" si="4"/>
        <v>0.004306632214</v>
      </c>
      <c r="O18" s="47">
        <f t="shared" si="16"/>
        <v>0.01981050818</v>
      </c>
      <c r="P18" s="224"/>
      <c r="Q18" s="224"/>
      <c r="R18" s="224">
        <f t="shared" si="5"/>
        <v>5.071895425</v>
      </c>
      <c r="S18" s="229">
        <f t="shared" si="20"/>
        <v>1</v>
      </c>
      <c r="T18" s="194">
        <v>5.0</v>
      </c>
      <c r="U18" s="195"/>
      <c r="V18" s="230">
        <f>Roles!$D$2</f>
        <v>0.61</v>
      </c>
      <c r="W18" s="230">
        <f t="shared" si="21"/>
        <v>3.05</v>
      </c>
      <c r="X18" s="229">
        <f t="shared" si="22"/>
        <v>0.4</v>
      </c>
      <c r="Y18" s="231">
        <f>'CD R Documentación'!$I18</f>
        <v>2</v>
      </c>
      <c r="Z18" s="195"/>
      <c r="AA18" s="195"/>
      <c r="AB18" s="232">
        <f>'CD R Documentación'!$L18</f>
        <v>0.88</v>
      </c>
      <c r="AC18" s="229">
        <f t="shared" si="23"/>
        <v>0.8</v>
      </c>
      <c r="AD18" s="231">
        <f>'CD R Investigación'!$I18</f>
        <v>4</v>
      </c>
      <c r="AE18" s="195"/>
      <c r="AF18" s="195"/>
      <c r="AG18" s="232">
        <f>'CD R Investigación'!$L18</f>
        <v>1.76</v>
      </c>
      <c r="AH18" s="229">
        <f t="shared" si="24"/>
        <v>0</v>
      </c>
      <c r="AI18" s="231">
        <f>'CD R Desarrollo'!$I18</f>
        <v>0</v>
      </c>
      <c r="AJ18" s="200"/>
      <c r="AK18" s="200"/>
      <c r="AL18" s="232">
        <f>'CD R Desarrollo'!$L18</f>
        <v>0</v>
      </c>
      <c r="AM18" s="234">
        <v>1.0</v>
      </c>
      <c r="AN18" s="84">
        <f>'PL Cronograma detallado'!L18*AM18</f>
        <v>5.69</v>
      </c>
      <c r="AO18" s="234">
        <f>AN18/'PL Cronograma detallado'!M$238</f>
        <v>0.009651920206</v>
      </c>
      <c r="AP18" s="234">
        <f t="shared" si="25"/>
        <v>0.05195752477</v>
      </c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 t="shared" si="1"/>
        <v>5</v>
      </c>
      <c r="F19" s="185">
        <v>5.0</v>
      </c>
      <c r="G19" s="105">
        <f t="shared" si="2"/>
        <v>0.004306632214</v>
      </c>
      <c r="H19" s="186">
        <f t="shared" si="26"/>
        <v>0.0241171404</v>
      </c>
      <c r="I19" s="187">
        <f t="shared" si="18"/>
        <v>7</v>
      </c>
      <c r="J19" s="187">
        <f t="shared" si="27"/>
        <v>89</v>
      </c>
      <c r="K19" s="115">
        <f t="shared" si="3"/>
        <v>0.0303030303</v>
      </c>
      <c r="L19" s="191">
        <f t="shared" si="19"/>
        <v>3.42</v>
      </c>
      <c r="M19" s="191">
        <f t="shared" si="28"/>
        <v>42.22</v>
      </c>
      <c r="N19" s="47">
        <f t="shared" si="4"/>
        <v>0.004306632214</v>
      </c>
      <c r="O19" s="47">
        <f t="shared" si="16"/>
        <v>0.0241171404</v>
      </c>
      <c r="P19" s="226"/>
      <c r="Q19" s="226"/>
      <c r="R19" s="226"/>
      <c r="S19" s="229">
        <f t="shared" si="20"/>
        <v>0.4</v>
      </c>
      <c r="T19" s="194">
        <v>2.0</v>
      </c>
      <c r="U19" s="195"/>
      <c r="V19" s="230">
        <f>Roles!$D$2</f>
        <v>0.61</v>
      </c>
      <c r="W19" s="230">
        <f t="shared" si="21"/>
        <v>1.22</v>
      </c>
      <c r="X19" s="229">
        <f t="shared" si="22"/>
        <v>0.6</v>
      </c>
      <c r="Y19" s="231">
        <f>'CD R Documentación'!$I19</f>
        <v>3</v>
      </c>
      <c r="Z19" s="195"/>
      <c r="AA19" s="195"/>
      <c r="AB19" s="232">
        <f>'CD R Documentación'!$L19</f>
        <v>1.32</v>
      </c>
      <c r="AC19" s="229">
        <f t="shared" si="23"/>
        <v>0.4</v>
      </c>
      <c r="AD19" s="231">
        <f>'CD R Investigación'!$I19</f>
        <v>2</v>
      </c>
      <c r="AE19" s="195"/>
      <c r="AF19" s="195"/>
      <c r="AG19" s="232">
        <f>'CD R Investigación'!$L19</f>
        <v>0.88</v>
      </c>
      <c r="AH19" s="229">
        <f t="shared" si="24"/>
        <v>0</v>
      </c>
      <c r="AI19" s="231">
        <f>'CD R Desarrollo'!$I19</f>
        <v>0</v>
      </c>
      <c r="AJ19" s="200"/>
      <c r="AK19" s="200"/>
      <c r="AL19" s="232">
        <f>'CD R Desarrollo'!$L19</f>
        <v>0</v>
      </c>
      <c r="AM19" s="234">
        <v>1.0</v>
      </c>
      <c r="AN19" s="84">
        <f>'PL Cronograma detallado'!L19*AM19</f>
        <v>3.42</v>
      </c>
      <c r="AO19" s="234">
        <f>AN19/'PL Cronograma detallado'!M$238</f>
        <v>0.005801329896</v>
      </c>
      <c r="AP19" s="234">
        <f t="shared" si="25"/>
        <v>0.05775885466</v>
      </c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 t="shared" si="1"/>
        <v>2</v>
      </c>
      <c r="F20" s="185">
        <v>4.0</v>
      </c>
      <c r="G20" s="105">
        <f t="shared" si="2"/>
        <v>0.003445305771</v>
      </c>
      <c r="H20" s="186">
        <f t="shared" si="26"/>
        <v>0.02756244617</v>
      </c>
      <c r="I20" s="187">
        <f t="shared" si="18"/>
        <v>10</v>
      </c>
      <c r="J20" s="187">
        <f t="shared" si="27"/>
        <v>99</v>
      </c>
      <c r="K20" s="115">
        <f t="shared" si="3"/>
        <v>0.03370786517</v>
      </c>
      <c r="L20" s="191">
        <f t="shared" si="19"/>
        <v>5.08</v>
      </c>
      <c r="M20" s="191">
        <f t="shared" si="28"/>
        <v>47.3</v>
      </c>
      <c r="N20" s="47">
        <f t="shared" si="4"/>
        <v>0.003445305771</v>
      </c>
      <c r="O20" s="47">
        <f t="shared" si="16"/>
        <v>0.02756244617</v>
      </c>
      <c r="P20" s="224"/>
      <c r="Q20" s="224"/>
      <c r="R20" s="224">
        <f t="shared" ref="R20:R40" si="29">M20/$L$87</f>
        <v>6.183006536</v>
      </c>
      <c r="S20" s="229">
        <f t="shared" si="20"/>
        <v>1</v>
      </c>
      <c r="T20" s="194">
        <v>4.0</v>
      </c>
      <c r="U20" s="195"/>
      <c r="V20" s="230">
        <f>Roles!$D$2</f>
        <v>0.61</v>
      </c>
      <c r="W20" s="230">
        <f t="shared" si="21"/>
        <v>2.44</v>
      </c>
      <c r="X20" s="229">
        <f t="shared" si="22"/>
        <v>0.5</v>
      </c>
      <c r="Y20" s="231">
        <f>'CD R Documentación'!$I20</f>
        <v>2</v>
      </c>
      <c r="Z20" s="195"/>
      <c r="AA20" s="195"/>
      <c r="AB20" s="232">
        <f>'CD R Documentación'!$L20</f>
        <v>0.88</v>
      </c>
      <c r="AC20" s="229">
        <f t="shared" si="23"/>
        <v>1</v>
      </c>
      <c r="AD20" s="231">
        <f>'CD R Investigación'!$I20</f>
        <v>4</v>
      </c>
      <c r="AE20" s="195"/>
      <c r="AF20" s="195"/>
      <c r="AG20" s="232">
        <f>'CD R Investigación'!$L20</f>
        <v>1.76</v>
      </c>
      <c r="AH20" s="229">
        <f t="shared" si="24"/>
        <v>0</v>
      </c>
      <c r="AI20" s="231">
        <f>'CD R Desarrollo'!$I20</f>
        <v>0</v>
      </c>
      <c r="AJ20" s="200"/>
      <c r="AK20" s="200"/>
      <c r="AL20" s="232">
        <f>'CD R Desarrollo'!$L20</f>
        <v>0</v>
      </c>
      <c r="AM20" s="234">
        <v>1.0</v>
      </c>
      <c r="AN20" s="84">
        <f>'PL Cronograma detallado'!L20*AM20</f>
        <v>5.08</v>
      </c>
      <c r="AO20" s="234">
        <f>AN20/'PL Cronograma detallado'!M$238</f>
        <v>0.008617180079</v>
      </c>
      <c r="AP20" s="234">
        <f t="shared" si="25"/>
        <v>0.06637603474</v>
      </c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 t="shared" si="1"/>
        <v>2</v>
      </c>
      <c r="F21" s="80">
        <v>3.0</v>
      </c>
      <c r="G21" s="105">
        <f t="shared" si="2"/>
        <v>0.002583979328</v>
      </c>
      <c r="H21" s="186">
        <f t="shared" si="26"/>
        <v>0.0301464255</v>
      </c>
      <c r="I21" s="187">
        <f t="shared" si="18"/>
        <v>5</v>
      </c>
      <c r="J21" s="172">
        <f t="shared" si="27"/>
        <v>104</v>
      </c>
      <c r="K21" s="115">
        <f t="shared" si="3"/>
        <v>0.0354102826</v>
      </c>
      <c r="L21" s="191">
        <f t="shared" si="19"/>
        <v>2.37</v>
      </c>
      <c r="M21" s="172">
        <f t="shared" si="28"/>
        <v>49.67</v>
      </c>
      <c r="N21" s="47">
        <f t="shared" si="4"/>
        <v>0.002583979328</v>
      </c>
      <c r="O21" s="47">
        <f t="shared" si="16"/>
        <v>0.0301464255</v>
      </c>
      <c r="P21" s="111"/>
      <c r="Q21" s="111"/>
      <c r="R21" s="111">
        <f t="shared" si="29"/>
        <v>6.492810458</v>
      </c>
      <c r="S21" s="229">
        <f t="shared" si="20"/>
        <v>0.3333333333</v>
      </c>
      <c r="T21" s="194">
        <v>1.0</v>
      </c>
      <c r="U21" s="195"/>
      <c r="V21" s="230">
        <f>Roles!$D$2</f>
        <v>0.61</v>
      </c>
      <c r="W21" s="230">
        <f t="shared" si="21"/>
        <v>0.61</v>
      </c>
      <c r="X21" s="229">
        <f t="shared" si="22"/>
        <v>1.333333333</v>
      </c>
      <c r="Y21" s="231">
        <f>'CD R Documentación'!$I21</f>
        <v>4</v>
      </c>
      <c r="Z21" s="195"/>
      <c r="AA21" s="230"/>
      <c r="AB21" s="232">
        <f>'CD R Documentación'!$L21</f>
        <v>1.76</v>
      </c>
      <c r="AC21" s="229">
        <f t="shared" si="23"/>
        <v>0</v>
      </c>
      <c r="AD21" s="231">
        <f>'CD R Investigación'!$I21</f>
        <v>0</v>
      </c>
      <c r="AE21" s="195"/>
      <c r="AF21" s="230"/>
      <c r="AG21" s="232">
        <f>'CD R Investigación'!$L21</f>
        <v>0</v>
      </c>
      <c r="AH21" s="229">
        <f t="shared" si="24"/>
        <v>0</v>
      </c>
      <c r="AI21" s="231">
        <f>'CD R Desarrollo'!$I21</f>
        <v>0</v>
      </c>
      <c r="AJ21" s="200"/>
      <c r="AK21" s="185"/>
      <c r="AL21" s="232">
        <f>'CD R Desarrollo'!$L21</f>
        <v>0</v>
      </c>
      <c r="AM21" s="234">
        <v>1.0</v>
      </c>
      <c r="AN21" s="84">
        <f>'PL Cronograma detallado'!L21*AM21</f>
        <v>1.29</v>
      </c>
      <c r="AO21" s="234">
        <f>AN21/'PL Cronograma detallado'!M$238</f>
        <v>0.002188220925</v>
      </c>
      <c r="AP21" s="234">
        <f t="shared" si="25"/>
        <v>0.06856425567</v>
      </c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 t="shared" si="1"/>
        <v>2</v>
      </c>
      <c r="F22" s="80">
        <v>3.0</v>
      </c>
      <c r="G22" s="105">
        <f t="shared" si="2"/>
        <v>0.002583979328</v>
      </c>
      <c r="H22" s="186">
        <f t="shared" si="26"/>
        <v>0.03273040482</v>
      </c>
      <c r="I22" s="187">
        <f t="shared" si="18"/>
        <v>5</v>
      </c>
      <c r="J22" s="172">
        <f t="shared" si="27"/>
        <v>109</v>
      </c>
      <c r="K22" s="115">
        <f t="shared" si="3"/>
        <v>0.03711270003</v>
      </c>
      <c r="L22" s="191">
        <f t="shared" si="19"/>
        <v>2.37</v>
      </c>
      <c r="M22" s="172">
        <f t="shared" si="28"/>
        <v>52.04</v>
      </c>
      <c r="N22" s="47">
        <f t="shared" si="4"/>
        <v>0.002583979328</v>
      </c>
      <c r="O22" s="47">
        <f t="shared" si="16"/>
        <v>0.03273040482</v>
      </c>
      <c r="P22" s="115"/>
      <c r="Q22" s="115"/>
      <c r="R22" s="115">
        <f t="shared" si="29"/>
        <v>6.802614379</v>
      </c>
      <c r="S22" s="229">
        <f t="shared" si="20"/>
        <v>0.3333333333</v>
      </c>
      <c r="T22" s="194">
        <v>1.0</v>
      </c>
      <c r="U22" s="195"/>
      <c r="V22" s="230">
        <f>Roles!$D$2</f>
        <v>0.61</v>
      </c>
      <c r="W22" s="230">
        <f t="shared" si="21"/>
        <v>0.61</v>
      </c>
      <c r="X22" s="229">
        <f t="shared" si="22"/>
        <v>1.333333333</v>
      </c>
      <c r="Y22" s="231">
        <f>'CD R Documentación'!$I22</f>
        <v>4</v>
      </c>
      <c r="Z22" s="195"/>
      <c r="AA22" s="230"/>
      <c r="AB22" s="232">
        <f>'CD R Documentación'!$L22</f>
        <v>1.76</v>
      </c>
      <c r="AC22" s="229">
        <f t="shared" si="23"/>
        <v>0</v>
      </c>
      <c r="AD22" s="231">
        <f>'CD R Investigación'!$I22</f>
        <v>0</v>
      </c>
      <c r="AE22" s="195"/>
      <c r="AF22" s="230"/>
      <c r="AG22" s="232">
        <f>'CD R Investigación'!$L22</f>
        <v>0</v>
      </c>
      <c r="AH22" s="229">
        <f t="shared" si="24"/>
        <v>0</v>
      </c>
      <c r="AI22" s="231">
        <f>'CD R Desarrollo'!$I22</f>
        <v>0</v>
      </c>
      <c r="AJ22" s="200"/>
      <c r="AK22" s="185"/>
      <c r="AL22" s="232">
        <f>'CD R Desarrollo'!$L22</f>
        <v>0</v>
      </c>
      <c r="AM22" s="234">
        <v>1.0</v>
      </c>
      <c r="AN22" s="84">
        <f>'PL Cronograma detallado'!L22*AM22</f>
        <v>1.29</v>
      </c>
      <c r="AO22" s="234">
        <f>AN22/'PL Cronograma detallado'!M$238</f>
        <v>0.002188220925</v>
      </c>
      <c r="AP22" s="234">
        <f t="shared" si="25"/>
        <v>0.07075247659</v>
      </c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 t="shared" si="1"/>
        <v>7</v>
      </c>
      <c r="F23" s="161">
        <f>SUM(F24:F28)</f>
        <v>20</v>
      </c>
      <c r="G23" s="105">
        <f t="shared" si="2"/>
        <v>0.01722652885</v>
      </c>
      <c r="H23" s="163">
        <f>H28</f>
        <v>0.04995693368</v>
      </c>
      <c r="I23" s="213">
        <f>SUM(I24:I28)</f>
        <v>36</v>
      </c>
      <c r="J23" s="165">
        <f>J28</f>
        <v>145</v>
      </c>
      <c r="K23" s="167">
        <f t="shared" si="3"/>
        <v>0.04937010555</v>
      </c>
      <c r="L23" s="228">
        <f>SUM(L24:L28)</f>
        <v>16.35</v>
      </c>
      <c r="M23" s="215">
        <f>M28</f>
        <v>68.39</v>
      </c>
      <c r="N23" s="47">
        <f t="shared" si="4"/>
        <v>0</v>
      </c>
      <c r="O23" s="47">
        <f t="shared" si="16"/>
        <v>0.03273040482</v>
      </c>
      <c r="P23" s="224"/>
      <c r="Q23" s="224"/>
      <c r="R23" s="224">
        <f t="shared" si="29"/>
        <v>8.939869281</v>
      </c>
      <c r="S23" s="173"/>
      <c r="T23" s="174"/>
      <c r="U23" s="178"/>
      <c r="V23" s="178"/>
      <c r="W23" s="178"/>
      <c r="X23" s="173"/>
      <c r="Y23" s="231"/>
      <c r="Z23" s="178"/>
      <c r="AA23" s="178"/>
      <c r="AB23" s="232"/>
      <c r="AC23" s="173"/>
      <c r="AD23" s="231"/>
      <c r="AE23" s="178"/>
      <c r="AF23" s="178"/>
      <c r="AG23" s="232"/>
      <c r="AH23" s="173"/>
      <c r="AI23" s="231"/>
      <c r="AJ23" s="180"/>
      <c r="AK23" s="180"/>
      <c r="AL23" s="232"/>
      <c r="AM23" s="234"/>
      <c r="AN23" s="84"/>
      <c r="AO23" s="234"/>
      <c r="AP23" s="234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 t="shared" si="1"/>
        <v>7</v>
      </c>
      <c r="F24" s="185">
        <v>8.0</v>
      </c>
      <c r="G24" s="105">
        <f t="shared" si="2"/>
        <v>0.006890611542</v>
      </c>
      <c r="H24" s="186">
        <f>H22+G24</f>
        <v>0.03962101637</v>
      </c>
      <c r="I24" s="187">
        <f t="shared" ref="I24:I28" si="30">T24+Y24+AD24+AI24</f>
        <v>10</v>
      </c>
      <c r="J24" s="187">
        <f>J22+I24</f>
        <v>119</v>
      </c>
      <c r="K24" s="115">
        <f t="shared" si="3"/>
        <v>0.0405175349</v>
      </c>
      <c r="L24" s="191">
        <f t="shared" ref="L24:L28" si="31">W24+AB24+AG24+AL24</f>
        <v>4.57</v>
      </c>
      <c r="M24" s="172">
        <f>M22+L24</f>
        <v>56.61</v>
      </c>
      <c r="N24" s="47">
        <f t="shared" si="4"/>
        <v>0.006890611542</v>
      </c>
      <c r="O24" s="47">
        <f t="shared" si="16"/>
        <v>0.03962101637</v>
      </c>
      <c r="P24" s="226"/>
      <c r="Q24" s="226"/>
      <c r="R24" s="226">
        <f t="shared" si="29"/>
        <v>7.4</v>
      </c>
      <c r="S24" s="229">
        <f t="shared" ref="S24:S28" si="32">T24/$F24</f>
        <v>0.125</v>
      </c>
      <c r="T24" s="194">
        <v>1.0</v>
      </c>
      <c r="U24" s="195"/>
      <c r="V24" s="230">
        <f>Roles!$D$2</f>
        <v>0.61</v>
      </c>
      <c r="W24" s="230">
        <f t="shared" ref="W24:W28" si="33">V24*T24</f>
        <v>0.61</v>
      </c>
      <c r="X24" s="229">
        <f t="shared" ref="X24:X28" si="34">Y24/$F24</f>
        <v>1.125</v>
      </c>
      <c r="Y24" s="231">
        <f>'CD R Documentación'!$I24</f>
        <v>9</v>
      </c>
      <c r="Z24" s="195"/>
      <c r="AA24" s="195"/>
      <c r="AB24" s="232">
        <f>'CD R Documentación'!$L24</f>
        <v>3.96</v>
      </c>
      <c r="AC24" s="229">
        <f t="shared" ref="AC24:AC28" si="35">AD24/$F24</f>
        <v>0</v>
      </c>
      <c r="AD24" s="231">
        <f>'CD R Investigación'!$I24</f>
        <v>0</v>
      </c>
      <c r="AE24" s="195"/>
      <c r="AF24" s="195"/>
      <c r="AG24" s="232">
        <f>'CD R Investigación'!$L24</f>
        <v>0</v>
      </c>
      <c r="AH24" s="229">
        <f t="shared" ref="AH24:AH28" si="36">AI24/$F24</f>
        <v>0</v>
      </c>
      <c r="AI24" s="231">
        <f>'CD R Desarrollo'!$I24</f>
        <v>0</v>
      </c>
      <c r="AJ24" s="200"/>
      <c r="AK24" s="200"/>
      <c r="AL24" s="232">
        <f>'CD R Desarrollo'!$L24</f>
        <v>0</v>
      </c>
      <c r="AM24" s="234">
        <v>1.0</v>
      </c>
      <c r="AN24" s="84">
        <f>'PL Cronograma detallado'!L24*AM24</f>
        <v>3.17</v>
      </c>
      <c r="AO24" s="234">
        <f>AN24/'PL Cronograma detallado'!M$238</f>
        <v>0.005377256073</v>
      </c>
      <c r="AP24" s="234">
        <f t="shared" ref="AP24:AP28" si="37">AO24+AP23</f>
        <v>0.005377256073</v>
      </c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 t="shared" si="1"/>
        <v>3</v>
      </c>
      <c r="F25" s="80">
        <v>4.0</v>
      </c>
      <c r="G25" s="105">
        <f t="shared" si="2"/>
        <v>0.003445305771</v>
      </c>
      <c r="H25" s="47">
        <f t="shared" ref="H25:H29" si="38">H24+G25</f>
        <v>0.04306632214</v>
      </c>
      <c r="I25" s="187">
        <f t="shared" si="30"/>
        <v>8</v>
      </c>
      <c r="J25" s="172">
        <f t="shared" ref="J25:J29" si="39">J24+I25</f>
        <v>127</v>
      </c>
      <c r="K25" s="115">
        <f t="shared" si="3"/>
        <v>0.04324140279</v>
      </c>
      <c r="L25" s="191">
        <f t="shared" si="31"/>
        <v>3.52</v>
      </c>
      <c r="M25" s="172">
        <f t="shared" ref="M25:M29" si="40">M24+L25</f>
        <v>60.13</v>
      </c>
      <c r="N25" s="47">
        <f t="shared" si="4"/>
        <v>0.003445305771</v>
      </c>
      <c r="O25" s="47">
        <f t="shared" si="16"/>
        <v>0.04306632214</v>
      </c>
      <c r="P25" s="47"/>
      <c r="Q25" s="47"/>
      <c r="R25" s="47">
        <f t="shared" si="29"/>
        <v>7.860130719</v>
      </c>
      <c r="S25" s="229">
        <f t="shared" si="32"/>
        <v>0</v>
      </c>
      <c r="T25" s="206"/>
      <c r="U25" s="195"/>
      <c r="V25" s="230">
        <f>Roles!$D$2</f>
        <v>0.61</v>
      </c>
      <c r="W25" s="230">
        <f t="shared" si="33"/>
        <v>0</v>
      </c>
      <c r="X25" s="229">
        <f t="shared" si="34"/>
        <v>0</v>
      </c>
      <c r="Y25" s="231">
        <f>'CD R Documentación'!$I25</f>
        <v>0</v>
      </c>
      <c r="Z25" s="195"/>
      <c r="AA25" s="230"/>
      <c r="AB25" s="232">
        <f>'CD R Documentación'!$L25</f>
        <v>0</v>
      </c>
      <c r="AC25" s="229">
        <f t="shared" si="35"/>
        <v>2</v>
      </c>
      <c r="AD25" s="231">
        <f>'CD R Investigación'!$I25</f>
        <v>8</v>
      </c>
      <c r="AE25" s="195"/>
      <c r="AF25" s="230"/>
      <c r="AG25" s="232">
        <f>'CD R Investigación'!$L25</f>
        <v>3.52</v>
      </c>
      <c r="AH25" s="229">
        <f t="shared" si="36"/>
        <v>0</v>
      </c>
      <c r="AI25" s="231">
        <f>'CD R Desarrollo'!$I25</f>
        <v>0</v>
      </c>
      <c r="AJ25" s="200"/>
      <c r="AK25" s="185"/>
      <c r="AL25" s="232">
        <f>'CD R Desarrollo'!$L25</f>
        <v>0</v>
      </c>
      <c r="AM25" s="234">
        <v>1.0</v>
      </c>
      <c r="AN25" s="84">
        <f>'PL Cronograma detallado'!L25*AM25</f>
        <v>1.6</v>
      </c>
      <c r="AO25" s="234">
        <f>AN25/'PL Cronograma detallado'!M$238</f>
        <v>0.002714072466</v>
      </c>
      <c r="AP25" s="234">
        <f t="shared" si="37"/>
        <v>0.008091328538</v>
      </c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 t="shared" si="1"/>
        <v>3</v>
      </c>
      <c r="F26" s="80">
        <v>4.0</v>
      </c>
      <c r="G26" s="105">
        <f t="shared" si="2"/>
        <v>0.003445305771</v>
      </c>
      <c r="H26" s="47">
        <f t="shared" si="38"/>
        <v>0.04651162791</v>
      </c>
      <c r="I26" s="187">
        <f t="shared" si="30"/>
        <v>8</v>
      </c>
      <c r="J26" s="172">
        <f t="shared" si="39"/>
        <v>135</v>
      </c>
      <c r="K26" s="115">
        <f t="shared" si="3"/>
        <v>0.04596527068</v>
      </c>
      <c r="L26" s="191">
        <f t="shared" si="31"/>
        <v>3.52</v>
      </c>
      <c r="M26" s="172">
        <f t="shared" si="40"/>
        <v>63.65</v>
      </c>
      <c r="N26" s="47">
        <f t="shared" si="4"/>
        <v>0.003445305771</v>
      </c>
      <c r="O26" s="47">
        <f t="shared" si="16"/>
        <v>0.04651162791</v>
      </c>
      <c r="P26" s="47"/>
      <c r="Q26" s="47"/>
      <c r="R26" s="47">
        <f t="shared" si="29"/>
        <v>8.320261438</v>
      </c>
      <c r="S26" s="229">
        <f t="shared" si="32"/>
        <v>0</v>
      </c>
      <c r="T26" s="206"/>
      <c r="U26" s="195"/>
      <c r="V26" s="230">
        <f>Roles!$D$2</f>
        <v>0.61</v>
      </c>
      <c r="W26" s="230">
        <f t="shared" si="33"/>
        <v>0</v>
      </c>
      <c r="X26" s="229">
        <f t="shared" si="34"/>
        <v>0</v>
      </c>
      <c r="Y26" s="231">
        <f>'CD R Documentación'!$I26</f>
        <v>0</v>
      </c>
      <c r="Z26" s="195"/>
      <c r="AA26" s="230"/>
      <c r="AB26" s="232">
        <f>'CD R Documentación'!$L26</f>
        <v>0</v>
      </c>
      <c r="AC26" s="229">
        <f t="shared" si="35"/>
        <v>0</v>
      </c>
      <c r="AD26" s="231">
        <f>'CD R Investigación'!$I26</f>
        <v>0</v>
      </c>
      <c r="AE26" s="195"/>
      <c r="AF26" s="230"/>
      <c r="AG26" s="232">
        <f>'CD R Investigación'!$L26</f>
        <v>0</v>
      </c>
      <c r="AH26" s="229">
        <f t="shared" si="36"/>
        <v>2</v>
      </c>
      <c r="AI26" s="231">
        <f>'CD R Desarrollo'!$I26</f>
        <v>8</v>
      </c>
      <c r="AJ26" s="200"/>
      <c r="AK26" s="185"/>
      <c r="AL26" s="232">
        <f>'CD R Desarrollo'!$L26</f>
        <v>3.52</v>
      </c>
      <c r="AM26" s="234">
        <v>1.0</v>
      </c>
      <c r="AN26" s="84">
        <f>'PL Cronograma detallado'!L26*AM26</f>
        <v>1.44</v>
      </c>
      <c r="AO26" s="234">
        <f>AN26/'PL Cronograma detallado'!M$238</f>
        <v>0.002442665219</v>
      </c>
      <c r="AP26" s="234">
        <f t="shared" si="37"/>
        <v>0.01053399376</v>
      </c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 t="shared" si="1"/>
        <v>1</v>
      </c>
      <c r="F27" s="185">
        <v>1.0</v>
      </c>
      <c r="G27" s="105">
        <f t="shared" si="2"/>
        <v>0.0008613264427</v>
      </c>
      <c r="H27" s="47">
        <f t="shared" si="38"/>
        <v>0.04737295435</v>
      </c>
      <c r="I27" s="187">
        <f t="shared" si="30"/>
        <v>3</v>
      </c>
      <c r="J27" s="233">
        <f t="shared" si="39"/>
        <v>138</v>
      </c>
      <c r="K27" s="115">
        <f t="shared" si="3"/>
        <v>0.04698672114</v>
      </c>
      <c r="L27" s="191">
        <f t="shared" si="31"/>
        <v>1.49</v>
      </c>
      <c r="M27" s="191">
        <f t="shared" si="40"/>
        <v>65.14</v>
      </c>
      <c r="N27" s="47">
        <f t="shared" si="4"/>
        <v>0.0008613264427</v>
      </c>
      <c r="O27" s="47">
        <f t="shared" si="16"/>
        <v>0.04737295435</v>
      </c>
      <c r="P27" s="226"/>
      <c r="Q27" s="226"/>
      <c r="R27" s="226">
        <f t="shared" si="29"/>
        <v>8.51503268</v>
      </c>
      <c r="S27" s="229">
        <f t="shared" si="32"/>
        <v>1</v>
      </c>
      <c r="T27" s="194">
        <v>1.0</v>
      </c>
      <c r="U27" s="195"/>
      <c r="V27" s="230">
        <f>Roles!$D$2</f>
        <v>0.61</v>
      </c>
      <c r="W27" s="230">
        <f t="shared" si="33"/>
        <v>0.61</v>
      </c>
      <c r="X27" s="229">
        <f t="shared" si="34"/>
        <v>1</v>
      </c>
      <c r="Y27" s="231">
        <f>'CD R Documentación'!$I27</f>
        <v>1</v>
      </c>
      <c r="Z27" s="195"/>
      <c r="AA27" s="195"/>
      <c r="AB27" s="232">
        <f>'CD R Documentación'!$L27</f>
        <v>0.44</v>
      </c>
      <c r="AC27" s="229">
        <f t="shared" si="35"/>
        <v>0</v>
      </c>
      <c r="AD27" s="231">
        <f>'CD R Investigación'!$I27</f>
        <v>0</v>
      </c>
      <c r="AE27" s="195"/>
      <c r="AF27" s="195"/>
      <c r="AG27" s="232">
        <f>'CD R Investigación'!$L27</f>
        <v>0</v>
      </c>
      <c r="AH27" s="229">
        <f t="shared" si="36"/>
        <v>1</v>
      </c>
      <c r="AI27" s="231">
        <f>'CD R Desarrollo'!$I27</f>
        <v>1</v>
      </c>
      <c r="AJ27" s="200"/>
      <c r="AK27" s="200"/>
      <c r="AL27" s="232">
        <f>'CD R Desarrollo'!$L27</f>
        <v>0.44</v>
      </c>
      <c r="AM27" s="234">
        <v>1.0</v>
      </c>
      <c r="AN27" s="84">
        <f>'PL Cronograma detallado'!L27*AM27</f>
        <v>1.49</v>
      </c>
      <c r="AO27" s="234">
        <f>AN27/'PL Cronograma detallado'!M$238</f>
        <v>0.002527479984</v>
      </c>
      <c r="AP27" s="234">
        <f t="shared" si="37"/>
        <v>0.01306147374</v>
      </c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 t="shared" si="1"/>
        <v>2</v>
      </c>
      <c r="F28" s="80">
        <v>3.0</v>
      </c>
      <c r="G28" s="105">
        <f t="shared" si="2"/>
        <v>0.002583979328</v>
      </c>
      <c r="H28" s="47">
        <f t="shared" si="38"/>
        <v>0.04995693368</v>
      </c>
      <c r="I28" s="187">
        <f t="shared" si="30"/>
        <v>7</v>
      </c>
      <c r="J28" s="172">
        <f t="shared" si="39"/>
        <v>145</v>
      </c>
      <c r="K28" s="115">
        <f t="shared" si="3"/>
        <v>0.04937010555</v>
      </c>
      <c r="L28" s="191">
        <f t="shared" si="31"/>
        <v>3.25</v>
      </c>
      <c r="M28" s="172">
        <f t="shared" si="40"/>
        <v>68.39</v>
      </c>
      <c r="N28" s="47">
        <f t="shared" si="4"/>
        <v>0.002583979328</v>
      </c>
      <c r="O28" s="47">
        <f t="shared" si="16"/>
        <v>0.04995693368</v>
      </c>
      <c r="P28" s="167"/>
      <c r="Q28" s="167"/>
      <c r="R28" s="167">
        <f t="shared" si="29"/>
        <v>8.939869281</v>
      </c>
      <c r="S28" s="229">
        <f t="shared" si="32"/>
        <v>0.3333333333</v>
      </c>
      <c r="T28" s="194">
        <v>1.0</v>
      </c>
      <c r="U28" s="195"/>
      <c r="V28" s="230">
        <f>Roles!$D$2</f>
        <v>0.61</v>
      </c>
      <c r="W28" s="230">
        <f t="shared" si="33"/>
        <v>0.61</v>
      </c>
      <c r="X28" s="229">
        <f t="shared" si="34"/>
        <v>2</v>
      </c>
      <c r="Y28" s="231">
        <f>'CD R Documentación'!$I28</f>
        <v>6</v>
      </c>
      <c r="Z28" s="195"/>
      <c r="AA28" s="230"/>
      <c r="AB28" s="232">
        <f>'CD R Documentación'!$L28</f>
        <v>2.64</v>
      </c>
      <c r="AC28" s="229">
        <f t="shared" si="35"/>
        <v>0</v>
      </c>
      <c r="AD28" s="231">
        <f>'CD R Investigación'!$I28</f>
        <v>0</v>
      </c>
      <c r="AE28" s="195"/>
      <c r="AF28" s="230"/>
      <c r="AG28" s="232">
        <f>'CD R Investigación'!$L28</f>
        <v>0</v>
      </c>
      <c r="AH28" s="229">
        <f t="shared" si="36"/>
        <v>0</v>
      </c>
      <c r="AI28" s="231">
        <f>'CD R Desarrollo'!$I28</f>
        <v>0</v>
      </c>
      <c r="AJ28" s="200"/>
      <c r="AK28" s="185"/>
      <c r="AL28" s="232">
        <f>'CD R Desarrollo'!$L28</f>
        <v>0</v>
      </c>
      <c r="AM28" s="234">
        <v>1.0</v>
      </c>
      <c r="AN28" s="84">
        <f>'PL Cronograma detallado'!L28*AM28</f>
        <v>1.63</v>
      </c>
      <c r="AO28" s="234">
        <f>AN28/'PL Cronograma detallado'!M$238</f>
        <v>0.002764961324</v>
      </c>
      <c r="AP28" s="234">
        <f t="shared" si="37"/>
        <v>0.01582643507</v>
      </c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 t="shared" si="1"/>
        <v>1</v>
      </c>
      <c r="F29" s="136">
        <v>0.0</v>
      </c>
      <c r="G29" s="105">
        <f t="shared" si="2"/>
        <v>0</v>
      </c>
      <c r="H29" s="115">
        <f t="shared" si="38"/>
        <v>0.04995693368</v>
      </c>
      <c r="I29" s="110">
        <f>F29</f>
        <v>0</v>
      </c>
      <c r="J29" s="110">
        <f t="shared" si="39"/>
        <v>145</v>
      </c>
      <c r="K29" s="115">
        <f t="shared" si="3"/>
        <v>0.04937010555</v>
      </c>
      <c r="L29" s="110">
        <v>0.0</v>
      </c>
      <c r="M29" s="110">
        <f t="shared" si="40"/>
        <v>68.39</v>
      </c>
      <c r="N29" s="47">
        <f t="shared" si="4"/>
        <v>0</v>
      </c>
      <c r="O29" s="47">
        <f t="shared" si="16"/>
        <v>0.04995693368</v>
      </c>
      <c r="P29" s="226"/>
      <c r="Q29" s="226"/>
      <c r="R29" s="226">
        <f t="shared" si="29"/>
        <v>8.939869281</v>
      </c>
      <c r="S29" s="116"/>
      <c r="T29" s="118"/>
      <c r="U29" s="119"/>
      <c r="V29" s="119"/>
      <c r="W29" s="119"/>
      <c r="X29" s="116"/>
      <c r="Y29" s="231"/>
      <c r="Z29" s="119"/>
      <c r="AA29" s="119"/>
      <c r="AB29" s="232"/>
      <c r="AC29" s="116"/>
      <c r="AD29" s="231"/>
      <c r="AE29" s="119"/>
      <c r="AF29" s="119"/>
      <c r="AG29" s="232"/>
      <c r="AH29" s="116"/>
      <c r="AI29" s="231"/>
      <c r="AJ29" s="235"/>
      <c r="AK29" s="235"/>
      <c r="AL29" s="232"/>
      <c r="AM29" s="234"/>
      <c r="AN29" s="84"/>
      <c r="AO29" s="234"/>
      <c r="AP29" s="234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 t="shared" si="1"/>
        <v>15</v>
      </c>
      <c r="F30" s="240">
        <f>F31+F39+F47+F52+F58+F62+F66+F70+F74</f>
        <v>243</v>
      </c>
      <c r="G30" s="105">
        <f t="shared" si="2"/>
        <v>0.2093023256</v>
      </c>
      <c r="H30" s="224">
        <f>H78</f>
        <v>0.2592592593</v>
      </c>
      <c r="I30" s="241">
        <f>I31+I39+I47+I52+I58+I62+I66+I70+I74</f>
        <v>1074</v>
      </c>
      <c r="J30" s="241">
        <f>J78</f>
        <v>1219</v>
      </c>
      <c r="K30" s="138">
        <f t="shared" si="3"/>
        <v>0.4150493701</v>
      </c>
      <c r="L30" s="241">
        <f>L31+L39+L47+L52+L58+L62+L66+L70+L74</f>
        <v>477.15</v>
      </c>
      <c r="M30" s="241">
        <f>M78</f>
        <v>545.54</v>
      </c>
      <c r="N30" s="47">
        <f t="shared" si="4"/>
        <v>0</v>
      </c>
      <c r="O30" s="47">
        <f t="shared" si="16"/>
        <v>0.04995693368</v>
      </c>
      <c r="P30" s="115"/>
      <c r="Q30" s="115"/>
      <c r="R30" s="115">
        <f t="shared" si="29"/>
        <v>71.3124183</v>
      </c>
      <c r="S30" s="142"/>
      <c r="T30" s="144"/>
      <c r="U30" s="149"/>
      <c r="V30" s="149"/>
      <c r="W30" s="149"/>
      <c r="X30" s="142"/>
      <c r="Y30" s="231"/>
      <c r="Z30" s="149"/>
      <c r="AA30" s="149"/>
      <c r="AB30" s="232"/>
      <c r="AC30" s="142"/>
      <c r="AD30" s="231"/>
      <c r="AE30" s="149"/>
      <c r="AF30" s="149"/>
      <c r="AG30" s="232"/>
      <c r="AH30" s="142"/>
      <c r="AI30" s="231"/>
      <c r="AJ30" s="150"/>
      <c r="AK30" s="150"/>
      <c r="AL30" s="232"/>
      <c r="AM30" s="234"/>
      <c r="AN30" s="84"/>
      <c r="AO30" s="234"/>
      <c r="AP30" s="234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 t="shared" si="1"/>
        <v>3</v>
      </c>
      <c r="F31" s="246">
        <f>SUM(F32:F38)</f>
        <v>18</v>
      </c>
      <c r="G31" s="105">
        <f t="shared" si="2"/>
        <v>0.01550387597</v>
      </c>
      <c r="H31" s="226">
        <f>H38</f>
        <v>0.06546080965</v>
      </c>
      <c r="I31" s="247">
        <f>SUM(I32:I38)</f>
        <v>40</v>
      </c>
      <c r="J31" s="247">
        <f>J38</f>
        <v>185</v>
      </c>
      <c r="K31" s="167">
        <f t="shared" si="3"/>
        <v>0.06298944501</v>
      </c>
      <c r="L31" s="247">
        <f>SUM(L32:L38)</f>
        <v>18.11</v>
      </c>
      <c r="M31" s="247">
        <f>M38</f>
        <v>86.5</v>
      </c>
      <c r="N31" s="47">
        <f t="shared" si="4"/>
        <v>0</v>
      </c>
      <c r="O31" s="47">
        <f t="shared" si="16"/>
        <v>0.04995693368</v>
      </c>
      <c r="P31" s="226"/>
      <c r="Q31" s="226"/>
      <c r="R31" s="226">
        <f t="shared" si="29"/>
        <v>11.30718954</v>
      </c>
      <c r="S31" s="173"/>
      <c r="T31" s="174"/>
      <c r="U31" s="178"/>
      <c r="V31" s="178"/>
      <c r="W31" s="178"/>
      <c r="X31" s="173"/>
      <c r="Y31" s="231"/>
      <c r="Z31" s="178"/>
      <c r="AA31" s="178"/>
      <c r="AB31" s="232"/>
      <c r="AC31" s="173"/>
      <c r="AD31" s="231"/>
      <c r="AE31" s="178"/>
      <c r="AF31" s="178"/>
      <c r="AG31" s="232"/>
      <c r="AH31" s="173"/>
      <c r="AI31" s="231"/>
      <c r="AJ31" s="180"/>
      <c r="AK31" s="180"/>
      <c r="AL31" s="232"/>
      <c r="AM31" s="234"/>
      <c r="AN31" s="84"/>
      <c r="AO31" s="234"/>
      <c r="AP31" s="234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 t="shared" si="1"/>
        <v>1</v>
      </c>
      <c r="F32" s="80">
        <v>3.0</v>
      </c>
      <c r="G32" s="105">
        <f t="shared" si="2"/>
        <v>0.002583979328</v>
      </c>
      <c r="H32" s="47">
        <f>H29+G32</f>
        <v>0.05254091301</v>
      </c>
      <c r="I32" s="187">
        <f t="shared" ref="I32:I38" si="41">T32+Y32+AD32+AI32</f>
        <v>6</v>
      </c>
      <c r="J32" s="172">
        <f>J29+I32</f>
        <v>151</v>
      </c>
      <c r="K32" s="115">
        <f t="shared" si="3"/>
        <v>0.05141300647</v>
      </c>
      <c r="L32" s="191">
        <f t="shared" ref="L32:L38" si="42">W32+AB32+AG32+AL32</f>
        <v>2.64</v>
      </c>
      <c r="M32" s="172">
        <f>M29+L32</f>
        <v>71.03</v>
      </c>
      <c r="N32" s="47">
        <f t="shared" si="4"/>
        <v>0.002583979328</v>
      </c>
      <c r="O32" s="47">
        <f t="shared" si="16"/>
        <v>0.05254091301</v>
      </c>
      <c r="P32" s="226"/>
      <c r="Q32" s="226"/>
      <c r="R32" s="226">
        <f t="shared" si="29"/>
        <v>9.28496732</v>
      </c>
      <c r="S32" s="229">
        <f t="shared" ref="S32:S38" si="43">T32/$F32</f>
        <v>0</v>
      </c>
      <c r="T32" s="206"/>
      <c r="U32" s="195"/>
      <c r="V32" s="230">
        <f>Roles!$D$2</f>
        <v>0.61</v>
      </c>
      <c r="W32" s="230">
        <f t="shared" ref="W32:W38" si="44">V32*T32</f>
        <v>0</v>
      </c>
      <c r="X32" s="229">
        <f t="shared" ref="X32:X38" si="45">Y32/$F32</f>
        <v>0</v>
      </c>
      <c r="Y32" s="231">
        <f>'CD R Documentación'!$I32</f>
        <v>0</v>
      </c>
      <c r="Z32" s="195"/>
      <c r="AA32" s="230"/>
      <c r="AB32" s="232">
        <f>'CD R Documentación'!$L32</f>
        <v>0</v>
      </c>
      <c r="AC32" s="229">
        <f t="shared" ref="AC32:AC38" si="46">AD32/$F32</f>
        <v>2</v>
      </c>
      <c r="AD32" s="231">
        <f>'CD R Investigación'!$I32</f>
        <v>6</v>
      </c>
      <c r="AE32" s="195"/>
      <c r="AF32" s="230"/>
      <c r="AG32" s="232">
        <f>'CD R Investigación'!$L32</f>
        <v>2.64</v>
      </c>
      <c r="AH32" s="229">
        <f t="shared" ref="AH32:AH38" si="47">AI32/$F32</f>
        <v>0</v>
      </c>
      <c r="AI32" s="231">
        <f>'CD R Desarrollo'!$I32</f>
        <v>0</v>
      </c>
      <c r="AJ32" s="200"/>
      <c r="AK32" s="185"/>
      <c r="AL32" s="232">
        <f>'CD R Desarrollo'!$L32</f>
        <v>0</v>
      </c>
      <c r="AM32" s="234">
        <v>1.0</v>
      </c>
      <c r="AN32" s="84">
        <f>'PL Cronograma detallado'!L32*AM32</f>
        <v>1.2</v>
      </c>
      <c r="AO32" s="234">
        <f>AN32/'PL Cronograma detallado'!M$238</f>
        <v>0.002035554349</v>
      </c>
      <c r="AP32" s="234">
        <f t="shared" ref="AP32:AP38" si="48">AO32+AP31</f>
        <v>0.002035554349</v>
      </c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 t="shared" si="1"/>
        <v>2</v>
      </c>
      <c r="F33" s="80">
        <v>3.0</v>
      </c>
      <c r="G33" s="105">
        <f t="shared" si="2"/>
        <v>0.002583979328</v>
      </c>
      <c r="H33" s="47">
        <f t="shared" ref="H33:H38" si="49">H32+G33</f>
        <v>0.05512489233</v>
      </c>
      <c r="I33" s="187">
        <f t="shared" si="41"/>
        <v>6</v>
      </c>
      <c r="J33" s="172">
        <f t="shared" ref="J33:J38" si="50">J32+I33</f>
        <v>157</v>
      </c>
      <c r="K33" s="115">
        <f t="shared" si="3"/>
        <v>0.05345590739</v>
      </c>
      <c r="L33" s="191">
        <f t="shared" si="42"/>
        <v>2.64</v>
      </c>
      <c r="M33" s="172">
        <f t="shared" ref="M33:M38" si="51">M32+L33</f>
        <v>73.67</v>
      </c>
      <c r="N33" s="47">
        <f t="shared" si="4"/>
        <v>0.002583979328</v>
      </c>
      <c r="O33" s="47">
        <f t="shared" si="16"/>
        <v>0.05512489233</v>
      </c>
      <c r="P33" s="47"/>
      <c r="Q33" s="47"/>
      <c r="R33" s="47">
        <f t="shared" si="29"/>
        <v>9.630065359</v>
      </c>
      <c r="S33" s="229">
        <f t="shared" si="43"/>
        <v>0</v>
      </c>
      <c r="T33" s="206"/>
      <c r="U33" s="195"/>
      <c r="V33" s="230">
        <f>Roles!$D$2</f>
        <v>0.61</v>
      </c>
      <c r="W33" s="230">
        <f t="shared" si="44"/>
        <v>0</v>
      </c>
      <c r="X33" s="229">
        <f t="shared" si="45"/>
        <v>0</v>
      </c>
      <c r="Y33" s="231">
        <f>'CD R Documentación'!$I33</f>
        <v>0</v>
      </c>
      <c r="Z33" s="195"/>
      <c r="AA33" s="230"/>
      <c r="AB33" s="232">
        <f>'CD R Documentación'!$L33</f>
        <v>0</v>
      </c>
      <c r="AC33" s="229">
        <f t="shared" si="46"/>
        <v>2</v>
      </c>
      <c r="AD33" s="231">
        <f>'CD R Investigación'!$I33</f>
        <v>6</v>
      </c>
      <c r="AE33" s="195"/>
      <c r="AF33" s="230"/>
      <c r="AG33" s="232">
        <f>'CD R Investigación'!$L33</f>
        <v>2.64</v>
      </c>
      <c r="AH33" s="229">
        <f t="shared" si="47"/>
        <v>0</v>
      </c>
      <c r="AI33" s="231">
        <f>'CD R Desarrollo'!$I33</f>
        <v>0</v>
      </c>
      <c r="AJ33" s="200"/>
      <c r="AK33" s="185"/>
      <c r="AL33" s="232">
        <f>'CD R Desarrollo'!$L33</f>
        <v>0</v>
      </c>
      <c r="AM33" s="234">
        <v>1.0</v>
      </c>
      <c r="AN33" s="84">
        <f>'PL Cronograma detallado'!L33*AM33</f>
        <v>1.2</v>
      </c>
      <c r="AO33" s="234">
        <f>AN33/'PL Cronograma detallado'!M$238</f>
        <v>0.002035554349</v>
      </c>
      <c r="AP33" s="234">
        <f t="shared" si="48"/>
        <v>0.004071108699</v>
      </c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 t="shared" si="1"/>
        <v>2</v>
      </c>
      <c r="F34" s="80">
        <v>3.0</v>
      </c>
      <c r="G34" s="105">
        <f t="shared" si="2"/>
        <v>0.002583979328</v>
      </c>
      <c r="H34" s="47">
        <f t="shared" si="49"/>
        <v>0.05770887166</v>
      </c>
      <c r="I34" s="187">
        <f t="shared" si="41"/>
        <v>6</v>
      </c>
      <c r="J34" s="172">
        <f t="shared" si="50"/>
        <v>163</v>
      </c>
      <c r="K34" s="115">
        <f t="shared" si="3"/>
        <v>0.05549880831</v>
      </c>
      <c r="L34" s="191">
        <f t="shared" si="42"/>
        <v>2.64</v>
      </c>
      <c r="M34" s="172">
        <f t="shared" si="51"/>
        <v>76.31</v>
      </c>
      <c r="N34" s="47">
        <f t="shared" si="4"/>
        <v>0.002583979328</v>
      </c>
      <c r="O34" s="47">
        <f t="shared" si="16"/>
        <v>0.05770887166</v>
      </c>
      <c r="P34" s="47"/>
      <c r="Q34" s="47"/>
      <c r="R34" s="47">
        <f t="shared" si="29"/>
        <v>9.975163399</v>
      </c>
      <c r="S34" s="229">
        <f t="shared" si="43"/>
        <v>0</v>
      </c>
      <c r="T34" s="206"/>
      <c r="U34" s="195"/>
      <c r="V34" s="230">
        <f>Roles!$D$2</f>
        <v>0.61</v>
      </c>
      <c r="W34" s="230">
        <f t="shared" si="44"/>
        <v>0</v>
      </c>
      <c r="X34" s="229">
        <f t="shared" si="45"/>
        <v>0</v>
      </c>
      <c r="Y34" s="231">
        <f>'CD R Documentación'!$I34</f>
        <v>0</v>
      </c>
      <c r="Z34" s="195"/>
      <c r="AA34" s="230"/>
      <c r="AB34" s="232">
        <f>'CD R Documentación'!$L34</f>
        <v>0</v>
      </c>
      <c r="AC34" s="229">
        <f t="shared" si="46"/>
        <v>2</v>
      </c>
      <c r="AD34" s="231">
        <f>'CD R Investigación'!$I34</f>
        <v>6</v>
      </c>
      <c r="AE34" s="195"/>
      <c r="AF34" s="230"/>
      <c r="AG34" s="232">
        <f>'CD R Investigación'!$L34</f>
        <v>2.64</v>
      </c>
      <c r="AH34" s="229">
        <f t="shared" si="47"/>
        <v>0</v>
      </c>
      <c r="AI34" s="231">
        <f>'CD R Desarrollo'!$I34</f>
        <v>0</v>
      </c>
      <c r="AJ34" s="200"/>
      <c r="AK34" s="185"/>
      <c r="AL34" s="232">
        <f>'CD R Desarrollo'!$L34</f>
        <v>0</v>
      </c>
      <c r="AM34" s="234">
        <v>1.0</v>
      </c>
      <c r="AN34" s="84">
        <f>'PL Cronograma detallado'!L34*AM34</f>
        <v>1.2</v>
      </c>
      <c r="AO34" s="234">
        <f>AN34/'PL Cronograma detallado'!M$238</f>
        <v>0.002035554349</v>
      </c>
      <c r="AP34" s="234">
        <f t="shared" si="48"/>
        <v>0.006106663048</v>
      </c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 t="shared" si="1"/>
        <v>1</v>
      </c>
      <c r="F35" s="80">
        <v>2.0</v>
      </c>
      <c r="G35" s="105">
        <f t="shared" si="2"/>
        <v>0.001722652885</v>
      </c>
      <c r="H35" s="47">
        <f t="shared" si="49"/>
        <v>0.05943152455</v>
      </c>
      <c r="I35" s="187">
        <f t="shared" si="41"/>
        <v>4</v>
      </c>
      <c r="J35" s="172">
        <f t="shared" si="50"/>
        <v>167</v>
      </c>
      <c r="K35" s="115">
        <f t="shared" si="3"/>
        <v>0.05686074225</v>
      </c>
      <c r="L35" s="191">
        <f t="shared" si="42"/>
        <v>1.76</v>
      </c>
      <c r="M35" s="172">
        <f t="shared" si="51"/>
        <v>78.07</v>
      </c>
      <c r="N35" s="47">
        <f t="shared" si="4"/>
        <v>0.001722652885</v>
      </c>
      <c r="O35" s="47">
        <f t="shared" si="16"/>
        <v>0.05943152455</v>
      </c>
      <c r="P35" s="226"/>
      <c r="Q35" s="226"/>
      <c r="R35" s="226">
        <f t="shared" si="29"/>
        <v>10.20522876</v>
      </c>
      <c r="S35" s="229">
        <f t="shared" si="43"/>
        <v>0</v>
      </c>
      <c r="T35" s="206"/>
      <c r="U35" s="195"/>
      <c r="V35" s="230">
        <f>Roles!$D$2</f>
        <v>0.61</v>
      </c>
      <c r="W35" s="230">
        <f t="shared" si="44"/>
        <v>0</v>
      </c>
      <c r="X35" s="229">
        <f t="shared" si="45"/>
        <v>0</v>
      </c>
      <c r="Y35" s="231">
        <f>'CD R Documentación'!$I35</f>
        <v>0</v>
      </c>
      <c r="Z35" s="195"/>
      <c r="AA35" s="230"/>
      <c r="AB35" s="232">
        <f>'CD R Documentación'!$L35</f>
        <v>0</v>
      </c>
      <c r="AC35" s="229">
        <f t="shared" si="46"/>
        <v>2</v>
      </c>
      <c r="AD35" s="231">
        <f>'CD R Investigación'!$I35</f>
        <v>4</v>
      </c>
      <c r="AE35" s="195"/>
      <c r="AF35" s="230"/>
      <c r="AG35" s="232">
        <f>'CD R Investigación'!$L35</f>
        <v>1.76</v>
      </c>
      <c r="AH35" s="229">
        <f t="shared" si="47"/>
        <v>0</v>
      </c>
      <c r="AI35" s="231">
        <f>'CD R Desarrollo'!$I35</f>
        <v>0</v>
      </c>
      <c r="AJ35" s="200"/>
      <c r="AK35" s="185"/>
      <c r="AL35" s="232">
        <f>'CD R Desarrollo'!$L35</f>
        <v>0</v>
      </c>
      <c r="AM35" s="234">
        <v>1.0</v>
      </c>
      <c r="AN35" s="84">
        <f>'PL Cronograma detallado'!L35*AM35</f>
        <v>0.8</v>
      </c>
      <c r="AO35" s="234">
        <f>AN35/'PL Cronograma detallado'!M$238</f>
        <v>0.001357036233</v>
      </c>
      <c r="AP35" s="234">
        <f t="shared" si="48"/>
        <v>0.007463699281</v>
      </c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 t="shared" si="1"/>
        <v>2</v>
      </c>
      <c r="F36" s="80">
        <v>4.0</v>
      </c>
      <c r="G36" s="105">
        <f t="shared" si="2"/>
        <v>0.003445305771</v>
      </c>
      <c r="H36" s="47">
        <f t="shared" si="49"/>
        <v>0.06287683032</v>
      </c>
      <c r="I36" s="187">
        <f t="shared" si="41"/>
        <v>9</v>
      </c>
      <c r="J36" s="172">
        <f t="shared" si="50"/>
        <v>176</v>
      </c>
      <c r="K36" s="115">
        <f t="shared" si="3"/>
        <v>0.05992509363</v>
      </c>
      <c r="L36" s="191">
        <f t="shared" si="42"/>
        <v>4.13</v>
      </c>
      <c r="M36" s="172">
        <f t="shared" si="51"/>
        <v>82.2</v>
      </c>
      <c r="N36" s="47">
        <f t="shared" si="4"/>
        <v>0.003445305771</v>
      </c>
      <c r="O36" s="47">
        <f t="shared" si="16"/>
        <v>0.06287683032</v>
      </c>
      <c r="P36" s="226"/>
      <c r="Q36" s="226"/>
      <c r="R36" s="226">
        <f t="shared" si="29"/>
        <v>10.74509804</v>
      </c>
      <c r="S36" s="229">
        <f t="shared" si="43"/>
        <v>0.25</v>
      </c>
      <c r="T36" s="194">
        <v>1.0</v>
      </c>
      <c r="U36" s="195"/>
      <c r="V36" s="230">
        <f>Roles!$D$2</f>
        <v>0.61</v>
      </c>
      <c r="W36" s="230">
        <f t="shared" si="44"/>
        <v>0.61</v>
      </c>
      <c r="X36" s="229">
        <f t="shared" si="45"/>
        <v>0</v>
      </c>
      <c r="Y36" s="231">
        <f>'CD R Documentación'!$I36</f>
        <v>0</v>
      </c>
      <c r="Z36" s="195"/>
      <c r="AA36" s="230"/>
      <c r="AB36" s="232">
        <f>'CD R Documentación'!$L36</f>
        <v>0</v>
      </c>
      <c r="AC36" s="229">
        <f t="shared" si="46"/>
        <v>2</v>
      </c>
      <c r="AD36" s="231">
        <f>'CD R Investigación'!$I36</f>
        <v>8</v>
      </c>
      <c r="AE36" s="195"/>
      <c r="AF36" s="230"/>
      <c r="AG36" s="232">
        <f>'CD R Investigación'!$L36</f>
        <v>3.52</v>
      </c>
      <c r="AH36" s="229">
        <f t="shared" si="47"/>
        <v>0</v>
      </c>
      <c r="AI36" s="231">
        <f>'CD R Desarrollo'!$I36</f>
        <v>0</v>
      </c>
      <c r="AJ36" s="200"/>
      <c r="AK36" s="185"/>
      <c r="AL36" s="232">
        <f>'CD R Desarrollo'!$L36</f>
        <v>0</v>
      </c>
      <c r="AM36" s="234">
        <v>1.0</v>
      </c>
      <c r="AN36" s="84">
        <f>'PL Cronograma detallado'!L36*AM36</f>
        <v>2.21</v>
      </c>
      <c r="AO36" s="234">
        <f>AN36/'PL Cronograma detallado'!M$238</f>
        <v>0.003748812593</v>
      </c>
      <c r="AP36" s="234">
        <f t="shared" si="48"/>
        <v>0.01121251187</v>
      </c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 t="shared" si="1"/>
        <v>1</v>
      </c>
      <c r="F37" s="80">
        <v>2.0</v>
      </c>
      <c r="G37" s="105">
        <f t="shared" si="2"/>
        <v>0.001722652885</v>
      </c>
      <c r="H37" s="47">
        <f t="shared" si="49"/>
        <v>0.0645994832</v>
      </c>
      <c r="I37" s="187">
        <f t="shared" si="41"/>
        <v>5</v>
      </c>
      <c r="J37" s="172">
        <f t="shared" si="50"/>
        <v>181</v>
      </c>
      <c r="K37" s="115">
        <f t="shared" si="3"/>
        <v>0.06162751107</v>
      </c>
      <c r="L37" s="191">
        <f t="shared" si="42"/>
        <v>2.37</v>
      </c>
      <c r="M37" s="172">
        <f t="shared" si="51"/>
        <v>84.57</v>
      </c>
      <c r="N37" s="47">
        <f t="shared" si="4"/>
        <v>0.001722652885</v>
      </c>
      <c r="O37" s="47">
        <f t="shared" si="16"/>
        <v>0.0645994832</v>
      </c>
      <c r="P37" s="47"/>
      <c r="Q37" s="47"/>
      <c r="R37" s="47">
        <f t="shared" si="29"/>
        <v>11.05490196</v>
      </c>
      <c r="S37" s="229">
        <f t="shared" si="43"/>
        <v>0.5</v>
      </c>
      <c r="T37" s="194">
        <v>1.0</v>
      </c>
      <c r="U37" s="195"/>
      <c r="V37" s="230">
        <f>Roles!$D$2</f>
        <v>0.61</v>
      </c>
      <c r="W37" s="230">
        <f t="shared" si="44"/>
        <v>0.61</v>
      </c>
      <c r="X37" s="229">
        <f t="shared" si="45"/>
        <v>0</v>
      </c>
      <c r="Y37" s="231">
        <f>'CD R Documentación'!$I37</f>
        <v>0</v>
      </c>
      <c r="Z37" s="195"/>
      <c r="AA37" s="230"/>
      <c r="AB37" s="232">
        <f>'CD R Documentación'!$L37</f>
        <v>0</v>
      </c>
      <c r="AC37" s="229">
        <f t="shared" si="46"/>
        <v>2</v>
      </c>
      <c r="AD37" s="231">
        <f>'CD R Investigación'!$I37</f>
        <v>4</v>
      </c>
      <c r="AE37" s="195"/>
      <c r="AF37" s="230"/>
      <c r="AG37" s="232">
        <f>'CD R Investigación'!$L37</f>
        <v>1.76</v>
      </c>
      <c r="AH37" s="229">
        <f t="shared" si="47"/>
        <v>0</v>
      </c>
      <c r="AI37" s="231">
        <f>'CD R Desarrollo'!$I37</f>
        <v>0</v>
      </c>
      <c r="AJ37" s="200"/>
      <c r="AK37" s="185"/>
      <c r="AL37" s="232">
        <f>'CD R Desarrollo'!$L37</f>
        <v>0</v>
      </c>
      <c r="AM37" s="234">
        <v>1.0</v>
      </c>
      <c r="AN37" s="84">
        <f>'PL Cronograma detallado'!L37*AM37</f>
        <v>1.41</v>
      </c>
      <c r="AO37" s="234">
        <f>AN37/'PL Cronograma detallado'!M$238</f>
        <v>0.00239177636</v>
      </c>
      <c r="AP37" s="234">
        <f t="shared" si="48"/>
        <v>0.01360428823</v>
      </c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 t="shared" si="1"/>
        <v>1</v>
      </c>
      <c r="F38" s="80">
        <v>1.0</v>
      </c>
      <c r="G38" s="105">
        <f t="shared" si="2"/>
        <v>0.0008613264427</v>
      </c>
      <c r="H38" s="47">
        <f t="shared" si="49"/>
        <v>0.06546080965</v>
      </c>
      <c r="I38" s="187">
        <f t="shared" si="41"/>
        <v>4</v>
      </c>
      <c r="J38" s="172">
        <f t="shared" si="50"/>
        <v>185</v>
      </c>
      <c r="K38" s="248">
        <f t="shared" si="3"/>
        <v>0.06298944501</v>
      </c>
      <c r="L38" s="191">
        <f t="shared" si="42"/>
        <v>1.93</v>
      </c>
      <c r="M38" s="172">
        <f t="shared" si="51"/>
        <v>86.5</v>
      </c>
      <c r="N38" s="47">
        <f t="shared" si="4"/>
        <v>0.0008613264427</v>
      </c>
      <c r="O38" s="47">
        <f t="shared" si="16"/>
        <v>0.06546080965</v>
      </c>
      <c r="P38" s="226"/>
      <c r="Q38" s="226"/>
      <c r="R38" s="226">
        <f t="shared" si="29"/>
        <v>11.30718954</v>
      </c>
      <c r="S38" s="229">
        <f t="shared" si="43"/>
        <v>1</v>
      </c>
      <c r="T38" s="194">
        <v>1.0</v>
      </c>
      <c r="U38" s="195"/>
      <c r="V38" s="230">
        <f>Roles!$D$2</f>
        <v>0.61</v>
      </c>
      <c r="W38" s="230">
        <f t="shared" si="44"/>
        <v>0.61</v>
      </c>
      <c r="X38" s="229">
        <f t="shared" si="45"/>
        <v>1</v>
      </c>
      <c r="Y38" s="231">
        <f>'CD R Documentación'!$I38</f>
        <v>1</v>
      </c>
      <c r="Z38" s="195"/>
      <c r="AA38" s="195"/>
      <c r="AB38" s="232">
        <f>'CD R Documentación'!$L38</f>
        <v>0.44</v>
      </c>
      <c r="AC38" s="229">
        <f t="shared" si="46"/>
        <v>1</v>
      </c>
      <c r="AD38" s="231">
        <f>'CD R Investigación'!$I38</f>
        <v>1</v>
      </c>
      <c r="AE38" s="195"/>
      <c r="AF38" s="195"/>
      <c r="AG38" s="232">
        <f>'CD R Investigación'!$L38</f>
        <v>0.44</v>
      </c>
      <c r="AH38" s="229">
        <f t="shared" si="47"/>
        <v>1</v>
      </c>
      <c r="AI38" s="231">
        <f>'CD R Desarrollo'!$I38</f>
        <v>1</v>
      </c>
      <c r="AJ38" s="200"/>
      <c r="AK38" s="200"/>
      <c r="AL38" s="232">
        <f>'CD R Desarrollo'!$L38</f>
        <v>0.44</v>
      </c>
      <c r="AM38" s="234">
        <v>1.0</v>
      </c>
      <c r="AN38" s="84">
        <f>'PL Cronograma detallado'!L38*AM38</f>
        <v>1.93</v>
      </c>
      <c r="AO38" s="234">
        <f>AN38/'PL Cronograma detallado'!M$238</f>
        <v>0.003273849912</v>
      </c>
      <c r="AP38" s="234">
        <f t="shared" si="48"/>
        <v>0.01687813815</v>
      </c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 t="shared" si="1"/>
        <v>6</v>
      </c>
      <c r="F39" s="246">
        <f>SUM(F40:F46)</f>
        <v>36</v>
      </c>
      <c r="G39" s="105">
        <f t="shared" si="2"/>
        <v>0.03100775194</v>
      </c>
      <c r="H39" s="226">
        <f>H46</f>
        <v>0.09646856158</v>
      </c>
      <c r="I39" s="247">
        <f>SUM(I40:I46)</f>
        <v>252</v>
      </c>
      <c r="J39" s="247">
        <f>J46</f>
        <v>437</v>
      </c>
      <c r="K39" s="167">
        <f t="shared" si="3"/>
        <v>0.1487912836</v>
      </c>
      <c r="L39" s="247">
        <f>SUM(L40:L46)</f>
        <v>111.05</v>
      </c>
      <c r="M39" s="247">
        <f>M46</f>
        <v>197.55</v>
      </c>
      <c r="N39" s="47">
        <f t="shared" si="4"/>
        <v>0</v>
      </c>
      <c r="O39" s="47">
        <f t="shared" si="16"/>
        <v>0.06546080965</v>
      </c>
      <c r="P39" s="226"/>
      <c r="Q39" s="226"/>
      <c r="R39" s="226">
        <f t="shared" si="29"/>
        <v>25.82352941</v>
      </c>
      <c r="S39" s="173"/>
      <c r="T39" s="174"/>
      <c r="U39" s="178"/>
      <c r="V39" s="178"/>
      <c r="W39" s="178"/>
      <c r="X39" s="173"/>
      <c r="Y39" s="231"/>
      <c r="Z39" s="178"/>
      <c r="AA39" s="178"/>
      <c r="AB39" s="232"/>
      <c r="AC39" s="173"/>
      <c r="AD39" s="231"/>
      <c r="AE39" s="178"/>
      <c r="AF39" s="178"/>
      <c r="AG39" s="232"/>
      <c r="AH39" s="173"/>
      <c r="AI39" s="231"/>
      <c r="AJ39" s="180"/>
      <c r="AK39" s="180"/>
      <c r="AL39" s="232"/>
      <c r="AM39" s="234"/>
      <c r="AN39" s="84"/>
      <c r="AO39" s="234"/>
      <c r="AP39" s="234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 t="shared" si="1"/>
        <v>3</v>
      </c>
      <c r="F40" s="80">
        <v>10.0</v>
      </c>
      <c r="G40" s="105">
        <f t="shared" si="2"/>
        <v>0.008613264427</v>
      </c>
      <c r="H40" s="47">
        <f>H38+G40</f>
        <v>0.07407407407</v>
      </c>
      <c r="I40" s="187">
        <f t="shared" ref="I40:I46" si="52">T40+Y40+AD40+AI40</f>
        <v>93</v>
      </c>
      <c r="J40" s="172">
        <f>J38+I40</f>
        <v>278</v>
      </c>
      <c r="K40" s="115">
        <f t="shared" si="3"/>
        <v>0.09465440926</v>
      </c>
      <c r="L40" s="191">
        <f t="shared" ref="L40:L46" si="53">W40+AB40+AG40+AL40</f>
        <v>41.09</v>
      </c>
      <c r="M40" s="172">
        <f>M38+L40</f>
        <v>127.59</v>
      </c>
      <c r="N40" s="47">
        <f t="shared" si="4"/>
        <v>0.008613264427</v>
      </c>
      <c r="O40" s="47">
        <f t="shared" si="16"/>
        <v>0.07407407407</v>
      </c>
      <c r="P40" s="226"/>
      <c r="Q40" s="226"/>
      <c r="R40" s="226">
        <f t="shared" si="29"/>
        <v>16.67843137</v>
      </c>
      <c r="S40" s="229">
        <f t="shared" ref="S40:S46" si="54">T40/$F40</f>
        <v>0.1</v>
      </c>
      <c r="T40" s="194">
        <v>1.0</v>
      </c>
      <c r="U40" s="195"/>
      <c r="V40" s="230">
        <f>Roles!$D$2</f>
        <v>0.61</v>
      </c>
      <c r="W40" s="230">
        <f t="shared" ref="W40:W46" si="55">V40*T40</f>
        <v>0.61</v>
      </c>
      <c r="X40" s="229">
        <f t="shared" ref="X40:X46" si="56">Y40/$F40</f>
        <v>1.7</v>
      </c>
      <c r="Y40" s="231">
        <f>'CD R Documentación'!$I40</f>
        <v>17</v>
      </c>
      <c r="Z40" s="195"/>
      <c r="AA40" s="195"/>
      <c r="AB40" s="232">
        <f>'CD R Documentación'!$L40</f>
        <v>7.48</v>
      </c>
      <c r="AC40" s="229">
        <f t="shared" ref="AC40:AC46" si="57">AD40/$F40</f>
        <v>7.5</v>
      </c>
      <c r="AD40" s="231">
        <f>'CD R Investigación'!$I40</f>
        <v>75</v>
      </c>
      <c r="AE40" s="195"/>
      <c r="AF40" s="195"/>
      <c r="AG40" s="232">
        <f>'CD R Investigación'!$L40</f>
        <v>33</v>
      </c>
      <c r="AH40" s="229">
        <f t="shared" ref="AH40:AH46" si="58">AI40/$F40</f>
        <v>0</v>
      </c>
      <c r="AI40" s="231">
        <f>'CD R Desarrollo'!$I40</f>
        <v>0</v>
      </c>
      <c r="AJ40" s="200"/>
      <c r="AK40" s="200"/>
      <c r="AL40" s="232">
        <f>'CD R Desarrollo'!$L40</f>
        <v>0</v>
      </c>
      <c r="AM40" s="234">
        <v>1.0</v>
      </c>
      <c r="AN40" s="84">
        <f>'PL Cronograma detallado'!L40*AM40</f>
        <v>13.15</v>
      </c>
      <c r="AO40" s="234">
        <f>AN40/'PL Cronograma detallado'!M$238</f>
        <v>0.02230628308</v>
      </c>
      <c r="AP40" s="234">
        <f t="shared" ref="AP40:AP46" si="59">AO40+AP39</f>
        <v>0.02230628308</v>
      </c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 t="shared" si="1"/>
        <v>5</v>
      </c>
      <c r="F41" s="80">
        <v>5.0</v>
      </c>
      <c r="G41" s="105">
        <f t="shared" si="2"/>
        <v>0.004306632214</v>
      </c>
      <c r="H41" s="47">
        <f t="shared" ref="H41:H46" si="60">H40+G41</f>
        <v>0.07838070629</v>
      </c>
      <c r="I41" s="187">
        <f t="shared" si="52"/>
        <v>48</v>
      </c>
      <c r="J41" s="172">
        <f t="shared" ref="J41:J46" si="61">J40+I41</f>
        <v>326</v>
      </c>
      <c r="K41" s="115">
        <f t="shared" si="3"/>
        <v>0.1109976166</v>
      </c>
      <c r="L41" s="191">
        <f t="shared" si="53"/>
        <v>21.12</v>
      </c>
      <c r="M41" s="172">
        <f t="shared" ref="M41:M46" si="62">M40+L41</f>
        <v>148.71</v>
      </c>
      <c r="N41" s="47">
        <f t="shared" si="4"/>
        <v>0.004306632214</v>
      </c>
      <c r="O41" s="47">
        <f t="shared" si="16"/>
        <v>0.07838070629</v>
      </c>
      <c r="P41" s="226"/>
      <c r="Q41" s="226"/>
      <c r="R41" s="226"/>
      <c r="S41" s="229">
        <f t="shared" si="54"/>
        <v>0</v>
      </c>
      <c r="T41" s="206"/>
      <c r="U41" s="195"/>
      <c r="V41" s="230">
        <f>Roles!$D$2</f>
        <v>0.61</v>
      </c>
      <c r="W41" s="230">
        <f t="shared" si="55"/>
        <v>0</v>
      </c>
      <c r="X41" s="229">
        <f t="shared" si="56"/>
        <v>3.6</v>
      </c>
      <c r="Y41" s="231">
        <f>'CD R Documentación'!$I41</f>
        <v>18</v>
      </c>
      <c r="Z41" s="195"/>
      <c r="AA41" s="195"/>
      <c r="AB41" s="232">
        <f>'CD R Documentación'!$L41</f>
        <v>7.92</v>
      </c>
      <c r="AC41" s="229">
        <f t="shared" si="57"/>
        <v>6</v>
      </c>
      <c r="AD41" s="231">
        <f>'CD R Investigación'!$I41</f>
        <v>30</v>
      </c>
      <c r="AE41" s="195"/>
      <c r="AF41" s="195"/>
      <c r="AG41" s="232">
        <f>'CD R Investigación'!$L41</f>
        <v>13.2</v>
      </c>
      <c r="AH41" s="229">
        <f t="shared" si="58"/>
        <v>0</v>
      </c>
      <c r="AI41" s="231">
        <f>'CD R Desarrollo'!$I41</f>
        <v>0</v>
      </c>
      <c r="AJ41" s="195"/>
      <c r="AK41" s="200"/>
      <c r="AL41" s="232">
        <f>'CD R Desarrollo'!$L41</f>
        <v>0</v>
      </c>
      <c r="AM41" s="234">
        <v>1.0</v>
      </c>
      <c r="AN41" s="84">
        <f>'PL Cronograma detallado'!L41*AM41</f>
        <v>7.23</v>
      </c>
      <c r="AO41" s="234">
        <f>AN41/'PL Cronograma detallado'!M$238</f>
        <v>0.01226421495</v>
      </c>
      <c r="AP41" s="234">
        <f t="shared" si="59"/>
        <v>0.03457049803</v>
      </c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 t="shared" si="1"/>
        <v>5</v>
      </c>
      <c r="F42" s="80">
        <v>5.0</v>
      </c>
      <c r="G42" s="105">
        <f t="shared" si="2"/>
        <v>0.004306632214</v>
      </c>
      <c r="H42" s="47">
        <f t="shared" si="60"/>
        <v>0.0826873385</v>
      </c>
      <c r="I42" s="187">
        <f t="shared" si="52"/>
        <v>70</v>
      </c>
      <c r="J42" s="172">
        <f t="shared" si="61"/>
        <v>396</v>
      </c>
      <c r="K42" s="115">
        <f t="shared" si="3"/>
        <v>0.1348314607</v>
      </c>
      <c r="L42" s="191">
        <f t="shared" si="53"/>
        <v>30.8</v>
      </c>
      <c r="M42" s="172">
        <f t="shared" si="62"/>
        <v>179.51</v>
      </c>
      <c r="N42" s="47">
        <f t="shared" si="4"/>
        <v>0.004306632214</v>
      </c>
      <c r="O42" s="47">
        <f t="shared" si="16"/>
        <v>0.0826873385</v>
      </c>
      <c r="P42" s="138"/>
      <c r="Q42" s="138"/>
      <c r="R42" s="138">
        <f t="shared" ref="R42:R48" si="63">M42/$L$87</f>
        <v>23.46535948</v>
      </c>
      <c r="S42" s="229">
        <f t="shared" si="54"/>
        <v>0</v>
      </c>
      <c r="T42" s="206"/>
      <c r="U42" s="195"/>
      <c r="V42" s="230">
        <f>Roles!$D$2</f>
        <v>0.61</v>
      </c>
      <c r="W42" s="230">
        <f t="shared" si="55"/>
        <v>0</v>
      </c>
      <c r="X42" s="229">
        <f t="shared" si="56"/>
        <v>2.6</v>
      </c>
      <c r="Y42" s="231">
        <f>'CD R Documentación'!$I42</f>
        <v>13</v>
      </c>
      <c r="Z42" s="195"/>
      <c r="AA42" s="195"/>
      <c r="AB42" s="232">
        <f>'CD R Documentación'!$L42</f>
        <v>5.72</v>
      </c>
      <c r="AC42" s="229">
        <f t="shared" si="57"/>
        <v>11.4</v>
      </c>
      <c r="AD42" s="231">
        <f>'CD R Investigación'!$I42</f>
        <v>57</v>
      </c>
      <c r="AE42" s="195"/>
      <c r="AF42" s="195"/>
      <c r="AG42" s="232">
        <f>'CD R Investigación'!$L42</f>
        <v>25.08</v>
      </c>
      <c r="AH42" s="229">
        <f t="shared" si="58"/>
        <v>0</v>
      </c>
      <c r="AI42" s="231">
        <f>'CD R Desarrollo'!$I42</f>
        <v>0</v>
      </c>
      <c r="AJ42" s="200"/>
      <c r="AK42" s="200"/>
      <c r="AL42" s="232">
        <f>'CD R Desarrollo'!$L42</f>
        <v>0</v>
      </c>
      <c r="AM42" s="234">
        <v>1.0</v>
      </c>
      <c r="AN42" s="84">
        <f>'PL Cronograma detallado'!L42*AM42</f>
        <v>9.67</v>
      </c>
      <c r="AO42" s="234">
        <f>AN42/'PL Cronograma detallado'!M$238</f>
        <v>0.01640317546</v>
      </c>
      <c r="AP42" s="234">
        <f t="shared" si="59"/>
        <v>0.0509736735</v>
      </c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 t="shared" si="1"/>
        <v>2</v>
      </c>
      <c r="F43" s="80">
        <v>5.0</v>
      </c>
      <c r="G43" s="105">
        <f t="shared" si="2"/>
        <v>0.004306632214</v>
      </c>
      <c r="H43" s="47">
        <f t="shared" si="60"/>
        <v>0.08699397071</v>
      </c>
      <c r="I43" s="187">
        <f t="shared" si="52"/>
        <v>15</v>
      </c>
      <c r="J43" s="172">
        <f t="shared" si="61"/>
        <v>411</v>
      </c>
      <c r="K43" s="115">
        <f t="shared" si="3"/>
        <v>0.139938713</v>
      </c>
      <c r="L43" s="191">
        <f t="shared" si="53"/>
        <v>6.6</v>
      </c>
      <c r="M43" s="172">
        <f t="shared" si="62"/>
        <v>186.11</v>
      </c>
      <c r="N43" s="47">
        <f t="shared" si="4"/>
        <v>0.004306632214</v>
      </c>
      <c r="O43" s="47">
        <f t="shared" si="16"/>
        <v>0.08699397071</v>
      </c>
      <c r="P43" s="167"/>
      <c r="Q43" s="167"/>
      <c r="R43" s="167">
        <f t="shared" si="63"/>
        <v>24.32810458</v>
      </c>
      <c r="S43" s="229">
        <f t="shared" si="54"/>
        <v>0</v>
      </c>
      <c r="T43" s="206"/>
      <c r="U43" s="195"/>
      <c r="V43" s="230">
        <f>Roles!$D$2</f>
        <v>0.61</v>
      </c>
      <c r="W43" s="230">
        <f t="shared" si="55"/>
        <v>0</v>
      </c>
      <c r="X43" s="229">
        <f t="shared" si="56"/>
        <v>0</v>
      </c>
      <c r="Y43" s="231">
        <f>'CD R Documentación'!$I43</f>
        <v>0</v>
      </c>
      <c r="Z43" s="195"/>
      <c r="AA43" s="230"/>
      <c r="AB43" s="232">
        <f>'CD R Documentación'!$L43</f>
        <v>0</v>
      </c>
      <c r="AC43" s="229">
        <f t="shared" si="57"/>
        <v>3</v>
      </c>
      <c r="AD43" s="231">
        <f>'CD R Investigación'!$I43</f>
        <v>15</v>
      </c>
      <c r="AE43" s="195"/>
      <c r="AF43" s="230"/>
      <c r="AG43" s="232">
        <f>'CD R Investigación'!$L43</f>
        <v>6.6</v>
      </c>
      <c r="AH43" s="229">
        <f t="shared" si="58"/>
        <v>0</v>
      </c>
      <c r="AI43" s="231">
        <f>'CD R Desarrollo'!$I43</f>
        <v>0</v>
      </c>
      <c r="AJ43" s="200"/>
      <c r="AK43" s="185"/>
      <c r="AL43" s="232">
        <f>'CD R Desarrollo'!$L43</f>
        <v>0</v>
      </c>
      <c r="AM43" s="234">
        <v>1.0</v>
      </c>
      <c r="AN43" s="84">
        <f>'PL Cronograma detallado'!L43*AM43</f>
        <v>3</v>
      </c>
      <c r="AO43" s="234">
        <f>AN43/'PL Cronograma detallado'!M$238</f>
        <v>0.005088885873</v>
      </c>
      <c r="AP43" s="234">
        <f t="shared" si="59"/>
        <v>0.05606255937</v>
      </c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 t="shared" si="1"/>
        <v>2</v>
      </c>
      <c r="F44" s="80">
        <v>4.0</v>
      </c>
      <c r="G44" s="105">
        <f t="shared" si="2"/>
        <v>0.003445305771</v>
      </c>
      <c r="H44" s="47">
        <f t="shared" si="60"/>
        <v>0.09043927649</v>
      </c>
      <c r="I44" s="187">
        <f t="shared" si="52"/>
        <v>8</v>
      </c>
      <c r="J44" s="172">
        <f t="shared" si="61"/>
        <v>419</v>
      </c>
      <c r="K44" s="115">
        <f t="shared" si="3"/>
        <v>0.1426625809</v>
      </c>
      <c r="L44" s="191">
        <f t="shared" si="53"/>
        <v>3.52</v>
      </c>
      <c r="M44" s="172">
        <f t="shared" si="62"/>
        <v>189.63</v>
      </c>
      <c r="N44" s="47">
        <f t="shared" si="4"/>
        <v>0.003445305771</v>
      </c>
      <c r="O44" s="47">
        <f t="shared" si="16"/>
        <v>0.09043927649</v>
      </c>
      <c r="P44" s="167"/>
      <c r="Q44" s="167"/>
      <c r="R44" s="167">
        <f t="shared" si="63"/>
        <v>24.78823529</v>
      </c>
      <c r="S44" s="229">
        <f t="shared" si="54"/>
        <v>0</v>
      </c>
      <c r="T44" s="206"/>
      <c r="U44" s="195"/>
      <c r="V44" s="230">
        <f>Roles!$D$2</f>
        <v>0.61</v>
      </c>
      <c r="W44" s="230">
        <f t="shared" si="55"/>
        <v>0</v>
      </c>
      <c r="X44" s="229">
        <f t="shared" si="56"/>
        <v>0</v>
      </c>
      <c r="Y44" s="231">
        <f>'CD R Documentación'!$I44</f>
        <v>0</v>
      </c>
      <c r="Z44" s="195"/>
      <c r="AA44" s="230"/>
      <c r="AB44" s="232">
        <f>'CD R Documentación'!$L44</f>
        <v>0</v>
      </c>
      <c r="AC44" s="229">
        <f t="shared" si="57"/>
        <v>2</v>
      </c>
      <c r="AD44" s="231">
        <f>'CD R Investigación'!$I44</f>
        <v>8</v>
      </c>
      <c r="AE44" s="195"/>
      <c r="AF44" s="230"/>
      <c r="AG44" s="232">
        <f>'CD R Investigación'!$L44</f>
        <v>3.52</v>
      </c>
      <c r="AH44" s="229">
        <f t="shared" si="58"/>
        <v>0</v>
      </c>
      <c r="AI44" s="231">
        <f>'CD R Desarrollo'!$I44</f>
        <v>0</v>
      </c>
      <c r="AJ44" s="200"/>
      <c r="AK44" s="185"/>
      <c r="AL44" s="232">
        <f>'CD R Desarrollo'!$L44</f>
        <v>0</v>
      </c>
      <c r="AM44" s="234">
        <v>1.0</v>
      </c>
      <c r="AN44" s="84">
        <f>'PL Cronograma detallado'!L44*AM44</f>
        <v>1.6</v>
      </c>
      <c r="AO44" s="234">
        <f>AN44/'PL Cronograma detallado'!M$238</f>
        <v>0.002714072466</v>
      </c>
      <c r="AP44" s="234">
        <f t="shared" si="59"/>
        <v>0.05877663184</v>
      </c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 t="shared" si="1"/>
        <v>1</v>
      </c>
      <c r="F45" s="80">
        <v>3.0</v>
      </c>
      <c r="G45" s="105">
        <f t="shared" si="2"/>
        <v>0.002583979328</v>
      </c>
      <c r="H45" s="47">
        <f t="shared" si="60"/>
        <v>0.09302325581</v>
      </c>
      <c r="I45" s="187">
        <f t="shared" si="52"/>
        <v>6</v>
      </c>
      <c r="J45" s="172">
        <f t="shared" si="61"/>
        <v>425</v>
      </c>
      <c r="K45" s="115">
        <f t="shared" si="3"/>
        <v>0.1447054818</v>
      </c>
      <c r="L45" s="191">
        <f t="shared" si="53"/>
        <v>2.64</v>
      </c>
      <c r="M45" s="172">
        <f t="shared" si="62"/>
        <v>192.27</v>
      </c>
      <c r="N45" s="47">
        <f t="shared" si="4"/>
        <v>0.002583979328</v>
      </c>
      <c r="O45" s="47">
        <f t="shared" si="16"/>
        <v>0.09302325581</v>
      </c>
      <c r="P45" s="224"/>
      <c r="Q45" s="224"/>
      <c r="R45" s="224">
        <f t="shared" si="63"/>
        <v>25.13333333</v>
      </c>
      <c r="S45" s="229">
        <f t="shared" si="54"/>
        <v>0</v>
      </c>
      <c r="T45" s="206"/>
      <c r="U45" s="195"/>
      <c r="V45" s="230">
        <f>Roles!$D$2</f>
        <v>0.61</v>
      </c>
      <c r="W45" s="230">
        <f t="shared" si="55"/>
        <v>0</v>
      </c>
      <c r="X45" s="229">
        <f t="shared" si="56"/>
        <v>2</v>
      </c>
      <c r="Y45" s="231">
        <f>'CD R Documentación'!$I45</f>
        <v>6</v>
      </c>
      <c r="Z45" s="195"/>
      <c r="AA45" s="230"/>
      <c r="AB45" s="232">
        <f>'CD R Documentación'!$L45</f>
        <v>2.64</v>
      </c>
      <c r="AC45" s="229">
        <f t="shared" si="57"/>
        <v>0</v>
      </c>
      <c r="AD45" s="231">
        <f>'CD R Investigación'!$I45</f>
        <v>0</v>
      </c>
      <c r="AE45" s="195"/>
      <c r="AF45" s="230"/>
      <c r="AG45" s="232">
        <f>'CD R Investigación'!$L45</f>
        <v>0</v>
      </c>
      <c r="AH45" s="229">
        <f t="shared" si="58"/>
        <v>0</v>
      </c>
      <c r="AI45" s="231">
        <f>'CD R Desarrollo'!$I45</f>
        <v>0</v>
      </c>
      <c r="AJ45" s="200"/>
      <c r="AK45" s="185"/>
      <c r="AL45" s="232">
        <f>'CD R Desarrollo'!$L45</f>
        <v>0</v>
      </c>
      <c r="AM45" s="234">
        <v>1.0</v>
      </c>
      <c r="AN45" s="84">
        <f>'PL Cronograma detallado'!L45*AM45</f>
        <v>1.02</v>
      </c>
      <c r="AO45" s="234">
        <f>AN45/'PL Cronograma detallado'!M$238</f>
        <v>0.001730221197</v>
      </c>
      <c r="AP45" s="234">
        <f t="shared" si="59"/>
        <v>0.06050685303</v>
      </c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 t="shared" si="1"/>
        <v>2</v>
      </c>
      <c r="F46" s="80">
        <v>4.0</v>
      </c>
      <c r="G46" s="105">
        <f t="shared" si="2"/>
        <v>0.003445305771</v>
      </c>
      <c r="H46" s="47">
        <f t="shared" si="60"/>
        <v>0.09646856158</v>
      </c>
      <c r="I46" s="187">
        <f t="shared" si="52"/>
        <v>12</v>
      </c>
      <c r="J46" s="172">
        <f t="shared" si="61"/>
        <v>437</v>
      </c>
      <c r="K46" s="115">
        <f t="shared" si="3"/>
        <v>0.1487912836</v>
      </c>
      <c r="L46" s="191">
        <f t="shared" si="53"/>
        <v>5.28</v>
      </c>
      <c r="M46" s="172">
        <f t="shared" si="62"/>
        <v>197.55</v>
      </c>
      <c r="N46" s="47">
        <f t="shared" si="4"/>
        <v>0.003445305771</v>
      </c>
      <c r="O46" s="47">
        <f t="shared" si="16"/>
        <v>0.09646856158</v>
      </c>
      <c r="P46" s="323"/>
      <c r="Q46" s="323"/>
      <c r="R46" s="323">
        <f t="shared" si="63"/>
        <v>25.82352941</v>
      </c>
      <c r="S46" s="229">
        <f t="shared" si="54"/>
        <v>0</v>
      </c>
      <c r="T46" s="206"/>
      <c r="U46" s="195"/>
      <c r="V46" s="230">
        <f>Roles!$D$2</f>
        <v>0.61</v>
      </c>
      <c r="W46" s="230">
        <f t="shared" si="55"/>
        <v>0</v>
      </c>
      <c r="X46" s="229">
        <f t="shared" si="56"/>
        <v>0</v>
      </c>
      <c r="Y46" s="231">
        <f>'CD R Documentación'!$I46</f>
        <v>0</v>
      </c>
      <c r="Z46" s="195"/>
      <c r="AA46" s="230"/>
      <c r="AB46" s="232">
        <f>'CD R Documentación'!$L46</f>
        <v>0</v>
      </c>
      <c r="AC46" s="229">
        <f t="shared" si="57"/>
        <v>3</v>
      </c>
      <c r="AD46" s="231">
        <f>'CD R Investigación'!$I46</f>
        <v>12</v>
      </c>
      <c r="AE46" s="195"/>
      <c r="AF46" s="230"/>
      <c r="AG46" s="232">
        <f>'CD R Investigación'!$L46</f>
        <v>5.28</v>
      </c>
      <c r="AH46" s="229">
        <f t="shared" si="58"/>
        <v>0</v>
      </c>
      <c r="AI46" s="231">
        <f>'CD R Desarrollo'!$I46</f>
        <v>0</v>
      </c>
      <c r="AJ46" s="200"/>
      <c r="AK46" s="185"/>
      <c r="AL46" s="232">
        <f>'CD R Desarrollo'!$L46</f>
        <v>0</v>
      </c>
      <c r="AM46" s="234">
        <v>1.0</v>
      </c>
      <c r="AN46" s="84">
        <f>'PL Cronograma detallado'!L46*AM46</f>
        <v>2.4</v>
      </c>
      <c r="AO46" s="234">
        <f>AN46/'PL Cronograma detallado'!M$238</f>
        <v>0.004071108699</v>
      </c>
      <c r="AP46" s="234">
        <f t="shared" si="59"/>
        <v>0.06457796173</v>
      </c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 t="shared" si="1"/>
        <v>6</v>
      </c>
      <c r="F47" s="246">
        <f>SUM(F48:F51)</f>
        <v>15</v>
      </c>
      <c r="G47" s="105">
        <f t="shared" si="2"/>
        <v>0.01291989664</v>
      </c>
      <c r="H47" s="226">
        <f>H51</f>
        <v>0.1093884582</v>
      </c>
      <c r="I47" s="247">
        <f>SUM(I48:I51)</f>
        <v>33</v>
      </c>
      <c r="J47" s="247">
        <f>J51</f>
        <v>470</v>
      </c>
      <c r="K47" s="167">
        <f t="shared" si="3"/>
        <v>0.1600272387</v>
      </c>
      <c r="L47" s="247">
        <f>SUM(L48:L51)</f>
        <v>14.69</v>
      </c>
      <c r="M47" s="247">
        <f>M51</f>
        <v>212.24</v>
      </c>
      <c r="N47" s="47">
        <f t="shared" si="4"/>
        <v>0</v>
      </c>
      <c r="O47" s="47">
        <f t="shared" si="16"/>
        <v>0.09646856158</v>
      </c>
      <c r="P47" s="323"/>
      <c r="Q47" s="323"/>
      <c r="R47" s="323">
        <f t="shared" si="63"/>
        <v>27.74379085</v>
      </c>
      <c r="S47" s="173"/>
      <c r="T47" s="174"/>
      <c r="U47" s="178"/>
      <c r="V47" s="178"/>
      <c r="W47" s="178"/>
      <c r="X47" s="173"/>
      <c r="Y47" s="231"/>
      <c r="Z47" s="178"/>
      <c r="AA47" s="178"/>
      <c r="AB47" s="232"/>
      <c r="AC47" s="173"/>
      <c r="AD47" s="231"/>
      <c r="AE47" s="178"/>
      <c r="AF47" s="178"/>
      <c r="AG47" s="232"/>
      <c r="AH47" s="173"/>
      <c r="AI47" s="231"/>
      <c r="AJ47" s="180"/>
      <c r="AK47" s="180"/>
      <c r="AL47" s="232"/>
      <c r="AM47" s="234"/>
      <c r="AN47" s="84"/>
      <c r="AO47" s="234"/>
      <c r="AP47" s="234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 t="shared" si="1"/>
        <v>2</v>
      </c>
      <c r="F48" s="80">
        <v>4.0</v>
      </c>
      <c r="G48" s="105">
        <f t="shared" si="2"/>
        <v>0.003445305771</v>
      </c>
      <c r="H48" s="47">
        <f>H46+G48</f>
        <v>0.09991386736</v>
      </c>
      <c r="I48" s="187">
        <f t="shared" ref="I48:I51" si="64">T48+Y48+AD48+AI48</f>
        <v>8</v>
      </c>
      <c r="J48" s="172">
        <f>J46+I48</f>
        <v>445</v>
      </c>
      <c r="K48" s="115">
        <f t="shared" si="3"/>
        <v>0.1515151515</v>
      </c>
      <c r="L48" s="191">
        <f t="shared" ref="L48:L51" si="65">W48+AB48+AG48+AL48</f>
        <v>3.52</v>
      </c>
      <c r="M48" s="172">
        <f>M46+L48</f>
        <v>201.07</v>
      </c>
      <c r="N48" s="47">
        <f t="shared" si="4"/>
        <v>0.003445305771</v>
      </c>
      <c r="O48" s="47">
        <f t="shared" si="16"/>
        <v>0.09991386736</v>
      </c>
      <c r="P48" s="224"/>
      <c r="Q48" s="224"/>
      <c r="R48" s="224">
        <f t="shared" si="63"/>
        <v>26.28366013</v>
      </c>
      <c r="S48" s="229">
        <f t="shared" ref="S48:S51" si="66">T48/$F48</f>
        <v>0</v>
      </c>
      <c r="T48" s="206"/>
      <c r="U48" s="195"/>
      <c r="V48" s="230">
        <f>Roles!$D$2</f>
        <v>0.61</v>
      </c>
      <c r="W48" s="230">
        <f t="shared" ref="W48:W51" si="67">V48*T48</f>
        <v>0</v>
      </c>
      <c r="X48" s="229">
        <f t="shared" ref="X48:X51" si="68">Y48/$F48</f>
        <v>0</v>
      </c>
      <c r="Y48" s="231">
        <f>'CD R Documentación'!$I48</f>
        <v>0</v>
      </c>
      <c r="Z48" s="195"/>
      <c r="AA48" s="230"/>
      <c r="AB48" s="232">
        <f>'CD R Documentación'!$L48</f>
        <v>0</v>
      </c>
      <c r="AC48" s="229">
        <f t="shared" ref="AC48:AC51" si="69">AD48/$F48</f>
        <v>2</v>
      </c>
      <c r="AD48" s="231">
        <f>'CD R Investigación'!$I48</f>
        <v>8</v>
      </c>
      <c r="AE48" s="195"/>
      <c r="AF48" s="230"/>
      <c r="AG48" s="232">
        <f>'CD R Investigación'!$L48</f>
        <v>3.52</v>
      </c>
      <c r="AH48" s="229">
        <f t="shared" ref="AH48:AH51" si="70">AI48/$F48</f>
        <v>0</v>
      </c>
      <c r="AI48" s="231">
        <f>'CD R Desarrollo'!$I48</f>
        <v>0</v>
      </c>
      <c r="AJ48" s="200"/>
      <c r="AK48" s="185"/>
      <c r="AL48" s="232">
        <f>'CD R Desarrollo'!$L48</f>
        <v>0</v>
      </c>
      <c r="AM48" s="234">
        <v>1.0</v>
      </c>
      <c r="AN48" s="84">
        <f>'PL Cronograma detallado'!L48*AM48</f>
        <v>1.6</v>
      </c>
      <c r="AO48" s="234">
        <f>AN48/'PL Cronograma detallado'!M$238</f>
        <v>0.002714072466</v>
      </c>
      <c r="AP48" s="234">
        <f t="shared" ref="AP48:AP51" si="71">AO48+AP47</f>
        <v>0.002714072466</v>
      </c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 t="shared" si="1"/>
        <v>1</v>
      </c>
      <c r="F49" s="80">
        <v>3.0</v>
      </c>
      <c r="G49" s="105">
        <f t="shared" si="2"/>
        <v>0.002583979328</v>
      </c>
      <c r="H49" s="47">
        <f t="shared" ref="H49:H51" si="72">H48+G49</f>
        <v>0.1024978467</v>
      </c>
      <c r="I49" s="187">
        <f t="shared" si="64"/>
        <v>6</v>
      </c>
      <c r="J49" s="172">
        <f t="shared" ref="J49:J51" si="73">J48+I49</f>
        <v>451</v>
      </c>
      <c r="K49" s="115">
        <f t="shared" si="3"/>
        <v>0.1535580524</v>
      </c>
      <c r="L49" s="191">
        <f t="shared" si="65"/>
        <v>2.64</v>
      </c>
      <c r="M49" s="172">
        <f t="shared" ref="M49:M51" si="74">M48+L49</f>
        <v>203.71</v>
      </c>
      <c r="N49" s="47">
        <f t="shared" si="4"/>
        <v>0.002583979328</v>
      </c>
      <c r="O49" s="47">
        <f t="shared" si="16"/>
        <v>0.1024978467</v>
      </c>
      <c r="P49" s="226"/>
      <c r="Q49" s="226"/>
      <c r="R49" s="226"/>
      <c r="S49" s="229">
        <f t="shared" si="66"/>
        <v>0</v>
      </c>
      <c r="T49" s="206"/>
      <c r="U49" s="195"/>
      <c r="V49" s="230">
        <f>Roles!$D$2</f>
        <v>0.61</v>
      </c>
      <c r="W49" s="230">
        <f t="shared" si="67"/>
        <v>0</v>
      </c>
      <c r="X49" s="229">
        <f t="shared" si="68"/>
        <v>0</v>
      </c>
      <c r="Y49" s="231">
        <f>'CD R Documentación'!$I49</f>
        <v>0</v>
      </c>
      <c r="Z49" s="195"/>
      <c r="AA49" s="230"/>
      <c r="AB49" s="232">
        <f>'CD R Documentación'!$L49</f>
        <v>0</v>
      </c>
      <c r="AC49" s="229">
        <f t="shared" si="69"/>
        <v>2</v>
      </c>
      <c r="AD49" s="231">
        <f>'CD R Investigación'!$I49</f>
        <v>6</v>
      </c>
      <c r="AE49" s="195"/>
      <c r="AF49" s="230"/>
      <c r="AG49" s="232">
        <f>'CD R Investigación'!$L49</f>
        <v>2.64</v>
      </c>
      <c r="AH49" s="229">
        <f t="shared" si="70"/>
        <v>0</v>
      </c>
      <c r="AI49" s="231">
        <f>'CD R Desarrollo'!$I49</f>
        <v>0</v>
      </c>
      <c r="AJ49" s="200"/>
      <c r="AK49" s="185"/>
      <c r="AL49" s="232">
        <f>'CD R Desarrollo'!$L49</f>
        <v>0</v>
      </c>
      <c r="AM49" s="234">
        <v>1.0</v>
      </c>
      <c r="AN49" s="84">
        <f>'PL Cronograma detallado'!L49*AM49</f>
        <v>1.2</v>
      </c>
      <c r="AO49" s="234">
        <f>AN49/'PL Cronograma detallado'!M$238</f>
        <v>0.002035554349</v>
      </c>
      <c r="AP49" s="234">
        <f t="shared" si="71"/>
        <v>0.004749626815</v>
      </c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 t="shared" si="1"/>
        <v>3</v>
      </c>
      <c r="F50" s="80">
        <v>5.0</v>
      </c>
      <c r="G50" s="105">
        <f t="shared" si="2"/>
        <v>0.004306632214</v>
      </c>
      <c r="H50" s="47">
        <f t="shared" si="72"/>
        <v>0.1068044789</v>
      </c>
      <c r="I50" s="187">
        <f t="shared" si="64"/>
        <v>12</v>
      </c>
      <c r="J50" s="172">
        <f t="shared" si="73"/>
        <v>463</v>
      </c>
      <c r="K50" s="115">
        <f t="shared" si="3"/>
        <v>0.1576438543</v>
      </c>
      <c r="L50" s="191">
        <f t="shared" si="65"/>
        <v>5.28</v>
      </c>
      <c r="M50" s="172">
        <f t="shared" si="74"/>
        <v>208.99</v>
      </c>
      <c r="N50" s="47">
        <f t="shared" si="4"/>
        <v>0.004306632214</v>
      </c>
      <c r="O50" s="47">
        <f t="shared" si="16"/>
        <v>0.1068044789</v>
      </c>
      <c r="P50" s="47"/>
      <c r="Q50" s="47"/>
      <c r="R50" s="47">
        <f t="shared" ref="R50:R51" si="75">M50/$L$87</f>
        <v>27.31895425</v>
      </c>
      <c r="S50" s="229">
        <f t="shared" si="66"/>
        <v>0</v>
      </c>
      <c r="T50" s="206"/>
      <c r="U50" s="195"/>
      <c r="V50" s="230">
        <f>Roles!$D$2</f>
        <v>0.61</v>
      </c>
      <c r="W50" s="230">
        <f t="shared" si="67"/>
        <v>0</v>
      </c>
      <c r="X50" s="229">
        <f t="shared" si="68"/>
        <v>0</v>
      </c>
      <c r="Y50" s="231">
        <f>'CD R Documentación'!$I50</f>
        <v>0</v>
      </c>
      <c r="Z50" s="195"/>
      <c r="AA50" s="230"/>
      <c r="AB50" s="232">
        <f>'CD R Documentación'!$L50</f>
        <v>0</v>
      </c>
      <c r="AC50" s="229">
        <f t="shared" si="69"/>
        <v>2.4</v>
      </c>
      <c r="AD50" s="231">
        <f>'CD R Investigación'!$I50</f>
        <v>12</v>
      </c>
      <c r="AE50" s="195"/>
      <c r="AF50" s="230"/>
      <c r="AG50" s="232">
        <f>'CD R Investigación'!$L50</f>
        <v>5.28</v>
      </c>
      <c r="AH50" s="229">
        <f t="shared" si="70"/>
        <v>0</v>
      </c>
      <c r="AI50" s="231">
        <f>'CD R Desarrollo'!$I50</f>
        <v>0</v>
      </c>
      <c r="AJ50" s="200"/>
      <c r="AK50" s="185"/>
      <c r="AL50" s="232">
        <f>'CD R Desarrollo'!$L50</f>
        <v>0</v>
      </c>
      <c r="AM50" s="234">
        <v>1.0</v>
      </c>
      <c r="AN50" s="84">
        <f>'PL Cronograma detallado'!L50*AM50</f>
        <v>2.4</v>
      </c>
      <c r="AO50" s="234">
        <f>AN50/'PL Cronograma detallado'!M$238</f>
        <v>0.004071108699</v>
      </c>
      <c r="AP50" s="234">
        <f t="shared" si="71"/>
        <v>0.008820735514</v>
      </c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 t="shared" si="1"/>
        <v>2</v>
      </c>
      <c r="F51" s="80">
        <v>3.0</v>
      </c>
      <c r="G51" s="105">
        <f t="shared" si="2"/>
        <v>0.002583979328</v>
      </c>
      <c r="H51" s="47">
        <f t="shared" si="72"/>
        <v>0.1093884582</v>
      </c>
      <c r="I51" s="187">
        <f t="shared" si="64"/>
        <v>7</v>
      </c>
      <c r="J51" s="172">
        <f t="shared" si="73"/>
        <v>470</v>
      </c>
      <c r="K51" s="115">
        <f t="shared" si="3"/>
        <v>0.1600272387</v>
      </c>
      <c r="L51" s="191">
        <f t="shared" si="65"/>
        <v>3.25</v>
      </c>
      <c r="M51" s="172">
        <f t="shared" si="74"/>
        <v>212.24</v>
      </c>
      <c r="N51" s="47">
        <f t="shared" si="4"/>
        <v>0.002583979328</v>
      </c>
      <c r="O51" s="47">
        <f t="shared" si="16"/>
        <v>0.1093884582</v>
      </c>
      <c r="P51" s="226"/>
      <c r="Q51" s="226"/>
      <c r="R51" s="226">
        <f t="shared" si="75"/>
        <v>27.74379085</v>
      </c>
      <c r="S51" s="229">
        <f t="shared" si="66"/>
        <v>0.3333333333</v>
      </c>
      <c r="T51" s="194">
        <v>1.0</v>
      </c>
      <c r="U51" s="195"/>
      <c r="V51" s="230">
        <f>Roles!$D$2</f>
        <v>0.61</v>
      </c>
      <c r="W51" s="230">
        <f t="shared" si="67"/>
        <v>0.61</v>
      </c>
      <c r="X51" s="229">
        <f t="shared" si="68"/>
        <v>0</v>
      </c>
      <c r="Y51" s="231">
        <f>'CD R Documentación'!$I51</f>
        <v>0</v>
      </c>
      <c r="Z51" s="195"/>
      <c r="AA51" s="230"/>
      <c r="AB51" s="232">
        <f>'CD R Documentación'!$L51</f>
        <v>0</v>
      </c>
      <c r="AC51" s="229">
        <f t="shared" si="69"/>
        <v>2</v>
      </c>
      <c r="AD51" s="231">
        <f>'CD R Investigación'!$I51</f>
        <v>6</v>
      </c>
      <c r="AE51" s="195"/>
      <c r="AF51" s="230"/>
      <c r="AG51" s="232">
        <f>'CD R Investigación'!$L51</f>
        <v>2.64</v>
      </c>
      <c r="AH51" s="229">
        <f t="shared" si="70"/>
        <v>0</v>
      </c>
      <c r="AI51" s="231">
        <f>'CD R Desarrollo'!$I51</f>
        <v>0</v>
      </c>
      <c r="AJ51" s="200"/>
      <c r="AK51" s="185"/>
      <c r="AL51" s="232">
        <f>'CD R Desarrollo'!$L51</f>
        <v>0</v>
      </c>
      <c r="AM51" s="234">
        <v>1.0</v>
      </c>
      <c r="AN51" s="84">
        <f>'PL Cronograma detallado'!L51*AM51</f>
        <v>1.81</v>
      </c>
      <c r="AO51" s="234">
        <f>AN51/'PL Cronograma detallado'!M$238</f>
        <v>0.003070294477</v>
      </c>
      <c r="AP51" s="234">
        <f t="shared" si="71"/>
        <v>0.01189102999</v>
      </c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 t="shared" si="1"/>
        <v>4</v>
      </c>
      <c r="F52" s="246">
        <f>SUM(F53:F57)</f>
        <v>19</v>
      </c>
      <c r="G52" s="105">
        <f t="shared" si="2"/>
        <v>0.01636520241</v>
      </c>
      <c r="H52" s="226">
        <f>H57</f>
        <v>0.1257536606</v>
      </c>
      <c r="I52" s="247">
        <f>SUM(I53:I57)</f>
        <v>47</v>
      </c>
      <c r="J52" s="247">
        <f>J57</f>
        <v>517</v>
      </c>
      <c r="K52" s="167">
        <f t="shared" si="3"/>
        <v>0.1760299625</v>
      </c>
      <c r="L52" s="247">
        <f>SUM(L53:L57)</f>
        <v>20.85</v>
      </c>
      <c r="M52" s="247">
        <f>M57</f>
        <v>233.09</v>
      </c>
      <c r="N52" s="47">
        <f t="shared" si="4"/>
        <v>0</v>
      </c>
      <c r="O52" s="47">
        <f t="shared" si="16"/>
        <v>0.1093884582</v>
      </c>
      <c r="P52" s="226"/>
      <c r="Q52" s="226"/>
      <c r="R52" s="226"/>
      <c r="S52" s="173"/>
      <c r="T52" s="174"/>
      <c r="U52" s="178"/>
      <c r="V52" s="178"/>
      <c r="W52" s="178"/>
      <c r="X52" s="173"/>
      <c r="Y52" s="231"/>
      <c r="Z52" s="178"/>
      <c r="AA52" s="178"/>
      <c r="AB52" s="232"/>
      <c r="AC52" s="173"/>
      <c r="AD52" s="231"/>
      <c r="AE52" s="178"/>
      <c r="AF52" s="178"/>
      <c r="AG52" s="232"/>
      <c r="AH52" s="173"/>
      <c r="AI52" s="231"/>
      <c r="AJ52" s="180"/>
      <c r="AK52" s="180"/>
      <c r="AL52" s="232"/>
      <c r="AM52" s="234"/>
      <c r="AN52" s="84"/>
      <c r="AO52" s="234"/>
      <c r="AP52" s="234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 t="shared" si="1"/>
        <v>1</v>
      </c>
      <c r="F53" s="80">
        <v>3.0</v>
      </c>
      <c r="G53" s="105">
        <f t="shared" si="2"/>
        <v>0.002583979328</v>
      </c>
      <c r="H53" s="47">
        <f>H51+G53</f>
        <v>0.1119724376</v>
      </c>
      <c r="I53" s="187">
        <f t="shared" ref="I53:I57" si="76">T53+Y53+AD53+AI53</f>
        <v>6</v>
      </c>
      <c r="J53" s="172">
        <f>J51+I53</f>
        <v>476</v>
      </c>
      <c r="K53" s="115">
        <f t="shared" si="3"/>
        <v>0.1620701396</v>
      </c>
      <c r="L53" s="191">
        <f t="shared" ref="L53:L57" si="77">W53+AB53+AG53+AL53</f>
        <v>2.64</v>
      </c>
      <c r="M53" s="172">
        <f>M51+L53</f>
        <v>214.88</v>
      </c>
      <c r="N53" s="47">
        <f t="shared" si="4"/>
        <v>0.002583979328</v>
      </c>
      <c r="O53" s="47">
        <f t="shared" si="16"/>
        <v>0.1119724376</v>
      </c>
      <c r="P53" s="47"/>
      <c r="Q53" s="47"/>
      <c r="R53" s="47">
        <f t="shared" ref="R53:R57" si="78">M53/$L$87</f>
        <v>28.08888889</v>
      </c>
      <c r="S53" s="229">
        <f t="shared" ref="S53:S57" si="79">T53/$F53</f>
        <v>0</v>
      </c>
      <c r="T53" s="206"/>
      <c r="U53" s="195"/>
      <c r="V53" s="230">
        <f>Roles!$D$2</f>
        <v>0.61</v>
      </c>
      <c r="W53" s="230">
        <f t="shared" ref="W53:W57" si="80">V53*T53</f>
        <v>0</v>
      </c>
      <c r="X53" s="229">
        <f t="shared" ref="X53:X57" si="81">Y53/$F53</f>
        <v>0</v>
      </c>
      <c r="Y53" s="231">
        <f>'CD R Documentación'!$I53</f>
        <v>0</v>
      </c>
      <c r="Z53" s="195"/>
      <c r="AA53" s="230"/>
      <c r="AB53" s="232">
        <f>'CD R Documentación'!$L53</f>
        <v>0</v>
      </c>
      <c r="AC53" s="229">
        <f t="shared" ref="AC53:AC57" si="82">AD53/$F53</f>
        <v>2</v>
      </c>
      <c r="AD53" s="231">
        <f>'CD R Investigación'!$I53</f>
        <v>6</v>
      </c>
      <c r="AE53" s="195"/>
      <c r="AF53" s="230"/>
      <c r="AG53" s="232">
        <f>'CD R Investigación'!$L53</f>
        <v>2.64</v>
      </c>
      <c r="AH53" s="229">
        <f t="shared" ref="AH53:AH57" si="83">AI53/$F53</f>
        <v>0</v>
      </c>
      <c r="AI53" s="231">
        <f>'CD R Desarrollo'!$I53</f>
        <v>0</v>
      </c>
      <c r="AJ53" s="200"/>
      <c r="AK53" s="185"/>
      <c r="AL53" s="232">
        <f>'CD R Desarrollo'!$L53</f>
        <v>0</v>
      </c>
      <c r="AM53" s="234">
        <v>1.0</v>
      </c>
      <c r="AN53" s="84">
        <f>'PL Cronograma detallado'!L53*AM53</f>
        <v>1.2</v>
      </c>
      <c r="AO53" s="234">
        <f>AN53/'PL Cronograma detallado'!M$238</f>
        <v>0.002035554349</v>
      </c>
      <c r="AP53" s="234">
        <f t="shared" ref="AP53:AP57" si="84">AO53+AP52</f>
        <v>0.002035554349</v>
      </c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 t="shared" si="1"/>
        <v>3</v>
      </c>
      <c r="F54" s="80">
        <v>6.0</v>
      </c>
      <c r="G54" s="105">
        <f t="shared" si="2"/>
        <v>0.005167958656</v>
      </c>
      <c r="H54" s="47">
        <f t="shared" ref="H54:H57" si="85">H53+G54</f>
        <v>0.1171403962</v>
      </c>
      <c r="I54" s="187">
        <f t="shared" si="76"/>
        <v>17</v>
      </c>
      <c r="J54" s="172">
        <f t="shared" ref="J54:J57" si="86">J53+I54</f>
        <v>493</v>
      </c>
      <c r="K54" s="115">
        <f t="shared" si="3"/>
        <v>0.1678583589</v>
      </c>
      <c r="L54" s="191">
        <f t="shared" si="77"/>
        <v>7.65</v>
      </c>
      <c r="M54" s="172">
        <f t="shared" ref="M54:M57" si="87">M53+L54</f>
        <v>222.53</v>
      </c>
      <c r="N54" s="47">
        <f t="shared" si="4"/>
        <v>0.005167958656</v>
      </c>
      <c r="O54" s="47">
        <f t="shared" si="16"/>
        <v>0.1171403962</v>
      </c>
      <c r="P54" s="226"/>
      <c r="Q54" s="226"/>
      <c r="R54" s="226">
        <f t="shared" si="78"/>
        <v>29.08888889</v>
      </c>
      <c r="S54" s="229">
        <f t="shared" si="79"/>
        <v>0.1666666667</v>
      </c>
      <c r="T54" s="194">
        <v>1.0</v>
      </c>
      <c r="U54" s="195"/>
      <c r="V54" s="230">
        <f>Roles!$D$2</f>
        <v>0.61</v>
      </c>
      <c r="W54" s="230">
        <f t="shared" si="80"/>
        <v>0.61</v>
      </c>
      <c r="X54" s="229">
        <f t="shared" si="81"/>
        <v>0.6666666667</v>
      </c>
      <c r="Y54" s="231">
        <f>'CD R Documentación'!$I54</f>
        <v>4</v>
      </c>
      <c r="Z54" s="195"/>
      <c r="AA54" s="230"/>
      <c r="AB54" s="232">
        <f>'CD R Documentación'!$L54</f>
        <v>1.76</v>
      </c>
      <c r="AC54" s="229">
        <f t="shared" si="82"/>
        <v>2</v>
      </c>
      <c r="AD54" s="231">
        <f>'CD R Investigación'!$I54</f>
        <v>12</v>
      </c>
      <c r="AE54" s="195"/>
      <c r="AF54" s="230"/>
      <c r="AG54" s="232">
        <f>'CD R Investigación'!$L54</f>
        <v>5.28</v>
      </c>
      <c r="AH54" s="229">
        <f t="shared" si="83"/>
        <v>0</v>
      </c>
      <c r="AI54" s="231">
        <f>'CD R Desarrollo'!$I54</f>
        <v>0</v>
      </c>
      <c r="AJ54" s="200"/>
      <c r="AK54" s="185"/>
      <c r="AL54" s="232">
        <f>'CD R Desarrollo'!$L54</f>
        <v>0</v>
      </c>
      <c r="AM54" s="234">
        <v>1.0</v>
      </c>
      <c r="AN54" s="84">
        <f>'PL Cronograma detallado'!L54*AM54</f>
        <v>3.69</v>
      </c>
      <c r="AO54" s="234">
        <f>AN54/'PL Cronograma detallado'!M$238</f>
        <v>0.006259329624</v>
      </c>
      <c r="AP54" s="234">
        <f t="shared" si="84"/>
        <v>0.008294883973</v>
      </c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 t="shared" si="1"/>
        <v>3</v>
      </c>
      <c r="F55" s="80">
        <v>6.0</v>
      </c>
      <c r="G55" s="105">
        <f t="shared" si="2"/>
        <v>0.005167958656</v>
      </c>
      <c r="H55" s="47">
        <f t="shared" si="85"/>
        <v>0.1223083549</v>
      </c>
      <c r="I55" s="187">
        <f t="shared" si="76"/>
        <v>16</v>
      </c>
      <c r="J55" s="172">
        <f t="shared" si="86"/>
        <v>509</v>
      </c>
      <c r="K55" s="115">
        <f t="shared" si="3"/>
        <v>0.1733060947</v>
      </c>
      <c r="L55" s="191">
        <f t="shared" si="77"/>
        <v>7.04</v>
      </c>
      <c r="M55" s="172">
        <f t="shared" si="87"/>
        <v>229.57</v>
      </c>
      <c r="N55" s="47">
        <f t="shared" si="4"/>
        <v>0.005167958656</v>
      </c>
      <c r="O55" s="47">
        <f t="shared" si="16"/>
        <v>0.1223083549</v>
      </c>
      <c r="P55" s="226"/>
      <c r="Q55" s="226"/>
      <c r="R55" s="226">
        <f t="shared" si="78"/>
        <v>30.00915033</v>
      </c>
      <c r="S55" s="229">
        <f t="shared" si="79"/>
        <v>0</v>
      </c>
      <c r="T55" s="206"/>
      <c r="U55" s="195"/>
      <c r="V55" s="230">
        <f>Roles!$D$2</f>
        <v>0.61</v>
      </c>
      <c r="W55" s="230">
        <f t="shared" si="80"/>
        <v>0</v>
      </c>
      <c r="X55" s="229">
        <f t="shared" si="81"/>
        <v>0.6666666667</v>
      </c>
      <c r="Y55" s="231">
        <f>'CD R Documentación'!$I55</f>
        <v>4</v>
      </c>
      <c r="Z55" s="195"/>
      <c r="AA55" s="230"/>
      <c r="AB55" s="232">
        <f>'CD R Documentación'!$L55</f>
        <v>1.76</v>
      </c>
      <c r="AC55" s="229">
        <f t="shared" si="82"/>
        <v>2</v>
      </c>
      <c r="AD55" s="231">
        <f>'CD R Investigación'!$I55</f>
        <v>12</v>
      </c>
      <c r="AE55" s="195"/>
      <c r="AF55" s="230"/>
      <c r="AG55" s="232">
        <f>'CD R Investigación'!$L55</f>
        <v>5.28</v>
      </c>
      <c r="AH55" s="229">
        <f t="shared" si="83"/>
        <v>0</v>
      </c>
      <c r="AI55" s="231">
        <f>'CD R Desarrollo'!$I55</f>
        <v>0</v>
      </c>
      <c r="AJ55" s="200"/>
      <c r="AK55" s="185"/>
      <c r="AL55" s="232">
        <f>'CD R Desarrollo'!$L55</f>
        <v>0</v>
      </c>
      <c r="AM55" s="234">
        <v>1.0</v>
      </c>
      <c r="AN55" s="84">
        <f>'PL Cronograma detallado'!L55*AM55</f>
        <v>3.08</v>
      </c>
      <c r="AO55" s="234">
        <f>AN55/'PL Cronograma detallado'!M$238</f>
        <v>0.005224589497</v>
      </c>
      <c r="AP55" s="234">
        <f t="shared" si="84"/>
        <v>0.01351947347</v>
      </c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 t="shared" si="1"/>
        <v>2</v>
      </c>
      <c r="F56" s="80">
        <v>3.0</v>
      </c>
      <c r="G56" s="105">
        <f t="shared" si="2"/>
        <v>0.002583979328</v>
      </c>
      <c r="H56" s="47">
        <f t="shared" si="85"/>
        <v>0.1248923342</v>
      </c>
      <c r="I56" s="187">
        <f t="shared" si="76"/>
        <v>6</v>
      </c>
      <c r="J56" s="172">
        <f t="shared" si="86"/>
        <v>515</v>
      </c>
      <c r="K56" s="115">
        <f t="shared" si="3"/>
        <v>0.1753489956</v>
      </c>
      <c r="L56" s="191">
        <f t="shared" si="77"/>
        <v>2.64</v>
      </c>
      <c r="M56" s="172">
        <f t="shared" si="87"/>
        <v>232.21</v>
      </c>
      <c r="N56" s="47">
        <f t="shared" si="4"/>
        <v>0.002583979328</v>
      </c>
      <c r="O56" s="47">
        <f t="shared" si="16"/>
        <v>0.1248923342</v>
      </c>
      <c r="P56" s="226"/>
      <c r="Q56" s="226"/>
      <c r="R56" s="226">
        <f t="shared" si="78"/>
        <v>30.35424837</v>
      </c>
      <c r="S56" s="229">
        <f t="shared" si="79"/>
        <v>0</v>
      </c>
      <c r="T56" s="206"/>
      <c r="U56" s="195"/>
      <c r="V56" s="230">
        <f>Roles!$D$2</f>
        <v>0.61</v>
      </c>
      <c r="W56" s="230">
        <f t="shared" si="80"/>
        <v>0</v>
      </c>
      <c r="X56" s="229">
        <f t="shared" si="81"/>
        <v>2</v>
      </c>
      <c r="Y56" s="231">
        <f>'CD R Documentación'!$I56</f>
        <v>6</v>
      </c>
      <c r="Z56" s="195"/>
      <c r="AA56" s="230"/>
      <c r="AB56" s="232">
        <f>'CD R Documentación'!$L56</f>
        <v>2.64</v>
      </c>
      <c r="AC56" s="229">
        <f t="shared" si="82"/>
        <v>0</v>
      </c>
      <c r="AD56" s="231">
        <f>'CD R Investigación'!$I56</f>
        <v>0</v>
      </c>
      <c r="AE56" s="195"/>
      <c r="AF56" s="230"/>
      <c r="AG56" s="232">
        <f>'CD R Investigación'!$L56</f>
        <v>0</v>
      </c>
      <c r="AH56" s="229">
        <f t="shared" si="83"/>
        <v>0</v>
      </c>
      <c r="AI56" s="231">
        <f>'CD R Desarrollo'!$I56</f>
        <v>0</v>
      </c>
      <c r="AJ56" s="200"/>
      <c r="AK56" s="185"/>
      <c r="AL56" s="232">
        <f>'CD R Desarrollo'!$L56</f>
        <v>0</v>
      </c>
      <c r="AM56" s="234">
        <v>1.0</v>
      </c>
      <c r="AN56" s="84">
        <f>'PL Cronograma detallado'!L56*AM56</f>
        <v>1.02</v>
      </c>
      <c r="AO56" s="234">
        <f>AN56/'PL Cronograma detallado'!M$238</f>
        <v>0.001730221197</v>
      </c>
      <c r="AP56" s="234">
        <f t="shared" si="84"/>
        <v>0.01524969467</v>
      </c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 t="shared" si="1"/>
        <v>1</v>
      </c>
      <c r="F57" s="80">
        <v>1.0</v>
      </c>
      <c r="G57" s="105">
        <f t="shared" si="2"/>
        <v>0.0008613264427</v>
      </c>
      <c r="H57" s="47">
        <f t="shared" si="85"/>
        <v>0.1257536606</v>
      </c>
      <c r="I57" s="187">
        <f t="shared" si="76"/>
        <v>2</v>
      </c>
      <c r="J57" s="172">
        <f t="shared" si="86"/>
        <v>517</v>
      </c>
      <c r="K57" s="115">
        <f t="shared" si="3"/>
        <v>0.1760299625</v>
      </c>
      <c r="L57" s="191">
        <f t="shared" si="77"/>
        <v>0.88</v>
      </c>
      <c r="M57" s="172">
        <f t="shared" si="87"/>
        <v>233.09</v>
      </c>
      <c r="N57" s="47">
        <f t="shared" si="4"/>
        <v>0.0008613264427</v>
      </c>
      <c r="O57" s="47">
        <f t="shared" si="16"/>
        <v>0.1257536606</v>
      </c>
      <c r="P57" s="226"/>
      <c r="Q57" s="226"/>
      <c r="R57" s="226">
        <f t="shared" si="78"/>
        <v>30.46928105</v>
      </c>
      <c r="S57" s="229">
        <f t="shared" si="79"/>
        <v>0</v>
      </c>
      <c r="T57" s="206"/>
      <c r="U57" s="195"/>
      <c r="V57" s="230">
        <f>Roles!$D$2</f>
        <v>0.61</v>
      </c>
      <c r="W57" s="230">
        <f t="shared" si="80"/>
        <v>0</v>
      </c>
      <c r="X57" s="229">
        <f t="shared" si="81"/>
        <v>2</v>
      </c>
      <c r="Y57" s="231">
        <f>'CD R Documentación'!$I57</f>
        <v>2</v>
      </c>
      <c r="Z57" s="195"/>
      <c r="AA57" s="230"/>
      <c r="AB57" s="232">
        <f>'CD R Documentación'!$L57</f>
        <v>0.88</v>
      </c>
      <c r="AC57" s="229">
        <f t="shared" si="82"/>
        <v>0</v>
      </c>
      <c r="AD57" s="231">
        <f>'CD R Investigación'!$I57</f>
        <v>0</v>
      </c>
      <c r="AE57" s="195"/>
      <c r="AF57" s="230"/>
      <c r="AG57" s="232">
        <f>'CD R Investigación'!$L57</f>
        <v>0</v>
      </c>
      <c r="AH57" s="229">
        <f t="shared" si="83"/>
        <v>0</v>
      </c>
      <c r="AI57" s="231">
        <f>'CD R Desarrollo'!$I57</f>
        <v>0</v>
      </c>
      <c r="AJ57" s="200"/>
      <c r="AK57" s="185"/>
      <c r="AL57" s="232">
        <f>'CD R Desarrollo'!$L57</f>
        <v>0</v>
      </c>
      <c r="AM57" s="234">
        <v>1.0</v>
      </c>
      <c r="AN57" s="84">
        <f>'PL Cronograma detallado'!L57*AM57</f>
        <v>0.34</v>
      </c>
      <c r="AO57" s="234">
        <f>AN57/'PL Cronograma detallado'!M$238</f>
        <v>0.000576740399</v>
      </c>
      <c r="AP57" s="234">
        <f t="shared" si="84"/>
        <v>0.01582643507</v>
      </c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 t="shared" si="1"/>
        <v>3</v>
      </c>
      <c r="F58" s="246">
        <f>SUM(F59:F61)</f>
        <v>22</v>
      </c>
      <c r="G58" s="105">
        <f t="shared" si="2"/>
        <v>0.01894918174</v>
      </c>
      <c r="H58" s="226">
        <f>H61</f>
        <v>0.1447028424</v>
      </c>
      <c r="I58" s="247">
        <f>SUM(I59:I61)</f>
        <v>317</v>
      </c>
      <c r="J58" s="247">
        <f>J61</f>
        <v>834</v>
      </c>
      <c r="K58" s="167">
        <f t="shared" si="3"/>
        <v>0.2839632278</v>
      </c>
      <c r="L58" s="247">
        <f>SUM(L59:L61)</f>
        <v>139.99</v>
      </c>
      <c r="M58" s="247">
        <f>M61</f>
        <v>373.08</v>
      </c>
      <c r="N58" s="47">
        <f t="shared" si="4"/>
        <v>0</v>
      </c>
      <c r="O58" s="47">
        <f t="shared" si="16"/>
        <v>0.1257536606</v>
      </c>
      <c r="P58" s="115"/>
      <c r="Q58" s="115"/>
      <c r="R58" s="115"/>
      <c r="S58" s="264"/>
      <c r="T58" s="174"/>
      <c r="U58" s="178"/>
      <c r="V58" s="178"/>
      <c r="W58" s="178"/>
      <c r="X58" s="178"/>
      <c r="Y58" s="231"/>
      <c r="Z58" s="178"/>
      <c r="AA58" s="178"/>
      <c r="AB58" s="232"/>
      <c r="AC58" s="178"/>
      <c r="AD58" s="231"/>
      <c r="AE58" s="178"/>
      <c r="AF58" s="178"/>
      <c r="AG58" s="232"/>
      <c r="AH58" s="173"/>
      <c r="AI58" s="231"/>
      <c r="AJ58" s="180"/>
      <c r="AK58" s="180"/>
      <c r="AL58" s="232"/>
      <c r="AM58" s="234"/>
      <c r="AN58" s="84"/>
      <c r="AO58" s="234"/>
      <c r="AP58" s="234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 t="shared" si="1"/>
        <v>3</v>
      </c>
      <c r="F59" s="80">
        <v>10.0</v>
      </c>
      <c r="G59" s="105">
        <f t="shared" si="2"/>
        <v>0.008613264427</v>
      </c>
      <c r="H59" s="47">
        <f>H57+G59</f>
        <v>0.1343669251</v>
      </c>
      <c r="I59" s="187">
        <f t="shared" ref="I59:I61" si="88">T59+Y59+AD59+AI59</f>
        <v>223</v>
      </c>
      <c r="J59" s="172">
        <f>J57+I59</f>
        <v>740</v>
      </c>
      <c r="K59" s="115">
        <f t="shared" si="3"/>
        <v>0.25195778</v>
      </c>
      <c r="L59" s="191">
        <f t="shared" ref="L59:L61" si="89">W59+AB59+AG59+AL59</f>
        <v>98.29</v>
      </c>
      <c r="M59" s="172">
        <f>M57+L59</f>
        <v>331.38</v>
      </c>
      <c r="N59" s="47">
        <f t="shared" si="4"/>
        <v>0.008613264427</v>
      </c>
      <c r="O59" s="47">
        <f t="shared" si="16"/>
        <v>0.1343669251</v>
      </c>
      <c r="P59" s="224"/>
      <c r="Q59" s="224"/>
      <c r="R59" s="224"/>
      <c r="S59" s="229">
        <f t="shared" ref="S59:S61" si="90">T59/$F59</f>
        <v>0.1</v>
      </c>
      <c r="T59" s="194">
        <v>1.0</v>
      </c>
      <c r="U59" s="195"/>
      <c r="V59" s="230">
        <f>Roles!$D$2</f>
        <v>0.61</v>
      </c>
      <c r="W59" s="230">
        <f t="shared" ref="W59:W61" si="91">V59*T59</f>
        <v>0.61</v>
      </c>
      <c r="X59" s="229">
        <f t="shared" ref="X59:X61" si="92">Y59/$F59</f>
        <v>18.4</v>
      </c>
      <c r="Y59" s="231">
        <f>'CD R Documentación'!$I59</f>
        <v>184</v>
      </c>
      <c r="Z59" s="195"/>
      <c r="AA59" s="195"/>
      <c r="AB59" s="232">
        <f>'CD R Documentación'!$L59</f>
        <v>80.96</v>
      </c>
      <c r="AC59" s="229">
        <f t="shared" ref="AC59:AC61" si="93">AD59/$F59</f>
        <v>3.8</v>
      </c>
      <c r="AD59" s="231">
        <f>'CD R Investigación'!$I59</f>
        <v>38</v>
      </c>
      <c r="AE59" s="195"/>
      <c r="AF59" s="195"/>
      <c r="AG59" s="232">
        <f>'CD R Investigación'!$L59</f>
        <v>16.72</v>
      </c>
      <c r="AH59" s="229">
        <f t="shared" ref="AH59:AH61" si="94">AI59/$F59</f>
        <v>0</v>
      </c>
      <c r="AI59" s="231">
        <f>'CD R Desarrollo'!$I59</f>
        <v>0</v>
      </c>
      <c r="AJ59" s="200"/>
      <c r="AK59" s="200"/>
      <c r="AL59" s="232">
        <f>'CD R Desarrollo'!$L59</f>
        <v>0</v>
      </c>
      <c r="AM59" s="234">
        <v>1.0</v>
      </c>
      <c r="AN59" s="84">
        <f>'PL Cronograma detallado'!L59*AM59</f>
        <v>34.27</v>
      </c>
      <c r="AO59" s="234">
        <f>AN59/'PL Cronograma detallado'!M$238</f>
        <v>0.05813203963</v>
      </c>
      <c r="AP59" s="234">
        <f t="shared" ref="AP59:AP61" si="95">AO59+AP58</f>
        <v>0.05813203963</v>
      </c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 t="shared" si="1"/>
        <v>2</v>
      </c>
      <c r="F60" s="80">
        <v>10.0</v>
      </c>
      <c r="G60" s="105">
        <f t="shared" si="2"/>
        <v>0.008613264427</v>
      </c>
      <c r="H60" s="47">
        <f t="shared" ref="H60:H61" si="96">H59+G60</f>
        <v>0.1429801895</v>
      </c>
      <c r="I60" s="187">
        <f t="shared" si="88"/>
        <v>89</v>
      </c>
      <c r="J60" s="172">
        <f t="shared" ref="J60:J61" si="97">J59+I60</f>
        <v>829</v>
      </c>
      <c r="K60" s="115">
        <f t="shared" si="3"/>
        <v>0.2822608104</v>
      </c>
      <c r="L60" s="191">
        <f t="shared" si="89"/>
        <v>39.33</v>
      </c>
      <c r="M60" s="172">
        <f t="shared" ref="M60:M61" si="98">M59+L60</f>
        <v>370.71</v>
      </c>
      <c r="N60" s="47">
        <f t="shared" si="4"/>
        <v>0.008613264427</v>
      </c>
      <c r="O60" s="47">
        <f t="shared" si="16"/>
        <v>0.1429801895</v>
      </c>
      <c r="P60" s="226"/>
      <c r="Q60" s="226"/>
      <c r="R60" s="226"/>
      <c r="S60" s="229">
        <f t="shared" si="90"/>
        <v>0.1</v>
      </c>
      <c r="T60" s="194">
        <v>1.0</v>
      </c>
      <c r="U60" s="195"/>
      <c r="V60" s="230">
        <f>Roles!$D$2</f>
        <v>0.61</v>
      </c>
      <c r="W60" s="230">
        <f t="shared" si="91"/>
        <v>0.61</v>
      </c>
      <c r="X60" s="229">
        <f t="shared" si="92"/>
        <v>5</v>
      </c>
      <c r="Y60" s="231">
        <f>'CD R Documentación'!$I60</f>
        <v>50</v>
      </c>
      <c r="Z60" s="195"/>
      <c r="AA60" s="195"/>
      <c r="AB60" s="232">
        <f>'CD R Documentación'!$L60</f>
        <v>22</v>
      </c>
      <c r="AC60" s="229">
        <f t="shared" si="93"/>
        <v>3.8</v>
      </c>
      <c r="AD60" s="231">
        <f>'CD R Investigación'!$I60</f>
        <v>38</v>
      </c>
      <c r="AE60" s="195"/>
      <c r="AF60" s="195"/>
      <c r="AG60" s="232">
        <f>'CD R Investigación'!$L60</f>
        <v>16.72</v>
      </c>
      <c r="AH60" s="229">
        <f t="shared" si="94"/>
        <v>0</v>
      </c>
      <c r="AI60" s="231">
        <f>'CD R Desarrollo'!$I60</f>
        <v>0</v>
      </c>
      <c r="AJ60" s="200"/>
      <c r="AK60" s="200"/>
      <c r="AL60" s="232">
        <f>'CD R Desarrollo'!$L60</f>
        <v>0</v>
      </c>
      <c r="AM60" s="234">
        <v>1.0</v>
      </c>
      <c r="AN60" s="84">
        <f>'PL Cronograma detallado'!L60*AM60</f>
        <v>13.81</v>
      </c>
      <c r="AO60" s="234">
        <f>AN60/'PL Cronograma detallado'!M$238</f>
        <v>0.02342583797</v>
      </c>
      <c r="AP60" s="234">
        <f t="shared" si="95"/>
        <v>0.0815578776</v>
      </c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 t="shared" si="1"/>
        <v>1</v>
      </c>
      <c r="F61" s="80">
        <v>2.0</v>
      </c>
      <c r="G61" s="105">
        <f t="shared" si="2"/>
        <v>0.001722652885</v>
      </c>
      <c r="H61" s="47">
        <f t="shared" si="96"/>
        <v>0.1447028424</v>
      </c>
      <c r="I61" s="187">
        <f t="shared" si="88"/>
        <v>5</v>
      </c>
      <c r="J61" s="172">
        <f t="shared" si="97"/>
        <v>834</v>
      </c>
      <c r="K61" s="115">
        <f t="shared" si="3"/>
        <v>0.2839632278</v>
      </c>
      <c r="L61" s="191">
        <f t="shared" si="89"/>
        <v>2.37</v>
      </c>
      <c r="M61" s="172">
        <f t="shared" si="98"/>
        <v>373.08</v>
      </c>
      <c r="N61" s="47">
        <f t="shared" si="4"/>
        <v>0.001722652885</v>
      </c>
      <c r="O61" s="47">
        <f t="shared" si="16"/>
        <v>0.1447028424</v>
      </c>
      <c r="P61" s="224"/>
      <c r="Q61" s="224"/>
      <c r="R61" s="224">
        <f t="shared" ref="R61:R65" si="99">M61/$L$87</f>
        <v>48.76862745</v>
      </c>
      <c r="S61" s="229">
        <f t="shared" si="90"/>
        <v>0.5</v>
      </c>
      <c r="T61" s="194">
        <v>1.0</v>
      </c>
      <c r="U61" s="195"/>
      <c r="V61" s="230">
        <f>Roles!$D$2</f>
        <v>0.61</v>
      </c>
      <c r="W61" s="230">
        <f t="shared" si="91"/>
        <v>0.61</v>
      </c>
      <c r="X61" s="229">
        <f t="shared" si="92"/>
        <v>1</v>
      </c>
      <c r="Y61" s="231">
        <f>'CD R Documentación'!$I61</f>
        <v>2</v>
      </c>
      <c r="Z61" s="195"/>
      <c r="AA61" s="230"/>
      <c r="AB61" s="232">
        <f>'CD R Documentación'!$L61</f>
        <v>0.88</v>
      </c>
      <c r="AC61" s="229">
        <f t="shared" si="93"/>
        <v>1</v>
      </c>
      <c r="AD61" s="231">
        <f>'CD R Investigación'!$I61</f>
        <v>2</v>
      </c>
      <c r="AE61" s="195"/>
      <c r="AF61" s="230"/>
      <c r="AG61" s="232">
        <f>'CD R Investigación'!$L61</f>
        <v>0.88</v>
      </c>
      <c r="AH61" s="229">
        <f t="shared" si="94"/>
        <v>0</v>
      </c>
      <c r="AI61" s="231">
        <f>'CD R Desarrollo'!$I61</f>
        <v>0</v>
      </c>
      <c r="AJ61" s="200"/>
      <c r="AK61" s="185"/>
      <c r="AL61" s="232">
        <f>'CD R Desarrollo'!$L61</f>
        <v>0</v>
      </c>
      <c r="AM61" s="234">
        <v>1.0</v>
      </c>
      <c r="AN61" s="84">
        <f>'PL Cronograma detallado'!L61*AM61</f>
        <v>1.35</v>
      </c>
      <c r="AO61" s="234">
        <f>AN61/'PL Cronograma detallado'!M$238</f>
        <v>0.002289998643</v>
      </c>
      <c r="AP61" s="234">
        <f t="shared" si="95"/>
        <v>0.08384787624</v>
      </c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 t="shared" si="1"/>
        <v>3</v>
      </c>
      <c r="F62" s="246">
        <f>SUM(F63:F65)</f>
        <v>25</v>
      </c>
      <c r="G62" s="105">
        <f t="shared" si="2"/>
        <v>0.02153316107</v>
      </c>
      <c r="H62" s="226">
        <f>H65</f>
        <v>0.1662360034</v>
      </c>
      <c r="I62" s="247">
        <f>SUM(I63:I65)</f>
        <v>100</v>
      </c>
      <c r="J62" s="247">
        <f>J65</f>
        <v>934</v>
      </c>
      <c r="K62" s="167">
        <f t="shared" si="3"/>
        <v>0.3180115764</v>
      </c>
      <c r="L62" s="247">
        <f>SUM(L63:L65)</f>
        <v>45.19</v>
      </c>
      <c r="M62" s="247">
        <f>M65</f>
        <v>418.27</v>
      </c>
      <c r="N62" s="47">
        <f t="shared" si="4"/>
        <v>0</v>
      </c>
      <c r="O62" s="47">
        <f t="shared" si="16"/>
        <v>0.1447028424</v>
      </c>
      <c r="P62" s="226"/>
      <c r="Q62" s="226"/>
      <c r="R62" s="226">
        <f t="shared" si="99"/>
        <v>54.67581699</v>
      </c>
      <c r="S62" s="264"/>
      <c r="T62" s="174"/>
      <c r="U62" s="178"/>
      <c r="V62" s="178"/>
      <c r="W62" s="178"/>
      <c r="X62" s="178"/>
      <c r="Y62" s="231"/>
      <c r="Z62" s="178"/>
      <c r="AA62" s="178"/>
      <c r="AB62" s="232"/>
      <c r="AC62" s="178"/>
      <c r="AD62" s="231"/>
      <c r="AE62" s="178"/>
      <c r="AF62" s="178"/>
      <c r="AG62" s="232"/>
      <c r="AH62" s="173"/>
      <c r="AI62" s="231"/>
      <c r="AJ62" s="180"/>
      <c r="AK62" s="180"/>
      <c r="AL62" s="232"/>
      <c r="AM62" s="234"/>
      <c r="AN62" s="84"/>
      <c r="AO62" s="234"/>
      <c r="AP62" s="234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 t="shared" si="1"/>
        <v>2</v>
      </c>
      <c r="F63" s="80">
        <v>10.0</v>
      </c>
      <c r="G63" s="105">
        <f t="shared" si="2"/>
        <v>0.008613264427</v>
      </c>
      <c r="H63" s="47">
        <f>H61+G63</f>
        <v>0.1533161068</v>
      </c>
      <c r="I63" s="187">
        <f t="shared" ref="I63:I65" si="100">T63+Y63+AD63+AI63</f>
        <v>46</v>
      </c>
      <c r="J63" s="172">
        <f>J61+I63</f>
        <v>880</v>
      </c>
      <c r="K63" s="115">
        <f t="shared" si="3"/>
        <v>0.2996254682</v>
      </c>
      <c r="L63" s="191">
        <f t="shared" ref="L63:L65" si="101">W63+AB63+AG63+AL63</f>
        <v>20.41</v>
      </c>
      <c r="M63" s="172">
        <f>M61+L63</f>
        <v>393.49</v>
      </c>
      <c r="N63" s="47">
        <f t="shared" si="4"/>
        <v>0.008613264427</v>
      </c>
      <c r="O63" s="47">
        <f t="shared" si="16"/>
        <v>0.1533161068</v>
      </c>
      <c r="P63" s="115"/>
      <c r="Q63" s="115"/>
      <c r="R63" s="115">
        <f t="shared" si="99"/>
        <v>51.43660131</v>
      </c>
      <c r="S63" s="229">
        <f t="shared" ref="S63:S65" si="102">T63/$F63</f>
        <v>0.1</v>
      </c>
      <c r="T63" s="194">
        <v>1.0</v>
      </c>
      <c r="U63" s="195"/>
      <c r="V63" s="230">
        <f>Roles!$D$2</f>
        <v>0.61</v>
      </c>
      <c r="W63" s="230">
        <f t="shared" ref="W63:W65" si="103">V63*T63</f>
        <v>0.61</v>
      </c>
      <c r="X63" s="229">
        <f t="shared" ref="X63:X65" si="104">Y63/$F63</f>
        <v>2.5</v>
      </c>
      <c r="Y63" s="231">
        <f>'CD R Documentación'!$I63</f>
        <v>25</v>
      </c>
      <c r="Z63" s="195"/>
      <c r="AA63" s="195"/>
      <c r="AB63" s="232">
        <f>'CD R Documentación'!$L63</f>
        <v>11</v>
      </c>
      <c r="AC63" s="229">
        <f t="shared" ref="AC63:AC65" si="105">AD63/$F63</f>
        <v>2</v>
      </c>
      <c r="AD63" s="231">
        <f>'CD R Investigación'!$I63</f>
        <v>20</v>
      </c>
      <c r="AE63" s="195"/>
      <c r="AF63" s="195"/>
      <c r="AG63" s="232">
        <f>'CD R Investigación'!$L63</f>
        <v>8.8</v>
      </c>
      <c r="AH63" s="229">
        <f t="shared" ref="AH63:AH65" si="106">AI63/$F63</f>
        <v>0</v>
      </c>
      <c r="AI63" s="231">
        <f>'CD R Desarrollo'!$I63</f>
        <v>0</v>
      </c>
      <c r="AJ63" s="200"/>
      <c r="AK63" s="200"/>
      <c r="AL63" s="232">
        <f>'CD R Desarrollo'!$L63</f>
        <v>0</v>
      </c>
      <c r="AM63" s="234">
        <v>1.0</v>
      </c>
      <c r="AN63" s="84">
        <f>'PL Cronograma detallado'!L63*AM63</f>
        <v>7.65</v>
      </c>
      <c r="AO63" s="234">
        <f>AN63/'PL Cronograma detallado'!M$238</f>
        <v>0.01297665898</v>
      </c>
      <c r="AP63" s="234">
        <f t="shared" ref="AP63:AP65" si="107">AO63+AP62</f>
        <v>0.01297665898</v>
      </c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 t="shared" si="1"/>
        <v>2</v>
      </c>
      <c r="F64" s="80">
        <v>10.0</v>
      </c>
      <c r="G64" s="105">
        <f t="shared" si="2"/>
        <v>0.008613264427</v>
      </c>
      <c r="H64" s="47">
        <f t="shared" ref="H64:H65" si="108">H63+G64</f>
        <v>0.1619293712</v>
      </c>
      <c r="I64" s="187">
        <f t="shared" si="100"/>
        <v>46</v>
      </c>
      <c r="J64" s="172">
        <f t="shared" ref="J64:J65" si="109">J63+I64</f>
        <v>926</v>
      </c>
      <c r="K64" s="115">
        <f t="shared" si="3"/>
        <v>0.3152877085</v>
      </c>
      <c r="L64" s="191">
        <f t="shared" si="101"/>
        <v>20.41</v>
      </c>
      <c r="M64" s="172">
        <f t="shared" ref="M64:M65" si="110">M63+L64</f>
        <v>413.9</v>
      </c>
      <c r="N64" s="47">
        <f t="shared" si="4"/>
        <v>0.008613264427</v>
      </c>
      <c r="O64" s="47">
        <f t="shared" si="16"/>
        <v>0.1619293712</v>
      </c>
      <c r="P64" s="138"/>
      <c r="Q64" s="138"/>
      <c r="R64" s="138">
        <f t="shared" si="99"/>
        <v>54.10457516</v>
      </c>
      <c r="S64" s="229">
        <f t="shared" si="102"/>
        <v>0.1</v>
      </c>
      <c r="T64" s="194">
        <v>1.0</v>
      </c>
      <c r="U64" s="195"/>
      <c r="V64" s="230">
        <f>Roles!$D$2</f>
        <v>0.61</v>
      </c>
      <c r="W64" s="230">
        <f t="shared" si="103"/>
        <v>0.61</v>
      </c>
      <c r="X64" s="229">
        <f t="shared" si="104"/>
        <v>2.5</v>
      </c>
      <c r="Y64" s="231">
        <f>'CD R Documentación'!$I64</f>
        <v>25</v>
      </c>
      <c r="Z64" s="195"/>
      <c r="AA64" s="195"/>
      <c r="AB64" s="232">
        <f>'CD R Documentación'!$L64</f>
        <v>11</v>
      </c>
      <c r="AC64" s="229">
        <f t="shared" si="105"/>
        <v>2</v>
      </c>
      <c r="AD64" s="231">
        <f>'CD R Investigación'!$I64</f>
        <v>20</v>
      </c>
      <c r="AE64" s="195"/>
      <c r="AF64" s="195"/>
      <c r="AG64" s="232">
        <f>'CD R Investigación'!$L64</f>
        <v>8.8</v>
      </c>
      <c r="AH64" s="229">
        <f t="shared" si="106"/>
        <v>0</v>
      </c>
      <c r="AI64" s="231">
        <f>'CD R Desarrollo'!$I64</f>
        <v>0</v>
      </c>
      <c r="AJ64" s="200"/>
      <c r="AK64" s="200"/>
      <c r="AL64" s="232">
        <f>'CD R Desarrollo'!$L64</f>
        <v>0</v>
      </c>
      <c r="AM64" s="234">
        <v>1.0</v>
      </c>
      <c r="AN64" s="84">
        <f>'PL Cronograma detallado'!L64*AM64</f>
        <v>7.65</v>
      </c>
      <c r="AO64" s="234">
        <f>AN64/'PL Cronograma detallado'!M$238</f>
        <v>0.01297665898</v>
      </c>
      <c r="AP64" s="234">
        <f t="shared" si="107"/>
        <v>0.02595331795</v>
      </c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 t="shared" si="1"/>
        <v>1</v>
      </c>
      <c r="F65" s="80">
        <v>5.0</v>
      </c>
      <c r="G65" s="105">
        <f t="shared" si="2"/>
        <v>0.004306632214</v>
      </c>
      <c r="H65" s="47">
        <f t="shared" si="108"/>
        <v>0.1662360034</v>
      </c>
      <c r="I65" s="187">
        <f t="shared" si="100"/>
        <v>8</v>
      </c>
      <c r="J65" s="172">
        <f t="shared" si="109"/>
        <v>934</v>
      </c>
      <c r="K65" s="115">
        <f t="shared" si="3"/>
        <v>0.3180115764</v>
      </c>
      <c r="L65" s="191">
        <f t="shared" si="101"/>
        <v>4.37</v>
      </c>
      <c r="M65" s="172">
        <f t="shared" si="110"/>
        <v>418.27</v>
      </c>
      <c r="N65" s="47">
        <f t="shared" si="4"/>
        <v>0.004306632214</v>
      </c>
      <c r="O65" s="47">
        <f t="shared" si="16"/>
        <v>0.1662360034</v>
      </c>
      <c r="P65" s="226"/>
      <c r="Q65" s="226"/>
      <c r="R65" s="226">
        <f t="shared" si="99"/>
        <v>54.67581699</v>
      </c>
      <c r="S65" s="229">
        <f t="shared" si="102"/>
        <v>1</v>
      </c>
      <c r="T65" s="194">
        <v>5.0</v>
      </c>
      <c r="U65" s="195"/>
      <c r="V65" s="230">
        <f>Roles!$D$2</f>
        <v>0.61</v>
      </c>
      <c r="W65" s="230">
        <f t="shared" si="103"/>
        <v>3.05</v>
      </c>
      <c r="X65" s="229">
        <f t="shared" si="104"/>
        <v>0</v>
      </c>
      <c r="Y65" s="231">
        <f>'CD R Documentación'!$I65</f>
        <v>0</v>
      </c>
      <c r="Z65" s="195"/>
      <c r="AA65" s="195"/>
      <c r="AB65" s="232">
        <f>'CD R Documentación'!$L65</f>
        <v>0</v>
      </c>
      <c r="AC65" s="229">
        <f t="shared" si="105"/>
        <v>0.6</v>
      </c>
      <c r="AD65" s="231">
        <f>'CD R Investigación'!$I65</f>
        <v>3</v>
      </c>
      <c r="AE65" s="195"/>
      <c r="AF65" s="195"/>
      <c r="AG65" s="232">
        <f>'CD R Investigación'!$L65</f>
        <v>1.32</v>
      </c>
      <c r="AH65" s="229">
        <f t="shared" si="106"/>
        <v>0</v>
      </c>
      <c r="AI65" s="231">
        <f>'CD R Desarrollo'!$I65</f>
        <v>0</v>
      </c>
      <c r="AJ65" s="200"/>
      <c r="AK65" s="200"/>
      <c r="AL65" s="232">
        <f>'CD R Desarrollo'!$L65</f>
        <v>0</v>
      </c>
      <c r="AM65" s="234">
        <v>1.0</v>
      </c>
      <c r="AN65" s="84">
        <f>'PL Cronograma detallado'!L65*AM65</f>
        <v>4.37</v>
      </c>
      <c r="AO65" s="234">
        <f>AN65/'PL Cronograma detallado'!M$238</f>
        <v>0.007412810422</v>
      </c>
      <c r="AP65" s="234">
        <f t="shared" si="107"/>
        <v>0.03336612838</v>
      </c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 t="shared" si="1"/>
        <v>4</v>
      </c>
      <c r="F66" s="246">
        <f>SUM(F67:F69)</f>
        <v>36</v>
      </c>
      <c r="G66" s="105">
        <f t="shared" si="2"/>
        <v>0.03100775194</v>
      </c>
      <c r="H66" s="226">
        <f>H69</f>
        <v>0.1972437554</v>
      </c>
      <c r="I66" s="247">
        <f>SUM(I67:I69)</f>
        <v>131</v>
      </c>
      <c r="J66" s="247">
        <f>J69</f>
        <v>1065</v>
      </c>
      <c r="K66" s="167">
        <f t="shared" si="3"/>
        <v>0.3626149132</v>
      </c>
      <c r="L66" s="247">
        <f>SUM(L67:L69)</f>
        <v>58.15</v>
      </c>
      <c r="M66" s="247">
        <f>M69</f>
        <v>476.42</v>
      </c>
      <c r="N66" s="47">
        <f t="shared" si="4"/>
        <v>0</v>
      </c>
      <c r="O66" s="47">
        <f t="shared" si="16"/>
        <v>0.1662360034</v>
      </c>
      <c r="P66" s="226"/>
      <c r="Q66" s="226"/>
      <c r="R66" s="226"/>
      <c r="S66" s="264"/>
      <c r="T66" s="174"/>
      <c r="U66" s="178"/>
      <c r="V66" s="178"/>
      <c r="W66" s="178"/>
      <c r="X66" s="178"/>
      <c r="Y66" s="231"/>
      <c r="Z66" s="178"/>
      <c r="AA66" s="178"/>
      <c r="AB66" s="232"/>
      <c r="AC66" s="178"/>
      <c r="AD66" s="231"/>
      <c r="AE66" s="178"/>
      <c r="AF66" s="178"/>
      <c r="AG66" s="232"/>
      <c r="AH66" s="173"/>
      <c r="AI66" s="231"/>
      <c r="AJ66" s="180"/>
      <c r="AK66" s="180"/>
      <c r="AL66" s="232"/>
      <c r="AM66" s="234"/>
      <c r="AN66" s="84"/>
      <c r="AO66" s="234"/>
      <c r="AP66" s="234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 t="shared" si="1"/>
        <v>2</v>
      </c>
      <c r="F67" s="80">
        <v>15.0</v>
      </c>
      <c r="G67" s="105">
        <f t="shared" si="2"/>
        <v>0.01291989664</v>
      </c>
      <c r="H67" s="47">
        <f>H65+G67</f>
        <v>0.1791559001</v>
      </c>
      <c r="I67" s="187">
        <f t="shared" ref="I67:I69" si="111">T67+Y67+AD67+AI67</f>
        <v>17</v>
      </c>
      <c r="J67" s="172">
        <f>J65+I67</f>
        <v>951</v>
      </c>
      <c r="K67" s="115">
        <f t="shared" si="3"/>
        <v>0.3237997957</v>
      </c>
      <c r="L67" s="191">
        <f t="shared" ref="L67:L69" si="112">W67+AB67+AG67+AL67</f>
        <v>7.65</v>
      </c>
      <c r="M67" s="172">
        <f>M65+L67</f>
        <v>425.92</v>
      </c>
      <c r="N67" s="47">
        <f t="shared" si="4"/>
        <v>0.01291989664</v>
      </c>
      <c r="O67" s="47">
        <f t="shared" si="16"/>
        <v>0.1791559001</v>
      </c>
      <c r="P67" s="47"/>
      <c r="Q67" s="47"/>
      <c r="R67" s="47">
        <f t="shared" ref="R67:R68" si="113">M67/$L$87</f>
        <v>55.67581699</v>
      </c>
      <c r="S67" s="229">
        <f t="shared" ref="S67:S69" si="114">T67/$F67</f>
        <v>0.06666666667</v>
      </c>
      <c r="T67" s="194">
        <v>1.0</v>
      </c>
      <c r="U67" s="195"/>
      <c r="V67" s="230">
        <f>Roles!$D$2</f>
        <v>0.61</v>
      </c>
      <c r="W67" s="230">
        <f t="shared" ref="W67:W69" si="115">V67*T67</f>
        <v>0.61</v>
      </c>
      <c r="X67" s="229">
        <f t="shared" ref="X67:X69" si="116">Y67/$F67</f>
        <v>0</v>
      </c>
      <c r="Y67" s="231">
        <f>'CD R Documentación'!$I67</f>
        <v>0</v>
      </c>
      <c r="Z67" s="195"/>
      <c r="AA67" s="195"/>
      <c r="AB67" s="232">
        <f>'CD R Documentación'!$L67</f>
        <v>0</v>
      </c>
      <c r="AC67" s="229">
        <f t="shared" ref="AC67:AC69" si="117">AD67/$F67</f>
        <v>0.06666666667</v>
      </c>
      <c r="AD67" s="231">
        <f>'CD R Investigación'!$I67</f>
        <v>1</v>
      </c>
      <c r="AE67" s="195"/>
      <c r="AF67" s="195"/>
      <c r="AG67" s="232">
        <f>'CD R Investigación'!$L67</f>
        <v>0.44</v>
      </c>
      <c r="AH67" s="229">
        <f t="shared" ref="AH67:AH69" si="118">AI67/$F67</f>
        <v>1</v>
      </c>
      <c r="AI67" s="231">
        <f>'CD R Desarrollo'!$I67</f>
        <v>15</v>
      </c>
      <c r="AJ67" s="200"/>
      <c r="AK67" s="200"/>
      <c r="AL67" s="232">
        <f>'CD R Desarrollo'!$L67</f>
        <v>6.6</v>
      </c>
      <c r="AM67" s="234">
        <v>1.0</v>
      </c>
      <c r="AN67" s="84">
        <f>'PL Cronograma detallado'!L67*AM67</f>
        <v>3.57</v>
      </c>
      <c r="AO67" s="234">
        <f>AN67/'PL Cronograma detallado'!M$238</f>
        <v>0.006055774189</v>
      </c>
      <c r="AP67" s="234">
        <f t="shared" ref="AP67:AP69" si="119">AO67+AP66</f>
        <v>0.006055774189</v>
      </c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 t="shared" si="1"/>
        <v>2</v>
      </c>
      <c r="F68" s="80">
        <v>10.0</v>
      </c>
      <c r="G68" s="105">
        <f t="shared" si="2"/>
        <v>0.008613264427</v>
      </c>
      <c r="H68" s="47">
        <f t="shared" ref="H68:H69" si="120">H67+G68</f>
        <v>0.1877691645</v>
      </c>
      <c r="I68" s="187">
        <f t="shared" si="111"/>
        <v>103</v>
      </c>
      <c r="J68" s="172">
        <f t="shared" ref="J68:J69" si="121">J67+I68</f>
        <v>1054</v>
      </c>
      <c r="K68" s="115">
        <f t="shared" si="3"/>
        <v>0.3588695948</v>
      </c>
      <c r="L68" s="191">
        <f t="shared" si="112"/>
        <v>45.49</v>
      </c>
      <c r="M68" s="172">
        <f t="shared" ref="M68:M69" si="122">M67+L68</f>
        <v>471.41</v>
      </c>
      <c r="N68" s="47">
        <f t="shared" si="4"/>
        <v>0.008613264427</v>
      </c>
      <c r="O68" s="47">
        <f t="shared" si="16"/>
        <v>0.1877691645</v>
      </c>
      <c r="P68" s="226"/>
      <c r="Q68" s="226"/>
      <c r="R68" s="226">
        <f t="shared" si="113"/>
        <v>61.62222222</v>
      </c>
      <c r="S68" s="229">
        <f t="shared" si="114"/>
        <v>0.1</v>
      </c>
      <c r="T68" s="194">
        <v>1.0</v>
      </c>
      <c r="U68" s="195"/>
      <c r="V68" s="230">
        <f>Roles!$D$2</f>
        <v>0.61</v>
      </c>
      <c r="W68" s="230">
        <f t="shared" si="115"/>
        <v>0.61</v>
      </c>
      <c r="X68" s="229">
        <f t="shared" si="116"/>
        <v>9</v>
      </c>
      <c r="Y68" s="231">
        <f>'CD R Documentación'!$I68</f>
        <v>90</v>
      </c>
      <c r="Z68" s="195"/>
      <c r="AA68" s="195"/>
      <c r="AB68" s="232">
        <f>'CD R Documentación'!$L68</f>
        <v>39.6</v>
      </c>
      <c r="AC68" s="229">
        <f t="shared" si="117"/>
        <v>0</v>
      </c>
      <c r="AD68" s="231">
        <f>'CD R Investigación'!$I68</f>
        <v>0</v>
      </c>
      <c r="AE68" s="195"/>
      <c r="AF68" s="195"/>
      <c r="AG68" s="232">
        <f>'CD R Investigación'!$L68</f>
        <v>0</v>
      </c>
      <c r="AH68" s="229">
        <f t="shared" si="118"/>
        <v>1.2</v>
      </c>
      <c r="AI68" s="231">
        <f>'CD R Desarrollo'!$I68</f>
        <v>12</v>
      </c>
      <c r="AJ68" s="195"/>
      <c r="AK68" s="200"/>
      <c r="AL68" s="232">
        <f>'CD R Desarrollo'!$L68</f>
        <v>5.28</v>
      </c>
      <c r="AM68" s="234">
        <v>1.0</v>
      </c>
      <c r="AN68" s="84">
        <f>'PL Cronograma detallado'!L68*AM68</f>
        <v>15.84</v>
      </c>
      <c r="AO68" s="234">
        <f>AN68/'PL Cronograma detallado'!M$238</f>
        <v>0.02686931741</v>
      </c>
      <c r="AP68" s="234">
        <f t="shared" si="119"/>
        <v>0.0329250916</v>
      </c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 t="shared" si="1"/>
        <v>2</v>
      </c>
      <c r="F69" s="80">
        <v>11.0</v>
      </c>
      <c r="G69" s="105">
        <f t="shared" si="2"/>
        <v>0.00947459087</v>
      </c>
      <c r="H69" s="47">
        <f t="shared" si="120"/>
        <v>0.1972437554</v>
      </c>
      <c r="I69" s="187">
        <f t="shared" si="111"/>
        <v>11</v>
      </c>
      <c r="J69" s="172">
        <f t="shared" si="121"/>
        <v>1065</v>
      </c>
      <c r="K69" s="115">
        <f t="shared" si="3"/>
        <v>0.3626149132</v>
      </c>
      <c r="L69" s="191">
        <f t="shared" si="112"/>
        <v>5.01</v>
      </c>
      <c r="M69" s="172">
        <f t="shared" si="122"/>
        <v>476.42</v>
      </c>
      <c r="N69" s="47">
        <f t="shared" si="4"/>
        <v>0.00947459087</v>
      </c>
      <c r="O69" s="47">
        <f t="shared" si="16"/>
        <v>0.1972437554</v>
      </c>
      <c r="P69" s="226"/>
      <c r="Q69" s="226"/>
      <c r="R69" s="226"/>
      <c r="S69" s="229">
        <f t="shared" si="114"/>
        <v>0.09090909091</v>
      </c>
      <c r="T69" s="194">
        <v>1.0</v>
      </c>
      <c r="U69" s="195"/>
      <c r="V69" s="230">
        <f>Roles!$D$2</f>
        <v>0.61</v>
      </c>
      <c r="W69" s="230">
        <f t="shared" si="115"/>
        <v>0.61</v>
      </c>
      <c r="X69" s="229">
        <f t="shared" si="116"/>
        <v>0</v>
      </c>
      <c r="Y69" s="231">
        <f>'CD R Documentación'!$I69</f>
        <v>0</v>
      </c>
      <c r="Z69" s="195"/>
      <c r="AA69" s="195"/>
      <c r="AB69" s="232">
        <f>'CD R Documentación'!$L69</f>
        <v>0</v>
      </c>
      <c r="AC69" s="229">
        <f t="shared" si="117"/>
        <v>0</v>
      </c>
      <c r="AD69" s="231">
        <f>'CD R Investigación'!$I69</f>
        <v>0</v>
      </c>
      <c r="AE69" s="195"/>
      <c r="AF69" s="195"/>
      <c r="AG69" s="232">
        <f>'CD R Investigación'!$L69</f>
        <v>0</v>
      </c>
      <c r="AH69" s="229">
        <f t="shared" si="118"/>
        <v>0.9090909091</v>
      </c>
      <c r="AI69" s="231">
        <f>'CD R Desarrollo'!$I69</f>
        <v>10</v>
      </c>
      <c r="AJ69" s="195"/>
      <c r="AK69" s="200"/>
      <c r="AL69" s="232">
        <f>'CD R Desarrollo'!$L69</f>
        <v>4.4</v>
      </c>
      <c r="AM69" s="234">
        <v>1.0</v>
      </c>
      <c r="AN69" s="84">
        <f>'PL Cronograma detallado'!L69*AM69</f>
        <v>2.29</v>
      </c>
      <c r="AO69" s="234">
        <f>AN69/'PL Cronograma detallado'!M$238</f>
        <v>0.003884516217</v>
      </c>
      <c r="AP69" s="234">
        <f t="shared" si="119"/>
        <v>0.03680960782</v>
      </c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 t="shared" si="1"/>
        <v>6</v>
      </c>
      <c r="F70" s="246">
        <f>SUM(F71:F73)</f>
        <v>40</v>
      </c>
      <c r="G70" s="105">
        <f t="shared" si="2"/>
        <v>0.03445305771</v>
      </c>
      <c r="H70" s="226">
        <f>H73</f>
        <v>0.2316968131</v>
      </c>
      <c r="I70" s="247">
        <f>SUM(I71:I73)</f>
        <v>46</v>
      </c>
      <c r="J70" s="247">
        <f>J73</f>
        <v>1111</v>
      </c>
      <c r="K70" s="167">
        <f t="shared" si="3"/>
        <v>0.3782771536</v>
      </c>
      <c r="L70" s="247">
        <f>SUM(L71:L73)</f>
        <v>20.75</v>
      </c>
      <c r="M70" s="247">
        <f>M73</f>
        <v>497.17</v>
      </c>
      <c r="N70" s="47">
        <f t="shared" si="4"/>
        <v>0</v>
      </c>
      <c r="O70" s="47">
        <f t="shared" si="16"/>
        <v>0.1972437554</v>
      </c>
      <c r="P70" s="47"/>
      <c r="Q70" s="47"/>
      <c r="R70" s="47">
        <f t="shared" ref="R70:R71" si="123">M70/$L$87</f>
        <v>64.98954248</v>
      </c>
      <c r="S70" s="264"/>
      <c r="T70" s="174"/>
      <c r="U70" s="178"/>
      <c r="V70" s="178"/>
      <c r="W70" s="178"/>
      <c r="X70" s="178"/>
      <c r="Y70" s="231"/>
      <c r="Z70" s="178"/>
      <c r="AA70" s="178"/>
      <c r="AB70" s="232"/>
      <c r="AC70" s="178"/>
      <c r="AD70" s="231"/>
      <c r="AE70" s="178"/>
      <c r="AF70" s="178"/>
      <c r="AG70" s="232"/>
      <c r="AH70" s="173"/>
      <c r="AI70" s="231"/>
      <c r="AJ70" s="180"/>
      <c r="AK70" s="180"/>
      <c r="AL70" s="232"/>
      <c r="AM70" s="234"/>
      <c r="AN70" s="84"/>
      <c r="AO70" s="234"/>
      <c r="AP70" s="234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 t="shared" si="1"/>
        <v>3</v>
      </c>
      <c r="F71" s="80">
        <v>15.0</v>
      </c>
      <c r="G71" s="105">
        <f t="shared" si="2"/>
        <v>0.01291989664</v>
      </c>
      <c r="H71" s="47">
        <f>H69+G71</f>
        <v>0.210163652</v>
      </c>
      <c r="I71" s="187">
        <f t="shared" ref="I71:I73" si="124">T71+Y71+AD71+AI71</f>
        <v>19</v>
      </c>
      <c r="J71" s="172">
        <f>J69+I71</f>
        <v>1084</v>
      </c>
      <c r="K71" s="115">
        <f t="shared" si="3"/>
        <v>0.3690840994</v>
      </c>
      <c r="L71" s="191">
        <f t="shared" ref="L71:L73" si="125">W71+AB71+AG71+AL71</f>
        <v>8.53</v>
      </c>
      <c r="M71" s="172">
        <f>M69+L71</f>
        <v>484.95</v>
      </c>
      <c r="N71" s="47">
        <f t="shared" si="4"/>
        <v>0.01291989664</v>
      </c>
      <c r="O71" s="47">
        <f t="shared" si="16"/>
        <v>0.210163652</v>
      </c>
      <c r="P71" s="226"/>
      <c r="Q71" s="226"/>
      <c r="R71" s="226">
        <f t="shared" si="123"/>
        <v>63.39215686</v>
      </c>
      <c r="S71" s="229">
        <f t="shared" ref="S71:S73" si="126">T71/$F71</f>
        <v>0.06666666667</v>
      </c>
      <c r="T71" s="194">
        <v>1.0</v>
      </c>
      <c r="U71" s="195"/>
      <c r="V71" s="230">
        <f>Roles!$D$2</f>
        <v>0.61</v>
      </c>
      <c r="W71" s="230">
        <f t="shared" ref="W71:W73" si="127">V71*T71</f>
        <v>0.61</v>
      </c>
      <c r="X71" s="229">
        <f t="shared" ref="X71:X73" si="128">Y71/$F71</f>
        <v>0</v>
      </c>
      <c r="Y71" s="231">
        <f>'CD R Documentación'!$I71</f>
        <v>0</v>
      </c>
      <c r="Z71" s="195"/>
      <c r="AA71" s="195"/>
      <c r="AB71" s="232">
        <f>'CD R Documentación'!$L71</f>
        <v>0</v>
      </c>
      <c r="AC71" s="229">
        <f t="shared" ref="AC71:AC73" si="129">AD71/$F71</f>
        <v>0</v>
      </c>
      <c r="AD71" s="231">
        <f>'CD R Investigación'!$I71</f>
        <v>0</v>
      </c>
      <c r="AE71" s="195"/>
      <c r="AF71" s="195"/>
      <c r="AG71" s="232">
        <f>'CD R Investigación'!$L71</f>
        <v>0</v>
      </c>
      <c r="AH71" s="229">
        <f t="shared" ref="AH71:AH73" si="130">AI71/$F71</f>
        <v>1.2</v>
      </c>
      <c r="AI71" s="231">
        <f>'CD R Desarrollo'!$I71</f>
        <v>18</v>
      </c>
      <c r="AJ71" s="200"/>
      <c r="AK71" s="200"/>
      <c r="AL71" s="232">
        <f>'CD R Desarrollo'!$L71</f>
        <v>7.92</v>
      </c>
      <c r="AM71" s="234">
        <v>1.0</v>
      </c>
      <c r="AN71" s="84">
        <f>'PL Cronograma detallado'!L71*AM71</f>
        <v>3.43</v>
      </c>
      <c r="AO71" s="234">
        <f>AN71/'PL Cronograma detallado'!M$238</f>
        <v>0.005818292848</v>
      </c>
      <c r="AP71" s="234">
        <f t="shared" ref="AP71:AP73" si="131">AO71+AP70</f>
        <v>0.005818292848</v>
      </c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 t="shared" si="1"/>
        <v>2</v>
      </c>
      <c r="F72" s="80">
        <v>15.0</v>
      </c>
      <c r="G72" s="105">
        <f t="shared" si="2"/>
        <v>0.01291989664</v>
      </c>
      <c r="H72" s="47">
        <f t="shared" ref="H72:H73" si="132">H71+G72</f>
        <v>0.2230835487</v>
      </c>
      <c r="I72" s="187">
        <f t="shared" si="124"/>
        <v>16</v>
      </c>
      <c r="J72" s="172">
        <f t="shared" ref="J72:J73" si="133">J71+I72</f>
        <v>1100</v>
      </c>
      <c r="K72" s="115">
        <f t="shared" si="3"/>
        <v>0.3745318352</v>
      </c>
      <c r="L72" s="191">
        <f t="shared" si="125"/>
        <v>7.21</v>
      </c>
      <c r="M72" s="172">
        <f t="shared" ref="M72:M73" si="134">M71+L72</f>
        <v>492.16</v>
      </c>
      <c r="N72" s="47">
        <f t="shared" si="4"/>
        <v>0.01291989664</v>
      </c>
      <c r="O72" s="47">
        <f t="shared" si="16"/>
        <v>0.2230835487</v>
      </c>
      <c r="P72" s="115"/>
      <c r="Q72" s="115"/>
      <c r="R72" s="115"/>
      <c r="S72" s="229">
        <f t="shared" si="126"/>
        <v>0.06666666667</v>
      </c>
      <c r="T72" s="194">
        <v>1.0</v>
      </c>
      <c r="U72" s="195"/>
      <c r="V72" s="230">
        <f>Roles!$D$2</f>
        <v>0.61</v>
      </c>
      <c r="W72" s="230">
        <f t="shared" si="127"/>
        <v>0.61</v>
      </c>
      <c r="X72" s="229">
        <f t="shared" si="128"/>
        <v>0</v>
      </c>
      <c r="Y72" s="231">
        <f>'CD R Documentación'!$I72</f>
        <v>0</v>
      </c>
      <c r="Z72" s="195"/>
      <c r="AA72" s="195"/>
      <c r="AB72" s="232">
        <f>'CD R Documentación'!$L72</f>
        <v>0</v>
      </c>
      <c r="AC72" s="229">
        <f t="shared" si="129"/>
        <v>0</v>
      </c>
      <c r="AD72" s="231">
        <f>'CD R Investigación'!$I72</f>
        <v>0</v>
      </c>
      <c r="AE72" s="195"/>
      <c r="AF72" s="195"/>
      <c r="AG72" s="232">
        <f>'CD R Investigación'!$L72</f>
        <v>0</v>
      </c>
      <c r="AH72" s="229">
        <f t="shared" si="130"/>
        <v>1</v>
      </c>
      <c r="AI72" s="231">
        <f>'CD R Desarrollo'!$I72</f>
        <v>15</v>
      </c>
      <c r="AJ72" s="200"/>
      <c r="AK72" s="200"/>
      <c r="AL72" s="232">
        <f>'CD R Desarrollo'!$L72</f>
        <v>6.6</v>
      </c>
      <c r="AM72" s="234">
        <v>1.0</v>
      </c>
      <c r="AN72" s="84">
        <f>'PL Cronograma detallado'!L72*AM72</f>
        <v>3.13</v>
      </c>
      <c r="AO72" s="234">
        <f>AN72/'PL Cronograma detallado'!M$238</f>
        <v>0.005309404261</v>
      </c>
      <c r="AP72" s="234">
        <f t="shared" si="131"/>
        <v>0.01112769711</v>
      </c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 t="shared" si="1"/>
        <v>1</v>
      </c>
      <c r="F73" s="80">
        <v>10.0</v>
      </c>
      <c r="G73" s="105">
        <f t="shared" si="2"/>
        <v>0.008613264427</v>
      </c>
      <c r="H73" s="47">
        <f t="shared" si="132"/>
        <v>0.2316968131</v>
      </c>
      <c r="I73" s="187">
        <f t="shared" si="124"/>
        <v>11</v>
      </c>
      <c r="J73" s="172">
        <f t="shared" si="133"/>
        <v>1111</v>
      </c>
      <c r="K73" s="115">
        <f t="shared" si="3"/>
        <v>0.3782771536</v>
      </c>
      <c r="L73" s="191">
        <f t="shared" si="125"/>
        <v>5.01</v>
      </c>
      <c r="M73" s="172">
        <f t="shared" si="134"/>
        <v>497.17</v>
      </c>
      <c r="N73" s="47">
        <f t="shared" si="4"/>
        <v>0.008613264427</v>
      </c>
      <c r="O73" s="47">
        <f t="shared" si="16"/>
        <v>0.2316968131</v>
      </c>
      <c r="P73" s="167"/>
      <c r="Q73" s="167"/>
      <c r="R73" s="167"/>
      <c r="S73" s="229">
        <f t="shared" si="126"/>
        <v>0.1</v>
      </c>
      <c r="T73" s="194">
        <v>1.0</v>
      </c>
      <c r="U73" s="195"/>
      <c r="V73" s="230">
        <f>Roles!$D$2</f>
        <v>0.61</v>
      </c>
      <c r="W73" s="230">
        <f t="shared" si="127"/>
        <v>0.61</v>
      </c>
      <c r="X73" s="229">
        <f t="shared" si="128"/>
        <v>0</v>
      </c>
      <c r="Y73" s="231">
        <f>'CD R Documentación'!$I73</f>
        <v>0</v>
      </c>
      <c r="Z73" s="195"/>
      <c r="AA73" s="195"/>
      <c r="AB73" s="232">
        <f>'CD R Documentación'!$L73</f>
        <v>0</v>
      </c>
      <c r="AC73" s="229">
        <f t="shared" si="129"/>
        <v>0</v>
      </c>
      <c r="AD73" s="231">
        <f>'CD R Investigación'!$I73</f>
        <v>0</v>
      </c>
      <c r="AE73" s="195"/>
      <c r="AF73" s="195"/>
      <c r="AG73" s="232">
        <f>'CD R Investigación'!$L73</f>
        <v>0</v>
      </c>
      <c r="AH73" s="229">
        <f t="shared" si="130"/>
        <v>1</v>
      </c>
      <c r="AI73" s="231">
        <f>'CD R Desarrollo'!$I73</f>
        <v>10</v>
      </c>
      <c r="AJ73" s="200"/>
      <c r="AK73" s="200"/>
      <c r="AL73" s="232">
        <f>'CD R Desarrollo'!$L73</f>
        <v>4.4</v>
      </c>
      <c r="AM73" s="234">
        <v>1.0</v>
      </c>
      <c r="AN73" s="84">
        <f>'PL Cronograma detallado'!L73*AM73</f>
        <v>2.29</v>
      </c>
      <c r="AO73" s="234">
        <f>AN73/'PL Cronograma detallado'!M$238</f>
        <v>0.003884516217</v>
      </c>
      <c r="AP73" s="234">
        <f t="shared" si="131"/>
        <v>0.01501221333</v>
      </c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 t="shared" si="1"/>
        <v>3</v>
      </c>
      <c r="F74" s="246">
        <f>SUM(F75:F78)</f>
        <v>32</v>
      </c>
      <c r="G74" s="105">
        <f t="shared" si="2"/>
        <v>0.02756244617</v>
      </c>
      <c r="H74" s="226">
        <f>H78</f>
        <v>0.2592592593</v>
      </c>
      <c r="I74" s="247">
        <f>SUM(I75:I78)</f>
        <v>108</v>
      </c>
      <c r="J74" s="247">
        <f>J78</f>
        <v>1219</v>
      </c>
      <c r="K74" s="167">
        <f t="shared" si="3"/>
        <v>0.4150493701</v>
      </c>
      <c r="L74" s="247">
        <f>SUM(L75:L78)</f>
        <v>48.37</v>
      </c>
      <c r="M74" s="247">
        <f>M78</f>
        <v>545.54</v>
      </c>
      <c r="N74" s="47">
        <f t="shared" si="4"/>
        <v>0</v>
      </c>
      <c r="O74" s="47">
        <f t="shared" si="16"/>
        <v>0.2316968131</v>
      </c>
      <c r="P74" s="115"/>
      <c r="Q74" s="115"/>
      <c r="R74" s="115"/>
      <c r="S74" s="264"/>
      <c r="T74" s="174"/>
      <c r="U74" s="178"/>
      <c r="V74" s="178"/>
      <c r="W74" s="178"/>
      <c r="X74" s="178"/>
      <c r="Y74" s="231"/>
      <c r="Z74" s="178"/>
      <c r="AA74" s="178"/>
      <c r="AB74" s="232"/>
      <c r="AC74" s="178"/>
      <c r="AD74" s="231"/>
      <c r="AE74" s="178"/>
      <c r="AF74" s="178"/>
      <c r="AG74" s="232"/>
      <c r="AH74" s="178"/>
      <c r="AI74" s="231"/>
      <c r="AJ74" s="178"/>
      <c r="AK74" s="180"/>
      <c r="AL74" s="232"/>
      <c r="AM74" s="234"/>
      <c r="AN74" s="84"/>
      <c r="AO74" s="234"/>
      <c r="AP74" s="234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 t="shared" si="1"/>
        <v>2</v>
      </c>
      <c r="F75" s="80">
        <v>4.0</v>
      </c>
      <c r="G75" s="105">
        <f t="shared" si="2"/>
        <v>0.003445305771</v>
      </c>
      <c r="H75" s="47">
        <f>H73+G75</f>
        <v>0.2351421189</v>
      </c>
      <c r="I75" s="187">
        <f t="shared" ref="I75:I78" si="135">T75+Y75+AD75+AI75</f>
        <v>11</v>
      </c>
      <c r="J75" s="172">
        <f>J73+I75</f>
        <v>1122</v>
      </c>
      <c r="K75" s="115">
        <f t="shared" si="3"/>
        <v>0.3820224719</v>
      </c>
      <c r="L75" s="191">
        <f t="shared" ref="L75:L78" si="136">W75+AB75+AG75+AL75</f>
        <v>5.01</v>
      </c>
      <c r="M75" s="172">
        <f>M73+L75</f>
        <v>502.18</v>
      </c>
      <c r="N75" s="47">
        <f t="shared" si="4"/>
        <v>0.003445305771</v>
      </c>
      <c r="O75" s="47">
        <f t="shared" si="16"/>
        <v>0.2351421189</v>
      </c>
      <c r="P75" s="138"/>
      <c r="Q75" s="138"/>
      <c r="R75" s="138">
        <f t="shared" ref="R75:R76" si="137">M75/$L$87</f>
        <v>65.64444444</v>
      </c>
      <c r="S75" s="229">
        <f t="shared" ref="S75:S78" si="138">T75/$F75</f>
        <v>0.25</v>
      </c>
      <c r="T75" s="194">
        <v>1.0</v>
      </c>
      <c r="U75" s="195"/>
      <c r="V75" s="230">
        <f>Roles!$D$2</f>
        <v>0.61</v>
      </c>
      <c r="W75" s="230">
        <f t="shared" ref="W75:W78" si="139">V75*T75</f>
        <v>0.61</v>
      </c>
      <c r="X75" s="229">
        <f t="shared" ref="X75:X78" si="140">Y75/$F75</f>
        <v>2</v>
      </c>
      <c r="Y75" s="231">
        <f>'CD R Documentación'!$I75</f>
        <v>8</v>
      </c>
      <c r="Z75" s="195"/>
      <c r="AA75" s="230"/>
      <c r="AB75" s="232">
        <f>'CD R Documentación'!$L75</f>
        <v>3.52</v>
      </c>
      <c r="AC75" s="229">
        <f t="shared" ref="AC75:AC78" si="141">AD75/$F75</f>
        <v>0.5</v>
      </c>
      <c r="AD75" s="231">
        <f>'CD R Investigación'!$I75</f>
        <v>2</v>
      </c>
      <c r="AE75" s="195"/>
      <c r="AF75" s="230"/>
      <c r="AG75" s="232">
        <f>'CD R Investigación'!$L75</f>
        <v>0.88</v>
      </c>
      <c r="AH75" s="229">
        <f t="shared" ref="AH75:AH78" si="142">AI75/$F75</f>
        <v>0</v>
      </c>
      <c r="AI75" s="231">
        <f>'CD R Desarrollo'!$I75</f>
        <v>0</v>
      </c>
      <c r="AJ75" s="200"/>
      <c r="AK75" s="185"/>
      <c r="AL75" s="232">
        <f>'CD R Desarrollo'!$L75</f>
        <v>0</v>
      </c>
      <c r="AM75" s="234">
        <v>1.0</v>
      </c>
      <c r="AN75" s="84">
        <f>'PL Cronograma detallado'!L75*AM75</f>
        <v>2.37</v>
      </c>
      <c r="AO75" s="234">
        <f>AN75/'PL Cronograma detallado'!M$238</f>
        <v>0.00402021984</v>
      </c>
      <c r="AP75" s="234">
        <f t="shared" ref="AP75:AP78" si="143">AO75+AP74</f>
        <v>0.00402021984</v>
      </c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 t="shared" si="1"/>
        <v>2</v>
      </c>
      <c r="F76" s="80">
        <v>15.0</v>
      </c>
      <c r="G76" s="105">
        <f t="shared" si="2"/>
        <v>0.01291989664</v>
      </c>
      <c r="H76" s="47">
        <f t="shared" ref="H76:H79" si="144">H75+G76</f>
        <v>0.2480620155</v>
      </c>
      <c r="I76" s="187">
        <f t="shared" si="135"/>
        <v>49</v>
      </c>
      <c r="J76" s="172">
        <f t="shared" ref="J76:J79" si="145">J75+I76</f>
        <v>1171</v>
      </c>
      <c r="K76" s="115">
        <f t="shared" si="3"/>
        <v>0.3987061628</v>
      </c>
      <c r="L76" s="191">
        <f t="shared" si="136"/>
        <v>21.73</v>
      </c>
      <c r="M76" s="172">
        <f t="shared" ref="M76:M79" si="146">M75+L76</f>
        <v>523.91</v>
      </c>
      <c r="N76" s="47">
        <f t="shared" si="4"/>
        <v>0.01291989664</v>
      </c>
      <c r="O76" s="47">
        <f t="shared" si="16"/>
        <v>0.2480620155</v>
      </c>
      <c r="P76" s="226"/>
      <c r="Q76" s="226"/>
      <c r="R76" s="226">
        <f t="shared" si="137"/>
        <v>68.48496732</v>
      </c>
      <c r="S76" s="229">
        <f t="shared" si="138"/>
        <v>0.06666666667</v>
      </c>
      <c r="T76" s="194">
        <v>1.0</v>
      </c>
      <c r="U76" s="195"/>
      <c r="V76" s="230">
        <f>Roles!$D$2</f>
        <v>0.61</v>
      </c>
      <c r="W76" s="230">
        <f t="shared" si="139"/>
        <v>0.61</v>
      </c>
      <c r="X76" s="229">
        <f t="shared" si="140"/>
        <v>3.2</v>
      </c>
      <c r="Y76" s="231">
        <f>'CD R Documentación'!$I76</f>
        <v>48</v>
      </c>
      <c r="Z76" s="195"/>
      <c r="AA76" s="195"/>
      <c r="AB76" s="232">
        <f>'CD R Documentación'!$L76</f>
        <v>21.12</v>
      </c>
      <c r="AC76" s="229">
        <f t="shared" si="141"/>
        <v>0</v>
      </c>
      <c r="AD76" s="231">
        <f>'CD R Investigación'!$I76</f>
        <v>0</v>
      </c>
      <c r="AE76" s="195"/>
      <c r="AF76" s="195"/>
      <c r="AG76" s="232">
        <f>'CD R Investigación'!$L76</f>
        <v>0</v>
      </c>
      <c r="AH76" s="229">
        <f t="shared" si="142"/>
        <v>0</v>
      </c>
      <c r="AI76" s="231">
        <f>'CD R Desarrollo'!$I76</f>
        <v>0</v>
      </c>
      <c r="AJ76" s="200"/>
      <c r="AK76" s="200"/>
      <c r="AL76" s="232">
        <f>'CD R Desarrollo'!$L76</f>
        <v>0</v>
      </c>
      <c r="AM76" s="234">
        <v>1.0</v>
      </c>
      <c r="AN76" s="84">
        <f>'PL Cronograma detallado'!L76*AM76</f>
        <v>7.73</v>
      </c>
      <c r="AO76" s="234">
        <f>AN76/'PL Cronograma detallado'!M$238</f>
        <v>0.0131123626</v>
      </c>
      <c r="AP76" s="234">
        <f t="shared" si="143"/>
        <v>0.01713258244</v>
      </c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 t="shared" si="1"/>
        <v>1</v>
      </c>
      <c r="F77" s="80">
        <v>3.0</v>
      </c>
      <c r="G77" s="105">
        <f t="shared" si="2"/>
        <v>0.002583979328</v>
      </c>
      <c r="H77" s="47">
        <f t="shared" si="144"/>
        <v>0.2506459948</v>
      </c>
      <c r="I77" s="187">
        <f t="shared" si="135"/>
        <v>5</v>
      </c>
      <c r="J77" s="172">
        <f t="shared" si="145"/>
        <v>1176</v>
      </c>
      <c r="K77" s="115">
        <f t="shared" si="3"/>
        <v>0.4004085802</v>
      </c>
      <c r="L77" s="191">
        <f t="shared" si="136"/>
        <v>2.54</v>
      </c>
      <c r="M77" s="172">
        <f t="shared" si="146"/>
        <v>526.45</v>
      </c>
      <c r="N77" s="47">
        <f t="shared" si="4"/>
        <v>0.002583979328</v>
      </c>
      <c r="O77" s="47">
        <f t="shared" si="16"/>
        <v>0.2506459948</v>
      </c>
      <c r="P77" s="226"/>
      <c r="Q77" s="226"/>
      <c r="R77" s="226"/>
      <c r="S77" s="229">
        <f t="shared" si="138"/>
        <v>0.6666666667</v>
      </c>
      <c r="T77" s="194">
        <v>2.0</v>
      </c>
      <c r="U77" s="195"/>
      <c r="V77" s="230">
        <f>Roles!$D$2</f>
        <v>0.61</v>
      </c>
      <c r="W77" s="230">
        <f t="shared" si="139"/>
        <v>1.22</v>
      </c>
      <c r="X77" s="229">
        <f t="shared" si="140"/>
        <v>1</v>
      </c>
      <c r="Y77" s="231">
        <f>'CD R Documentación'!$I77</f>
        <v>3</v>
      </c>
      <c r="Z77" s="195"/>
      <c r="AA77" s="230"/>
      <c r="AB77" s="232">
        <f>'CD R Documentación'!$L77</f>
        <v>1.32</v>
      </c>
      <c r="AC77" s="229">
        <f t="shared" si="141"/>
        <v>0</v>
      </c>
      <c r="AD77" s="231">
        <f>'CD R Investigación'!$I77</f>
        <v>0</v>
      </c>
      <c r="AE77" s="195"/>
      <c r="AF77" s="230"/>
      <c r="AG77" s="232">
        <f>'CD R Investigación'!$L77</f>
        <v>0</v>
      </c>
      <c r="AH77" s="229">
        <f t="shared" si="142"/>
        <v>0</v>
      </c>
      <c r="AI77" s="231">
        <f>'CD R Desarrollo'!$I77</f>
        <v>0</v>
      </c>
      <c r="AJ77" s="200"/>
      <c r="AK77" s="185"/>
      <c r="AL77" s="232">
        <f>'CD R Desarrollo'!$L77</f>
        <v>0</v>
      </c>
      <c r="AM77" s="234">
        <v>1.0</v>
      </c>
      <c r="AN77" s="84">
        <f>'PL Cronograma detallado'!L77*AM77</f>
        <v>1.73</v>
      </c>
      <c r="AO77" s="234">
        <f>AN77/'PL Cronograma detallado'!M$238</f>
        <v>0.002934590854</v>
      </c>
      <c r="AP77" s="234">
        <f t="shared" si="143"/>
        <v>0.02006717329</v>
      </c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 t="shared" si="1"/>
        <v>1</v>
      </c>
      <c r="F78" s="80">
        <v>10.0</v>
      </c>
      <c r="G78" s="105">
        <f t="shared" si="2"/>
        <v>0.008613264427</v>
      </c>
      <c r="H78" s="47">
        <f t="shared" si="144"/>
        <v>0.2592592593</v>
      </c>
      <c r="I78" s="187">
        <f t="shared" si="135"/>
        <v>43</v>
      </c>
      <c r="J78" s="172">
        <f t="shared" si="145"/>
        <v>1219</v>
      </c>
      <c r="K78" s="115">
        <f t="shared" si="3"/>
        <v>0.4150493701</v>
      </c>
      <c r="L78" s="191">
        <f t="shared" si="136"/>
        <v>19.09</v>
      </c>
      <c r="M78" s="172">
        <f t="shared" si="146"/>
        <v>545.54</v>
      </c>
      <c r="N78" s="47">
        <f t="shared" si="4"/>
        <v>0.008613264427</v>
      </c>
      <c r="O78" s="47">
        <f t="shared" si="16"/>
        <v>0.2592592593</v>
      </c>
      <c r="P78" s="47"/>
      <c r="Q78" s="47"/>
      <c r="R78" s="47">
        <f t="shared" ref="R78:R79" si="147">M78/$L$87</f>
        <v>71.3124183</v>
      </c>
      <c r="S78" s="229">
        <f t="shared" si="138"/>
        <v>0.1</v>
      </c>
      <c r="T78" s="194">
        <v>1.0</v>
      </c>
      <c r="U78" s="195"/>
      <c r="V78" s="230">
        <f>Roles!$D$2</f>
        <v>0.61</v>
      </c>
      <c r="W78" s="230">
        <f t="shared" si="139"/>
        <v>0.61</v>
      </c>
      <c r="X78" s="229">
        <f t="shared" si="140"/>
        <v>4.2</v>
      </c>
      <c r="Y78" s="231">
        <f>'CD R Documentación'!$I78</f>
        <v>42</v>
      </c>
      <c r="Z78" s="195"/>
      <c r="AA78" s="195"/>
      <c r="AB78" s="232">
        <f>'CD R Documentación'!$L78</f>
        <v>18.48</v>
      </c>
      <c r="AC78" s="229">
        <f t="shared" si="141"/>
        <v>0</v>
      </c>
      <c r="AD78" s="231">
        <f>'CD R Investigación'!$I78</f>
        <v>0</v>
      </c>
      <c r="AE78" s="195"/>
      <c r="AF78" s="195"/>
      <c r="AG78" s="232">
        <f>'CD R Investigación'!$L78</f>
        <v>0</v>
      </c>
      <c r="AH78" s="229">
        <f t="shared" si="142"/>
        <v>0</v>
      </c>
      <c r="AI78" s="231">
        <f>'CD R Desarrollo'!$I78</f>
        <v>0</v>
      </c>
      <c r="AJ78" s="200"/>
      <c r="AK78" s="200"/>
      <c r="AL78" s="232">
        <f>'CD R Desarrollo'!$L78</f>
        <v>0</v>
      </c>
      <c r="AM78" s="234">
        <v>1.0</v>
      </c>
      <c r="AN78" s="84">
        <f>'PL Cronograma detallado'!L78*AM78</f>
        <v>6.84</v>
      </c>
      <c r="AO78" s="234">
        <f>AN78/'PL Cronograma detallado'!M$238</f>
        <v>0.01160265979</v>
      </c>
      <c r="AP78" s="234">
        <f t="shared" si="143"/>
        <v>0.03166983308</v>
      </c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 t="shared" si="1"/>
        <v>1</v>
      </c>
      <c r="F79" s="136">
        <v>0.0</v>
      </c>
      <c r="G79" s="105">
        <f t="shared" si="2"/>
        <v>0</v>
      </c>
      <c r="H79" s="115">
        <f t="shared" si="144"/>
        <v>0.2592592593</v>
      </c>
      <c r="I79" s="110">
        <f>F79</f>
        <v>0</v>
      </c>
      <c r="J79" s="110">
        <f t="shared" si="145"/>
        <v>1219</v>
      </c>
      <c r="K79" s="115">
        <f t="shared" si="3"/>
        <v>0.4150493701</v>
      </c>
      <c r="L79" s="110">
        <v>0.0</v>
      </c>
      <c r="M79" s="110">
        <f t="shared" si="146"/>
        <v>545.54</v>
      </c>
      <c r="N79" s="47">
        <f t="shared" si="4"/>
        <v>0</v>
      </c>
      <c r="O79" s="47">
        <f t="shared" si="16"/>
        <v>0.2592592593</v>
      </c>
      <c r="P79" s="226"/>
      <c r="Q79" s="226"/>
      <c r="R79" s="226">
        <f t="shared" si="147"/>
        <v>71.3124183</v>
      </c>
      <c r="S79" s="289"/>
      <c r="T79" s="118"/>
      <c r="U79" s="119"/>
      <c r="V79" s="119"/>
      <c r="W79" s="119"/>
      <c r="X79" s="119"/>
      <c r="Y79" s="231"/>
      <c r="Z79" s="119"/>
      <c r="AA79" s="119"/>
      <c r="AB79" s="232"/>
      <c r="AC79" s="119"/>
      <c r="AD79" s="231"/>
      <c r="AE79" s="119"/>
      <c r="AF79" s="119"/>
      <c r="AG79" s="232"/>
      <c r="AH79" s="116"/>
      <c r="AI79" s="231"/>
      <c r="AJ79" s="235"/>
      <c r="AK79" s="235"/>
      <c r="AL79" s="232"/>
      <c r="AM79" s="234"/>
      <c r="AN79" s="84"/>
      <c r="AO79" s="234"/>
      <c r="AP79" s="234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 t="shared" si="1"/>
        <v>21</v>
      </c>
      <c r="F80" s="240">
        <f>F81+F86+F97+F102+F110+F117+F122+F127+F131+F135+F139</f>
        <v>313</v>
      </c>
      <c r="G80" s="105">
        <f t="shared" si="2"/>
        <v>0.2695951766</v>
      </c>
      <c r="H80" s="224">
        <f>H144</f>
        <v>0.5288544358</v>
      </c>
      <c r="I80" s="241">
        <f>I81+I86+I97+I102+I110+I117+I122+I127+I131+I135+I139</f>
        <v>785</v>
      </c>
      <c r="J80" s="241">
        <f>J144</f>
        <v>2004</v>
      </c>
      <c r="K80" s="138">
        <f t="shared" si="3"/>
        <v>0.682328907</v>
      </c>
      <c r="L80" s="241">
        <f>L81+L86+L97+L102+L110+L117+L122+L127+L131+L135+L139</f>
        <v>351.69</v>
      </c>
      <c r="M80" s="241">
        <f>M144</f>
        <v>897.23</v>
      </c>
      <c r="N80" s="47">
        <f t="shared" si="4"/>
        <v>0</v>
      </c>
      <c r="O80" s="47">
        <f t="shared" si="16"/>
        <v>0.2592592593</v>
      </c>
      <c r="P80" s="323"/>
      <c r="Q80" s="323"/>
      <c r="R80" s="323"/>
      <c r="S80" s="294"/>
      <c r="T80" s="144"/>
      <c r="U80" s="149"/>
      <c r="V80" s="149"/>
      <c r="W80" s="149"/>
      <c r="X80" s="149"/>
      <c r="Y80" s="231"/>
      <c r="Z80" s="149"/>
      <c r="AA80" s="149"/>
      <c r="AB80" s="232"/>
      <c r="AC80" s="149"/>
      <c r="AD80" s="231"/>
      <c r="AE80" s="149"/>
      <c r="AF80" s="149"/>
      <c r="AG80" s="232"/>
      <c r="AH80" s="142"/>
      <c r="AI80" s="231"/>
      <c r="AJ80" s="150"/>
      <c r="AK80" s="150"/>
      <c r="AL80" s="232"/>
      <c r="AM80" s="234"/>
      <c r="AN80" s="84"/>
      <c r="AO80" s="234"/>
      <c r="AP80" s="234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 t="shared" si="1"/>
        <v>6</v>
      </c>
      <c r="F81" s="246">
        <f>SUM(F82:F85)</f>
        <v>12</v>
      </c>
      <c r="G81" s="105">
        <f t="shared" si="2"/>
        <v>0.01033591731</v>
      </c>
      <c r="H81" s="226">
        <f>H85</f>
        <v>0.2695951766</v>
      </c>
      <c r="I81" s="247">
        <f>SUM(I82:I85)</f>
        <v>69</v>
      </c>
      <c r="J81" s="247">
        <f>J85</f>
        <v>1288</v>
      </c>
      <c r="K81" s="167">
        <f t="shared" si="3"/>
        <v>0.4385427307</v>
      </c>
      <c r="L81" s="247">
        <f>SUM(L82:L85)</f>
        <v>30.53</v>
      </c>
      <c r="M81" s="247">
        <f>M85</f>
        <v>576.07</v>
      </c>
      <c r="N81" s="47">
        <f t="shared" si="4"/>
        <v>0</v>
      </c>
      <c r="O81" s="47">
        <f t="shared" si="16"/>
        <v>0.2592592593</v>
      </c>
      <c r="P81" s="224"/>
      <c r="Q81" s="224"/>
      <c r="R81" s="224">
        <f t="shared" ref="R81:R82" si="148">M81/$L$87</f>
        <v>75.30326797</v>
      </c>
      <c r="S81" s="173"/>
      <c r="T81" s="174"/>
      <c r="U81" s="178"/>
      <c r="V81" s="178"/>
      <c r="W81" s="178"/>
      <c r="X81" s="173"/>
      <c r="Y81" s="231"/>
      <c r="Z81" s="178"/>
      <c r="AA81" s="178"/>
      <c r="AB81" s="232"/>
      <c r="AC81" s="173"/>
      <c r="AD81" s="231"/>
      <c r="AE81" s="178"/>
      <c r="AF81" s="178"/>
      <c r="AG81" s="232"/>
      <c r="AH81" s="173"/>
      <c r="AI81" s="231"/>
      <c r="AJ81" s="180"/>
      <c r="AK81" s="180"/>
      <c r="AL81" s="232"/>
      <c r="AM81" s="234"/>
      <c r="AN81" s="84"/>
      <c r="AO81" s="234"/>
      <c r="AP81" s="234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 t="shared" si="1"/>
        <v>2</v>
      </c>
      <c r="F82" s="80">
        <v>3.0</v>
      </c>
      <c r="G82" s="105">
        <f t="shared" si="2"/>
        <v>0.002583979328</v>
      </c>
      <c r="H82" s="47">
        <f>H79+G82</f>
        <v>0.2618432386</v>
      </c>
      <c r="I82" s="187">
        <f t="shared" ref="I82:I85" si="149">T82+Y82+AD82+AI82</f>
        <v>5</v>
      </c>
      <c r="J82" s="172">
        <f>J79+I82</f>
        <v>1224</v>
      </c>
      <c r="K82" s="115">
        <f t="shared" si="3"/>
        <v>0.4167517875</v>
      </c>
      <c r="L82" s="191">
        <f t="shared" ref="L82:L85" si="150">W82+AB82+AG82+AL82</f>
        <v>2.37</v>
      </c>
      <c r="M82" s="172">
        <f>M79+L82</f>
        <v>547.91</v>
      </c>
      <c r="N82" s="47">
        <f t="shared" si="4"/>
        <v>0.002583979328</v>
      </c>
      <c r="O82" s="47">
        <f t="shared" si="16"/>
        <v>0.2618432386</v>
      </c>
      <c r="P82" s="226"/>
      <c r="Q82" s="226"/>
      <c r="R82" s="226">
        <f t="shared" si="148"/>
        <v>71.62222222</v>
      </c>
      <c r="S82" s="229">
        <f t="shared" ref="S82:S85" si="151">T82/$F82</f>
        <v>0.3333333333</v>
      </c>
      <c r="T82" s="194">
        <v>1.0</v>
      </c>
      <c r="U82" s="195"/>
      <c r="V82" s="230">
        <f>Roles!$D$2</f>
        <v>0.61</v>
      </c>
      <c r="W82" s="230">
        <f t="shared" ref="W82:W85" si="152">V82*T82</f>
        <v>0.61</v>
      </c>
      <c r="X82" s="229">
        <f t="shared" ref="X82:X85" si="153">Y82/$F82</f>
        <v>0.3333333333</v>
      </c>
      <c r="Y82" s="231">
        <f>'CD R Documentación'!$I82</f>
        <v>1</v>
      </c>
      <c r="Z82" s="195"/>
      <c r="AA82" s="230"/>
      <c r="AB82" s="232">
        <f>'CD R Documentación'!$L82</f>
        <v>0.44</v>
      </c>
      <c r="AC82" s="229">
        <f t="shared" ref="AC82:AC85" si="154">AD82/$F82</f>
        <v>1</v>
      </c>
      <c r="AD82" s="231">
        <f>'CD R Investigación'!$I82</f>
        <v>3</v>
      </c>
      <c r="AE82" s="195"/>
      <c r="AF82" s="230"/>
      <c r="AG82" s="232">
        <f>'CD R Investigación'!$L82</f>
        <v>1.32</v>
      </c>
      <c r="AH82" s="229">
        <f t="shared" ref="AH82:AH85" si="155">AI82/$F82</f>
        <v>0</v>
      </c>
      <c r="AI82" s="231">
        <f>'CD R Desarrollo'!$I82</f>
        <v>0</v>
      </c>
      <c r="AJ82" s="200"/>
      <c r="AK82" s="185"/>
      <c r="AL82" s="232">
        <f>'CD R Desarrollo'!$L82</f>
        <v>0</v>
      </c>
      <c r="AM82" s="234">
        <v>1.0</v>
      </c>
      <c r="AN82" s="84">
        <f>'PL Cronograma detallado'!L82*AM82</f>
        <v>1.38</v>
      </c>
      <c r="AO82" s="234">
        <f>AN82/'PL Cronograma detallado'!M$238</f>
        <v>0.002340887502</v>
      </c>
      <c r="AP82" s="234">
        <f t="shared" ref="AP82:AP85" si="156">AO82+AP81</f>
        <v>0.002340887502</v>
      </c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 t="shared" si="1"/>
        <v>2</v>
      </c>
      <c r="F83" s="80">
        <v>4.0</v>
      </c>
      <c r="G83" s="105">
        <f t="shared" si="2"/>
        <v>0.003445305771</v>
      </c>
      <c r="H83" s="47">
        <f t="shared" ref="H83:H85" si="157">H82+G83</f>
        <v>0.2652885444</v>
      </c>
      <c r="I83" s="187">
        <f t="shared" si="149"/>
        <v>8</v>
      </c>
      <c r="J83" s="172">
        <f t="shared" ref="J83:J85" si="158">J82+I83</f>
        <v>1232</v>
      </c>
      <c r="K83" s="115">
        <f t="shared" si="3"/>
        <v>0.4194756554</v>
      </c>
      <c r="L83" s="191">
        <f t="shared" si="150"/>
        <v>3.52</v>
      </c>
      <c r="M83" s="172">
        <f t="shared" ref="M83:M85" si="159">M82+L83</f>
        <v>551.43</v>
      </c>
      <c r="N83" s="47">
        <f t="shared" si="4"/>
        <v>0.003445305771</v>
      </c>
      <c r="O83" s="47">
        <f t="shared" si="16"/>
        <v>0.2652885444</v>
      </c>
      <c r="P83" s="167"/>
      <c r="Q83" s="167"/>
      <c r="R83" s="167"/>
      <c r="S83" s="229">
        <f t="shared" si="151"/>
        <v>0</v>
      </c>
      <c r="T83" s="206"/>
      <c r="U83" s="195"/>
      <c r="V83" s="230">
        <f>Roles!$D$2</f>
        <v>0.61</v>
      </c>
      <c r="W83" s="230">
        <f t="shared" si="152"/>
        <v>0</v>
      </c>
      <c r="X83" s="229">
        <f t="shared" si="153"/>
        <v>0</v>
      </c>
      <c r="Y83" s="231">
        <f>'CD R Documentación'!$I83</f>
        <v>0</v>
      </c>
      <c r="Z83" s="195"/>
      <c r="AA83" s="230"/>
      <c r="AB83" s="232">
        <f>'CD R Documentación'!$L83</f>
        <v>0</v>
      </c>
      <c r="AC83" s="229">
        <f t="shared" si="154"/>
        <v>2</v>
      </c>
      <c r="AD83" s="231">
        <f>'CD R Investigación'!$I83</f>
        <v>8</v>
      </c>
      <c r="AE83" s="195"/>
      <c r="AF83" s="230"/>
      <c r="AG83" s="232">
        <f>'CD R Investigación'!$L83</f>
        <v>3.52</v>
      </c>
      <c r="AH83" s="229">
        <f t="shared" si="155"/>
        <v>0</v>
      </c>
      <c r="AI83" s="231">
        <f>'CD R Desarrollo'!$I83</f>
        <v>0</v>
      </c>
      <c r="AJ83" s="200"/>
      <c r="AK83" s="185"/>
      <c r="AL83" s="232">
        <f>'CD R Desarrollo'!$L83</f>
        <v>0</v>
      </c>
      <c r="AM83" s="234">
        <v>1.0</v>
      </c>
      <c r="AN83" s="84">
        <f>'PL Cronograma detallado'!L83*AM83</f>
        <v>1.6</v>
      </c>
      <c r="AO83" s="234">
        <f>AN83/'PL Cronograma detallado'!M$238</f>
        <v>0.002714072466</v>
      </c>
      <c r="AP83" s="234">
        <f t="shared" si="156"/>
        <v>0.005054959967</v>
      </c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 t="shared" si="1"/>
        <v>2</v>
      </c>
      <c r="F84" s="80">
        <v>3.0</v>
      </c>
      <c r="G84" s="105">
        <f t="shared" si="2"/>
        <v>0.002583979328</v>
      </c>
      <c r="H84" s="47">
        <f t="shared" si="157"/>
        <v>0.2678725237</v>
      </c>
      <c r="I84" s="187">
        <f t="shared" si="149"/>
        <v>6</v>
      </c>
      <c r="J84" s="172">
        <f t="shared" si="158"/>
        <v>1238</v>
      </c>
      <c r="K84" s="115">
        <f t="shared" si="3"/>
        <v>0.4215185564</v>
      </c>
      <c r="L84" s="191">
        <f t="shared" si="150"/>
        <v>2.64</v>
      </c>
      <c r="M84" s="172">
        <f t="shared" si="159"/>
        <v>554.07</v>
      </c>
      <c r="N84" s="47">
        <f t="shared" si="4"/>
        <v>0.002583979328</v>
      </c>
      <c r="O84" s="47">
        <f t="shared" si="16"/>
        <v>0.2678725237</v>
      </c>
      <c r="P84" s="282"/>
      <c r="Q84" s="282"/>
      <c r="R84" s="282">
        <f t="shared" ref="R84:R86" si="160">M84/$L$87</f>
        <v>72.42745098</v>
      </c>
      <c r="S84" s="229">
        <f t="shared" si="151"/>
        <v>0</v>
      </c>
      <c r="T84" s="206"/>
      <c r="U84" s="195"/>
      <c r="V84" s="230">
        <f>Roles!$D$2</f>
        <v>0.61</v>
      </c>
      <c r="W84" s="230">
        <f t="shared" si="152"/>
        <v>0</v>
      </c>
      <c r="X84" s="229">
        <f t="shared" si="153"/>
        <v>1</v>
      </c>
      <c r="Y84" s="231">
        <f>'CD R Documentación'!$I84</f>
        <v>3</v>
      </c>
      <c r="Z84" s="195"/>
      <c r="AA84" s="230"/>
      <c r="AB84" s="232">
        <f>'CD R Documentación'!$L84</f>
        <v>1.32</v>
      </c>
      <c r="AC84" s="229">
        <f t="shared" si="154"/>
        <v>1</v>
      </c>
      <c r="AD84" s="231">
        <f>'CD R Investigación'!$I84</f>
        <v>3</v>
      </c>
      <c r="AE84" s="195"/>
      <c r="AF84" s="230"/>
      <c r="AG84" s="232">
        <f>'CD R Investigación'!$L84</f>
        <v>1.32</v>
      </c>
      <c r="AH84" s="229">
        <f t="shared" si="155"/>
        <v>0</v>
      </c>
      <c r="AI84" s="231">
        <f>'CD R Desarrollo'!$I84</f>
        <v>0</v>
      </c>
      <c r="AJ84" s="200"/>
      <c r="AK84" s="185"/>
      <c r="AL84" s="232">
        <f>'CD R Desarrollo'!$L84</f>
        <v>0</v>
      </c>
      <c r="AM84" s="234">
        <v>1.0</v>
      </c>
      <c r="AN84" s="84">
        <f>'PL Cronograma detallado'!L84*AM84</f>
        <v>1.11</v>
      </c>
      <c r="AO84" s="234">
        <f>AN84/'PL Cronograma detallado'!M$238</f>
        <v>0.001882887773</v>
      </c>
      <c r="AP84" s="234">
        <f t="shared" si="156"/>
        <v>0.006937847741</v>
      </c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 t="shared" si="1"/>
        <v>1</v>
      </c>
      <c r="F85" s="80">
        <v>2.0</v>
      </c>
      <c r="G85" s="105">
        <f t="shared" si="2"/>
        <v>0.001722652885</v>
      </c>
      <c r="H85" s="47">
        <f t="shared" si="157"/>
        <v>0.2695951766</v>
      </c>
      <c r="I85" s="187">
        <f t="shared" si="149"/>
        <v>50</v>
      </c>
      <c r="J85" s="172">
        <f t="shared" si="158"/>
        <v>1288</v>
      </c>
      <c r="K85" s="115">
        <f t="shared" si="3"/>
        <v>0.4385427307</v>
      </c>
      <c r="L85" s="191">
        <f t="shared" si="150"/>
        <v>22</v>
      </c>
      <c r="M85" s="172">
        <f t="shared" si="159"/>
        <v>576.07</v>
      </c>
      <c r="N85" s="47">
        <f t="shared" si="4"/>
        <v>0.001722652885</v>
      </c>
      <c r="O85" s="47">
        <f t="shared" si="16"/>
        <v>0.2695951766</v>
      </c>
      <c r="P85" s="226"/>
      <c r="Q85" s="226"/>
      <c r="R85" s="226">
        <f t="shared" si="160"/>
        <v>75.30326797</v>
      </c>
      <c r="S85" s="229">
        <f t="shared" si="151"/>
        <v>0</v>
      </c>
      <c r="T85" s="206"/>
      <c r="U85" s="195"/>
      <c r="V85" s="230">
        <f>Roles!$D$2</f>
        <v>0.61</v>
      </c>
      <c r="W85" s="230">
        <f t="shared" si="152"/>
        <v>0</v>
      </c>
      <c r="X85" s="229">
        <f t="shared" si="153"/>
        <v>6</v>
      </c>
      <c r="Y85" s="231">
        <f>'CD R Documentación'!$I85</f>
        <v>12</v>
      </c>
      <c r="Z85" s="195"/>
      <c r="AA85" s="230"/>
      <c r="AB85" s="232">
        <f>'CD R Documentación'!$L85</f>
        <v>5.28</v>
      </c>
      <c r="AC85" s="229">
        <f t="shared" si="154"/>
        <v>19</v>
      </c>
      <c r="AD85" s="231">
        <f>'CD R Investigación'!$I85</f>
        <v>38</v>
      </c>
      <c r="AE85" s="195"/>
      <c r="AF85" s="230"/>
      <c r="AG85" s="232">
        <f>'CD R Investigación'!$L85</f>
        <v>16.72</v>
      </c>
      <c r="AH85" s="229">
        <f t="shared" si="155"/>
        <v>0</v>
      </c>
      <c r="AI85" s="231">
        <f>'CD R Desarrollo'!$I85</f>
        <v>0</v>
      </c>
      <c r="AJ85" s="200"/>
      <c r="AK85" s="185"/>
      <c r="AL85" s="232">
        <f>'CD R Desarrollo'!$L85</f>
        <v>0</v>
      </c>
      <c r="AM85" s="234">
        <v>1.0</v>
      </c>
      <c r="AN85" s="84">
        <f>'PL Cronograma detallado'!L85*AM85</f>
        <v>9.64</v>
      </c>
      <c r="AO85" s="234">
        <f>AN85/'PL Cronograma detallado'!M$238</f>
        <v>0.01635228661</v>
      </c>
      <c r="AP85" s="234">
        <f t="shared" si="156"/>
        <v>0.02329013435</v>
      </c>
    </row>
    <row r="86" ht="15.75" customHeight="1">
      <c r="A86" s="242" t="s">
        <v>267</v>
      </c>
      <c r="B86" s="343" t="s">
        <v>483</v>
      </c>
      <c r="C86" s="244">
        <v>46301.0</v>
      </c>
      <c r="D86" s="244">
        <v>46302.0</v>
      </c>
      <c r="E86" s="245">
        <f t="shared" si="1"/>
        <v>2</v>
      </c>
      <c r="F86" s="246">
        <f>SUM(F87:F96)</f>
        <v>42</v>
      </c>
      <c r="G86" s="105">
        <f t="shared" si="2"/>
        <v>0.03617571059</v>
      </c>
      <c r="H86" s="226">
        <f>H96</f>
        <v>0.3057708872</v>
      </c>
      <c r="I86" s="247">
        <f>SUM(I87:I96)</f>
        <v>130</v>
      </c>
      <c r="J86" s="247">
        <f>J96</f>
        <v>1418</v>
      </c>
      <c r="K86" s="167">
        <f t="shared" si="3"/>
        <v>0.4828055839</v>
      </c>
      <c r="L86" s="247">
        <f>SUM(L87:L96)</f>
        <v>58.05</v>
      </c>
      <c r="M86" s="247">
        <f>M96</f>
        <v>634.12</v>
      </c>
      <c r="N86" s="47">
        <f t="shared" si="4"/>
        <v>0</v>
      </c>
      <c r="O86" s="47">
        <f t="shared" si="16"/>
        <v>0.2695951766</v>
      </c>
      <c r="P86" s="167"/>
      <c r="Q86" s="167"/>
      <c r="R86" s="167">
        <f t="shared" si="160"/>
        <v>82.89150327</v>
      </c>
      <c r="S86" s="173"/>
      <c r="T86" s="174"/>
      <c r="U86" s="178"/>
      <c r="V86" s="178"/>
      <c r="W86" s="178"/>
      <c r="X86" s="173"/>
      <c r="Y86" s="231"/>
      <c r="Z86" s="178"/>
      <c r="AA86" s="178"/>
      <c r="AB86" s="232"/>
      <c r="AC86" s="173"/>
      <c r="AD86" s="231"/>
      <c r="AE86" s="178"/>
      <c r="AF86" s="178"/>
      <c r="AG86" s="232"/>
      <c r="AH86" s="173"/>
      <c r="AI86" s="231"/>
      <c r="AJ86" s="180"/>
      <c r="AK86" s="180"/>
      <c r="AL86" s="232"/>
      <c r="AM86" s="234"/>
      <c r="AN86" s="84"/>
      <c r="AO86" s="234"/>
      <c r="AP86" s="234"/>
    </row>
    <row r="87" ht="15.75" customHeight="1">
      <c r="A87" s="157" t="s">
        <v>191</v>
      </c>
      <c r="B87" s="346" t="s">
        <v>487</v>
      </c>
      <c r="C87" s="201">
        <v>46301.0</v>
      </c>
      <c r="D87" s="201">
        <v>46301.0</v>
      </c>
      <c r="E87" s="168">
        <f t="shared" si="1"/>
        <v>1</v>
      </c>
      <c r="F87" s="80">
        <v>4.0</v>
      </c>
      <c r="G87" s="105">
        <f t="shared" si="2"/>
        <v>0.003445305771</v>
      </c>
      <c r="H87" s="47">
        <f>H85+G87</f>
        <v>0.2730404823</v>
      </c>
      <c r="I87" s="187">
        <f t="shared" ref="I87:I96" si="161">T87+Y87+AD87+AI87</f>
        <v>17</v>
      </c>
      <c r="J87" s="172">
        <f>J85+I87</f>
        <v>1305</v>
      </c>
      <c r="K87" s="115">
        <f t="shared" si="3"/>
        <v>0.4443309499</v>
      </c>
      <c r="L87" s="191">
        <f t="shared" ref="L87:L96" si="162">W87+AB87+AG87+AL87</f>
        <v>7.65</v>
      </c>
      <c r="M87" s="172">
        <f>M85+L87</f>
        <v>583.72</v>
      </c>
      <c r="N87" s="47">
        <f t="shared" si="4"/>
        <v>0.003445305771</v>
      </c>
      <c r="O87" s="47">
        <f t="shared" si="16"/>
        <v>0.2730404823</v>
      </c>
      <c r="P87" s="7"/>
      <c r="Q87" s="7"/>
      <c r="R87" s="7"/>
      <c r="S87" s="229">
        <f t="shared" ref="S87:S96" si="163">T87/$F87</f>
        <v>0.25</v>
      </c>
      <c r="T87" s="194">
        <v>1.0</v>
      </c>
      <c r="U87" s="195"/>
      <c r="V87" s="230">
        <f>Roles!$D$2</f>
        <v>0.61</v>
      </c>
      <c r="W87" s="230">
        <f t="shared" ref="W87:W96" si="164">V87*T87</f>
        <v>0.61</v>
      </c>
      <c r="X87" s="229">
        <f t="shared" ref="X87:X96" si="165">Y87/$F87</f>
        <v>1</v>
      </c>
      <c r="Y87" s="231">
        <f>'CD R Documentación'!$I87</f>
        <v>4</v>
      </c>
      <c r="Z87" s="195"/>
      <c r="AA87" s="230"/>
      <c r="AB87" s="232">
        <f>'CD R Documentación'!$L87</f>
        <v>1.76</v>
      </c>
      <c r="AC87" s="229">
        <f t="shared" ref="AC87:AC96" si="166">AD87/$F87</f>
        <v>3</v>
      </c>
      <c r="AD87" s="231">
        <f>'CD R Investigación'!$I87</f>
        <v>12</v>
      </c>
      <c r="AE87" s="195"/>
      <c r="AF87" s="230"/>
      <c r="AG87" s="232">
        <f>'CD R Investigación'!$L87</f>
        <v>5.28</v>
      </c>
      <c r="AH87" s="229">
        <f t="shared" ref="AH87:AH96" si="167">AI87/$F87</f>
        <v>0</v>
      </c>
      <c r="AI87" s="231">
        <f>'CD R Desarrollo'!$I87</f>
        <v>0</v>
      </c>
      <c r="AJ87" s="200"/>
      <c r="AK87" s="185"/>
      <c r="AL87" s="232">
        <f>'CD R Desarrollo'!$L87</f>
        <v>0</v>
      </c>
      <c r="AM87" s="234">
        <v>1.0</v>
      </c>
      <c r="AN87" s="84">
        <f>'PL Cronograma detallado'!L87*AM87</f>
        <v>3.69</v>
      </c>
      <c r="AO87" s="234">
        <f>AN87/'PL Cronograma detallado'!M$238</f>
        <v>0.006259329624</v>
      </c>
      <c r="AP87" s="234">
        <f t="shared" ref="AP87:AP96" si="168">AO87+AP86</f>
        <v>0.006259329624</v>
      </c>
    </row>
    <row r="88" ht="15.75" customHeight="1">
      <c r="A88" s="157" t="s">
        <v>193</v>
      </c>
      <c r="B88" s="346" t="s">
        <v>491</v>
      </c>
      <c r="C88" s="201">
        <v>46301.0</v>
      </c>
      <c r="D88" s="201">
        <v>46301.0</v>
      </c>
      <c r="E88" s="168">
        <f t="shared" si="1"/>
        <v>1</v>
      </c>
      <c r="F88" s="80">
        <v>4.0</v>
      </c>
      <c r="G88" s="105">
        <f t="shared" si="2"/>
        <v>0.003445305771</v>
      </c>
      <c r="H88" s="47">
        <f t="shared" ref="H88:H96" si="169">H87+G88</f>
        <v>0.2764857881</v>
      </c>
      <c r="I88" s="187">
        <f t="shared" si="161"/>
        <v>4</v>
      </c>
      <c r="J88" s="172">
        <f t="shared" ref="J88:J96" si="170">J87+I88</f>
        <v>1309</v>
      </c>
      <c r="K88" s="115">
        <f t="shared" si="3"/>
        <v>0.4456928839</v>
      </c>
      <c r="L88" s="191">
        <f t="shared" si="162"/>
        <v>1.76</v>
      </c>
      <c r="M88" s="172">
        <f t="shared" ref="M88:M96" si="171">M87+L88</f>
        <v>585.48</v>
      </c>
      <c r="N88" s="47">
        <f t="shared" si="4"/>
        <v>0.003445305771</v>
      </c>
      <c r="O88" s="47">
        <f t="shared" si="16"/>
        <v>0.2764857881</v>
      </c>
      <c r="P88" s="348"/>
      <c r="Q88" s="348"/>
      <c r="R88" s="348"/>
      <c r="S88" s="229">
        <f t="shared" si="163"/>
        <v>0</v>
      </c>
      <c r="T88" s="206"/>
      <c r="U88" s="195"/>
      <c r="V88" s="230">
        <f>Roles!$D$2</f>
        <v>0.61</v>
      </c>
      <c r="W88" s="230">
        <f t="shared" si="164"/>
        <v>0</v>
      </c>
      <c r="X88" s="229">
        <f t="shared" si="165"/>
        <v>0</v>
      </c>
      <c r="Y88" s="231">
        <f>'CD R Documentación'!$I88</f>
        <v>0</v>
      </c>
      <c r="Z88" s="195"/>
      <c r="AA88" s="230"/>
      <c r="AB88" s="232">
        <f>'CD R Documentación'!$L88</f>
        <v>0</v>
      </c>
      <c r="AC88" s="229">
        <f t="shared" si="166"/>
        <v>1</v>
      </c>
      <c r="AD88" s="231">
        <f>'CD R Investigación'!$I88</f>
        <v>4</v>
      </c>
      <c r="AE88" s="195"/>
      <c r="AF88" s="230"/>
      <c r="AG88" s="232">
        <f>'CD R Investigación'!$L88</f>
        <v>1.76</v>
      </c>
      <c r="AH88" s="229">
        <f t="shared" si="167"/>
        <v>0</v>
      </c>
      <c r="AI88" s="231">
        <f>'CD R Desarrollo'!$I88</f>
        <v>0</v>
      </c>
      <c r="AJ88" s="200"/>
      <c r="AK88" s="185"/>
      <c r="AL88" s="232">
        <f>'CD R Desarrollo'!$L88</f>
        <v>0</v>
      </c>
      <c r="AM88" s="234">
        <v>1.0</v>
      </c>
      <c r="AN88" s="84">
        <f>'PL Cronograma detallado'!L88*AM88</f>
        <v>0.8</v>
      </c>
      <c r="AO88" s="234">
        <f>AN88/'PL Cronograma detallado'!M$238</f>
        <v>0.001357036233</v>
      </c>
      <c r="AP88" s="234">
        <f t="shared" si="168"/>
        <v>0.007616365857</v>
      </c>
    </row>
    <row r="89" ht="15.75" customHeight="1">
      <c r="A89" s="157" t="s">
        <v>195</v>
      </c>
      <c r="B89" s="346" t="s">
        <v>495</v>
      </c>
      <c r="C89" s="201">
        <v>46301.0</v>
      </c>
      <c r="D89" s="201">
        <v>46301.0</v>
      </c>
      <c r="E89" s="168">
        <f t="shared" si="1"/>
        <v>1</v>
      </c>
      <c r="F89" s="80">
        <v>4.0</v>
      </c>
      <c r="G89" s="105">
        <f t="shared" si="2"/>
        <v>0.003445305771</v>
      </c>
      <c r="H89" s="47">
        <f t="shared" si="169"/>
        <v>0.2799310939</v>
      </c>
      <c r="I89" s="187">
        <f t="shared" si="161"/>
        <v>16</v>
      </c>
      <c r="J89" s="172">
        <f t="shared" si="170"/>
        <v>1325</v>
      </c>
      <c r="K89" s="115">
        <f t="shared" si="3"/>
        <v>0.4511406197</v>
      </c>
      <c r="L89" s="191">
        <f t="shared" si="162"/>
        <v>7.04</v>
      </c>
      <c r="M89" s="172">
        <f t="shared" si="171"/>
        <v>592.52</v>
      </c>
      <c r="N89" s="47">
        <f t="shared" si="4"/>
        <v>0.003445305771</v>
      </c>
      <c r="O89" s="47">
        <f t="shared" si="16"/>
        <v>0.2799310939</v>
      </c>
      <c r="P89" s="349"/>
      <c r="Q89" s="349"/>
      <c r="R89" s="349"/>
      <c r="S89" s="229">
        <f t="shared" si="163"/>
        <v>0</v>
      </c>
      <c r="T89" s="206"/>
      <c r="U89" s="195"/>
      <c r="V89" s="230">
        <f>Roles!$D$2</f>
        <v>0.61</v>
      </c>
      <c r="W89" s="230">
        <f t="shared" si="164"/>
        <v>0</v>
      </c>
      <c r="X89" s="229">
        <f t="shared" si="165"/>
        <v>1</v>
      </c>
      <c r="Y89" s="231">
        <f>'CD R Documentación'!$I89</f>
        <v>4</v>
      </c>
      <c r="Z89" s="195"/>
      <c r="AA89" s="230"/>
      <c r="AB89" s="232">
        <f>'CD R Documentación'!$L89</f>
        <v>1.76</v>
      </c>
      <c r="AC89" s="229">
        <f t="shared" si="166"/>
        <v>3</v>
      </c>
      <c r="AD89" s="231">
        <f>'CD R Investigación'!$I89</f>
        <v>12</v>
      </c>
      <c r="AE89" s="195"/>
      <c r="AF89" s="230"/>
      <c r="AG89" s="232">
        <f>'CD R Investigación'!$L89</f>
        <v>5.28</v>
      </c>
      <c r="AH89" s="229">
        <f t="shared" si="167"/>
        <v>0</v>
      </c>
      <c r="AI89" s="231">
        <f>'CD R Desarrollo'!$I89</f>
        <v>0</v>
      </c>
      <c r="AJ89" s="200"/>
      <c r="AK89" s="185"/>
      <c r="AL89" s="232">
        <f>'CD R Desarrollo'!$L89</f>
        <v>0</v>
      </c>
      <c r="AM89" s="234">
        <v>1.0</v>
      </c>
      <c r="AN89" s="84">
        <f>'PL Cronograma detallado'!L89*AM89</f>
        <v>3.08</v>
      </c>
      <c r="AO89" s="234">
        <f>AN89/'PL Cronograma detallado'!M$238</f>
        <v>0.005224589497</v>
      </c>
      <c r="AP89" s="234">
        <f t="shared" si="168"/>
        <v>0.01284095535</v>
      </c>
    </row>
    <row r="90" ht="15.75" customHeight="1">
      <c r="A90" s="157" t="s">
        <v>273</v>
      </c>
      <c r="B90" s="346" t="s">
        <v>498</v>
      </c>
      <c r="C90" s="201">
        <v>46301.0</v>
      </c>
      <c r="D90" s="201">
        <v>46301.0</v>
      </c>
      <c r="E90" s="168">
        <f t="shared" si="1"/>
        <v>1</v>
      </c>
      <c r="F90" s="80">
        <v>4.0</v>
      </c>
      <c r="G90" s="105">
        <f t="shared" si="2"/>
        <v>0.003445305771</v>
      </c>
      <c r="H90" s="47">
        <f t="shared" si="169"/>
        <v>0.2833763997</v>
      </c>
      <c r="I90" s="187">
        <f t="shared" si="161"/>
        <v>16</v>
      </c>
      <c r="J90" s="172">
        <f t="shared" si="170"/>
        <v>1341</v>
      </c>
      <c r="K90" s="115">
        <f t="shared" si="3"/>
        <v>0.4565883555</v>
      </c>
      <c r="L90" s="191">
        <f t="shared" si="162"/>
        <v>7.04</v>
      </c>
      <c r="M90" s="172">
        <f t="shared" si="171"/>
        <v>599.56</v>
      </c>
      <c r="N90" s="47">
        <f t="shared" si="4"/>
        <v>0.003445305771</v>
      </c>
      <c r="O90" s="47">
        <f t="shared" si="16"/>
        <v>0.2833763997</v>
      </c>
      <c r="P90" s="350"/>
      <c r="Q90" s="350"/>
      <c r="R90" s="350"/>
      <c r="S90" s="229">
        <f t="shared" si="163"/>
        <v>0</v>
      </c>
      <c r="T90" s="206"/>
      <c r="U90" s="195"/>
      <c r="V90" s="230">
        <f>Roles!$D$2</f>
        <v>0.61</v>
      </c>
      <c r="W90" s="230">
        <f t="shared" si="164"/>
        <v>0</v>
      </c>
      <c r="X90" s="229">
        <f t="shared" si="165"/>
        <v>1</v>
      </c>
      <c r="Y90" s="231">
        <f>'CD R Documentación'!$I90</f>
        <v>4</v>
      </c>
      <c r="Z90" s="195"/>
      <c r="AA90" s="230"/>
      <c r="AB90" s="232">
        <f>'CD R Documentación'!$L90</f>
        <v>1.76</v>
      </c>
      <c r="AC90" s="229">
        <f t="shared" si="166"/>
        <v>3</v>
      </c>
      <c r="AD90" s="231">
        <f>'CD R Investigación'!$I90</f>
        <v>12</v>
      </c>
      <c r="AE90" s="195"/>
      <c r="AF90" s="230"/>
      <c r="AG90" s="232">
        <f>'CD R Investigación'!$L90</f>
        <v>5.28</v>
      </c>
      <c r="AH90" s="229">
        <f t="shared" si="167"/>
        <v>0</v>
      </c>
      <c r="AI90" s="231">
        <f>'CD R Desarrollo'!$I90</f>
        <v>0</v>
      </c>
      <c r="AJ90" s="200"/>
      <c r="AK90" s="185"/>
      <c r="AL90" s="232">
        <f>'CD R Desarrollo'!$L90</f>
        <v>0</v>
      </c>
      <c r="AM90" s="234">
        <v>1.0</v>
      </c>
      <c r="AN90" s="84">
        <f>'PL Cronograma detallado'!L90*AM90</f>
        <v>3.08</v>
      </c>
      <c r="AO90" s="234">
        <f>AN90/'PL Cronograma detallado'!M$238</f>
        <v>0.005224589497</v>
      </c>
      <c r="AP90" s="234">
        <f t="shared" si="168"/>
        <v>0.01806554485</v>
      </c>
    </row>
    <row r="91" ht="15.75" customHeight="1">
      <c r="A91" s="157" t="s">
        <v>278</v>
      </c>
      <c r="B91" s="346" t="s">
        <v>501</v>
      </c>
      <c r="C91" s="201">
        <v>46301.0</v>
      </c>
      <c r="D91" s="201">
        <v>46302.0</v>
      </c>
      <c r="E91" s="168">
        <f t="shared" si="1"/>
        <v>2</v>
      </c>
      <c r="F91" s="80">
        <v>6.0</v>
      </c>
      <c r="G91" s="105">
        <f t="shared" si="2"/>
        <v>0.005167958656</v>
      </c>
      <c r="H91" s="47">
        <f t="shared" si="169"/>
        <v>0.2885443583</v>
      </c>
      <c r="I91" s="187">
        <f t="shared" si="161"/>
        <v>24</v>
      </c>
      <c r="J91" s="172">
        <f t="shared" si="170"/>
        <v>1365</v>
      </c>
      <c r="K91" s="115">
        <f t="shared" si="3"/>
        <v>0.4647599591</v>
      </c>
      <c r="L91" s="191">
        <f t="shared" si="162"/>
        <v>10.56</v>
      </c>
      <c r="M91" s="172">
        <f t="shared" si="171"/>
        <v>610.12</v>
      </c>
      <c r="N91" s="47">
        <f t="shared" si="4"/>
        <v>0.005167958656</v>
      </c>
      <c r="O91" s="47">
        <f t="shared" si="16"/>
        <v>0.2885443583</v>
      </c>
      <c r="P91" s="7"/>
      <c r="Q91" s="7"/>
      <c r="R91" s="7"/>
      <c r="S91" s="229">
        <f t="shared" si="163"/>
        <v>0</v>
      </c>
      <c r="T91" s="206"/>
      <c r="U91" s="195"/>
      <c r="V91" s="230">
        <f>Roles!$D$2</f>
        <v>0.61</v>
      </c>
      <c r="W91" s="230">
        <f t="shared" si="164"/>
        <v>0</v>
      </c>
      <c r="X91" s="229">
        <f t="shared" si="165"/>
        <v>1</v>
      </c>
      <c r="Y91" s="231">
        <f>'CD R Documentación'!$I91</f>
        <v>6</v>
      </c>
      <c r="Z91" s="195"/>
      <c r="AA91" s="230"/>
      <c r="AB91" s="232">
        <f>'CD R Documentación'!$L91</f>
        <v>2.64</v>
      </c>
      <c r="AC91" s="229">
        <f t="shared" si="166"/>
        <v>3</v>
      </c>
      <c r="AD91" s="231">
        <f>'CD R Investigación'!$I91</f>
        <v>18</v>
      </c>
      <c r="AE91" s="195"/>
      <c r="AF91" s="230"/>
      <c r="AG91" s="232">
        <f>'CD R Investigación'!$L91</f>
        <v>7.92</v>
      </c>
      <c r="AH91" s="229">
        <f t="shared" si="167"/>
        <v>0</v>
      </c>
      <c r="AI91" s="231">
        <f>'CD R Desarrollo'!$I91</f>
        <v>0</v>
      </c>
      <c r="AJ91" s="200"/>
      <c r="AK91" s="185"/>
      <c r="AL91" s="232">
        <f>'CD R Desarrollo'!$L91</f>
        <v>0</v>
      </c>
      <c r="AM91" s="234">
        <v>1.0</v>
      </c>
      <c r="AN91" s="84">
        <f>'PL Cronograma detallado'!L91*AM91</f>
        <v>4.62</v>
      </c>
      <c r="AO91" s="234">
        <f>AN91/'PL Cronograma detallado'!M$238</f>
        <v>0.007836884245</v>
      </c>
      <c r="AP91" s="234">
        <f t="shared" si="168"/>
        <v>0.02590242909</v>
      </c>
    </row>
    <row r="92" ht="15.75" customHeight="1">
      <c r="A92" s="157" t="s">
        <v>284</v>
      </c>
      <c r="B92" s="346" t="s">
        <v>504</v>
      </c>
      <c r="C92" s="201">
        <v>46301.0</v>
      </c>
      <c r="D92" s="201">
        <v>46302.0</v>
      </c>
      <c r="E92" s="168">
        <f t="shared" si="1"/>
        <v>2</v>
      </c>
      <c r="F92" s="80">
        <v>4.0</v>
      </c>
      <c r="G92" s="105">
        <f t="shared" si="2"/>
        <v>0.003445305771</v>
      </c>
      <c r="H92" s="47">
        <f t="shared" si="169"/>
        <v>0.2919896641</v>
      </c>
      <c r="I92" s="187">
        <f t="shared" si="161"/>
        <v>4</v>
      </c>
      <c r="J92" s="172">
        <f t="shared" si="170"/>
        <v>1369</v>
      </c>
      <c r="K92" s="115">
        <f t="shared" si="3"/>
        <v>0.4661218931</v>
      </c>
      <c r="L92" s="191">
        <f t="shared" si="162"/>
        <v>1.76</v>
      </c>
      <c r="M92" s="172">
        <f t="shared" si="171"/>
        <v>611.88</v>
      </c>
      <c r="N92" s="47">
        <f t="shared" si="4"/>
        <v>0.003445305771</v>
      </c>
      <c r="O92" s="47">
        <f t="shared" si="16"/>
        <v>0.2919896641</v>
      </c>
      <c r="P92" s="7"/>
      <c r="Q92" s="7"/>
      <c r="R92" s="7"/>
      <c r="S92" s="229">
        <f t="shared" si="163"/>
        <v>0</v>
      </c>
      <c r="T92" s="206"/>
      <c r="U92" s="195"/>
      <c r="V92" s="230">
        <f>Roles!$D$2</f>
        <v>0.61</v>
      </c>
      <c r="W92" s="230">
        <f t="shared" si="164"/>
        <v>0</v>
      </c>
      <c r="X92" s="229">
        <f t="shared" si="165"/>
        <v>0</v>
      </c>
      <c r="Y92" s="231">
        <f>'CD R Documentación'!$I92</f>
        <v>0</v>
      </c>
      <c r="Z92" s="195"/>
      <c r="AA92" s="230"/>
      <c r="AB92" s="232">
        <f>'CD R Documentación'!$L92</f>
        <v>0</v>
      </c>
      <c r="AC92" s="229">
        <f t="shared" si="166"/>
        <v>1</v>
      </c>
      <c r="AD92" s="231">
        <f>'CD R Investigación'!$I92</f>
        <v>4</v>
      </c>
      <c r="AE92" s="195"/>
      <c r="AF92" s="230"/>
      <c r="AG92" s="232">
        <f>'CD R Investigación'!$L92</f>
        <v>1.76</v>
      </c>
      <c r="AH92" s="229">
        <f t="shared" si="167"/>
        <v>0</v>
      </c>
      <c r="AI92" s="231">
        <f>'CD R Desarrollo'!$I92</f>
        <v>0</v>
      </c>
      <c r="AJ92" s="200"/>
      <c r="AK92" s="185"/>
      <c r="AL92" s="232">
        <f>'CD R Desarrollo'!$L92</f>
        <v>0</v>
      </c>
      <c r="AM92" s="234">
        <v>1.0</v>
      </c>
      <c r="AN92" s="84">
        <f>'PL Cronograma detallado'!L92*AM92</f>
        <v>0.8</v>
      </c>
      <c r="AO92" s="234">
        <f>AN92/'PL Cronograma detallado'!M$238</f>
        <v>0.001357036233</v>
      </c>
      <c r="AP92" s="234">
        <f t="shared" si="168"/>
        <v>0.02725946533</v>
      </c>
    </row>
    <row r="93" ht="15.75" customHeight="1">
      <c r="A93" s="157" t="s">
        <v>286</v>
      </c>
      <c r="B93" s="346" t="s">
        <v>509</v>
      </c>
      <c r="C93" s="201">
        <v>46301.0</v>
      </c>
      <c r="D93" s="201">
        <v>46302.0</v>
      </c>
      <c r="E93" s="168">
        <f t="shared" si="1"/>
        <v>2</v>
      </c>
      <c r="F93" s="80">
        <v>3.0</v>
      </c>
      <c r="G93" s="105">
        <f t="shared" si="2"/>
        <v>0.002583979328</v>
      </c>
      <c r="H93" s="47">
        <f t="shared" si="169"/>
        <v>0.2945736434</v>
      </c>
      <c r="I93" s="187">
        <f t="shared" si="161"/>
        <v>6</v>
      </c>
      <c r="J93" s="172">
        <f t="shared" si="170"/>
        <v>1375</v>
      </c>
      <c r="K93" s="115">
        <f t="shared" si="3"/>
        <v>0.468164794</v>
      </c>
      <c r="L93" s="191">
        <f t="shared" si="162"/>
        <v>3.15</v>
      </c>
      <c r="M93" s="172">
        <f t="shared" si="171"/>
        <v>615.03</v>
      </c>
      <c r="N93" s="47">
        <f t="shared" si="4"/>
        <v>0.002583979328</v>
      </c>
      <c r="O93" s="47">
        <f t="shared" si="16"/>
        <v>0.2945736434</v>
      </c>
      <c r="P93" s="350"/>
      <c r="Q93" s="350"/>
      <c r="R93" s="350"/>
      <c r="S93" s="229">
        <f t="shared" si="163"/>
        <v>1</v>
      </c>
      <c r="T93" s="194">
        <v>3.0</v>
      </c>
      <c r="U93" s="195"/>
      <c r="V93" s="230">
        <f>Roles!$D$2</f>
        <v>0.61</v>
      </c>
      <c r="W93" s="230">
        <f t="shared" si="164"/>
        <v>1.83</v>
      </c>
      <c r="X93" s="229">
        <f t="shared" si="165"/>
        <v>0</v>
      </c>
      <c r="Y93" s="231">
        <f>'CD R Documentación'!$I93</f>
        <v>0</v>
      </c>
      <c r="Z93" s="195"/>
      <c r="AA93" s="230"/>
      <c r="AB93" s="232">
        <f>'CD R Documentación'!$L93</f>
        <v>0</v>
      </c>
      <c r="AC93" s="229">
        <f t="shared" si="166"/>
        <v>1</v>
      </c>
      <c r="AD93" s="231">
        <f>'CD R Investigación'!$I93</f>
        <v>3</v>
      </c>
      <c r="AE93" s="195"/>
      <c r="AF93" s="230"/>
      <c r="AG93" s="232">
        <f>'CD R Investigación'!$L93</f>
        <v>1.32</v>
      </c>
      <c r="AH93" s="229">
        <f t="shared" si="167"/>
        <v>0</v>
      </c>
      <c r="AI93" s="231">
        <f>'CD R Desarrollo'!$I93</f>
        <v>0</v>
      </c>
      <c r="AJ93" s="200"/>
      <c r="AK93" s="185"/>
      <c r="AL93" s="232">
        <f>'CD R Desarrollo'!$L93</f>
        <v>0</v>
      </c>
      <c r="AM93" s="234">
        <v>1.0</v>
      </c>
      <c r="AN93" s="84">
        <f>'PL Cronograma detallado'!L93*AM93</f>
        <v>2.43</v>
      </c>
      <c r="AO93" s="234">
        <f>AN93/'PL Cronograma detallado'!M$238</f>
        <v>0.004121997557</v>
      </c>
      <c r="AP93" s="234">
        <f t="shared" si="168"/>
        <v>0.03138146289</v>
      </c>
    </row>
    <row r="94" ht="15.75" customHeight="1">
      <c r="A94" s="157" t="s">
        <v>289</v>
      </c>
      <c r="B94" s="346" t="s">
        <v>514</v>
      </c>
      <c r="C94" s="201">
        <v>46302.0</v>
      </c>
      <c r="D94" s="201">
        <v>46302.0</v>
      </c>
      <c r="E94" s="168">
        <f t="shared" si="1"/>
        <v>1</v>
      </c>
      <c r="F94" s="80">
        <v>4.0</v>
      </c>
      <c r="G94" s="105">
        <f t="shared" si="2"/>
        <v>0.003445305771</v>
      </c>
      <c r="H94" s="47">
        <f t="shared" si="169"/>
        <v>0.2980189492</v>
      </c>
      <c r="I94" s="187">
        <f t="shared" si="161"/>
        <v>16</v>
      </c>
      <c r="J94" s="172">
        <f t="shared" si="170"/>
        <v>1391</v>
      </c>
      <c r="K94" s="115">
        <f t="shared" si="3"/>
        <v>0.4736125298</v>
      </c>
      <c r="L94" s="191">
        <f t="shared" si="162"/>
        <v>7.04</v>
      </c>
      <c r="M94" s="172">
        <f t="shared" si="171"/>
        <v>622.07</v>
      </c>
      <c r="N94" s="47">
        <f t="shared" si="4"/>
        <v>0.003445305771</v>
      </c>
      <c r="O94" s="47">
        <f t="shared" si="16"/>
        <v>0.2980189492</v>
      </c>
      <c r="P94" s="350"/>
      <c r="Q94" s="350"/>
      <c r="R94" s="350"/>
      <c r="S94" s="229">
        <f t="shared" si="163"/>
        <v>0</v>
      </c>
      <c r="T94" s="206"/>
      <c r="U94" s="195"/>
      <c r="V94" s="230">
        <f>Roles!$D$2</f>
        <v>0.61</v>
      </c>
      <c r="W94" s="230">
        <f t="shared" si="164"/>
        <v>0</v>
      </c>
      <c r="X94" s="229">
        <f t="shared" si="165"/>
        <v>1</v>
      </c>
      <c r="Y94" s="231">
        <f>'CD R Documentación'!$I94</f>
        <v>4</v>
      </c>
      <c r="Z94" s="195"/>
      <c r="AA94" s="230"/>
      <c r="AB94" s="232">
        <f>'CD R Documentación'!$L94</f>
        <v>1.76</v>
      </c>
      <c r="AC94" s="229">
        <f t="shared" si="166"/>
        <v>3</v>
      </c>
      <c r="AD94" s="231">
        <f>'CD R Investigación'!$I94</f>
        <v>12</v>
      </c>
      <c r="AE94" s="195"/>
      <c r="AF94" s="230"/>
      <c r="AG94" s="232">
        <f>'CD R Investigación'!$L94</f>
        <v>5.28</v>
      </c>
      <c r="AH94" s="229">
        <f t="shared" si="167"/>
        <v>0</v>
      </c>
      <c r="AI94" s="231">
        <f>'CD R Desarrollo'!$I94</f>
        <v>0</v>
      </c>
      <c r="AJ94" s="200"/>
      <c r="AK94" s="185"/>
      <c r="AL94" s="232">
        <f>'CD R Desarrollo'!$L94</f>
        <v>0</v>
      </c>
      <c r="AM94" s="234">
        <v>1.0</v>
      </c>
      <c r="AN94" s="84">
        <f>'PL Cronograma detallado'!L94*AM94</f>
        <v>3.08</v>
      </c>
      <c r="AO94" s="234">
        <f>AN94/'PL Cronograma detallado'!M$238</f>
        <v>0.005224589497</v>
      </c>
      <c r="AP94" s="234">
        <f t="shared" si="168"/>
        <v>0.03660605238</v>
      </c>
    </row>
    <row r="95" ht="15.75" customHeight="1">
      <c r="A95" s="157" t="s">
        <v>291</v>
      </c>
      <c r="B95" s="346" t="s">
        <v>516</v>
      </c>
      <c r="C95" s="201">
        <v>46302.0</v>
      </c>
      <c r="D95" s="201">
        <v>46302.0</v>
      </c>
      <c r="E95" s="168">
        <f t="shared" si="1"/>
        <v>1</v>
      </c>
      <c r="F95" s="80">
        <v>4.0</v>
      </c>
      <c r="G95" s="105">
        <f t="shared" si="2"/>
        <v>0.003445305771</v>
      </c>
      <c r="H95" s="47">
        <f t="shared" si="169"/>
        <v>0.301464255</v>
      </c>
      <c r="I95" s="187">
        <f t="shared" si="161"/>
        <v>16</v>
      </c>
      <c r="J95" s="172">
        <f t="shared" si="170"/>
        <v>1407</v>
      </c>
      <c r="K95" s="115">
        <f t="shared" si="3"/>
        <v>0.4790602656</v>
      </c>
      <c r="L95" s="191">
        <f t="shared" si="162"/>
        <v>7.04</v>
      </c>
      <c r="M95" s="172">
        <f t="shared" si="171"/>
        <v>629.11</v>
      </c>
      <c r="N95" s="47">
        <f t="shared" si="4"/>
        <v>0.003445305771</v>
      </c>
      <c r="O95" s="47">
        <f t="shared" si="16"/>
        <v>0.301464255</v>
      </c>
      <c r="P95" s="7"/>
      <c r="Q95" s="7"/>
      <c r="R95" s="7"/>
      <c r="S95" s="229">
        <f t="shared" si="163"/>
        <v>0</v>
      </c>
      <c r="T95" s="206"/>
      <c r="U95" s="195"/>
      <c r="V95" s="230">
        <f>Roles!$D$2</f>
        <v>0.61</v>
      </c>
      <c r="W95" s="230">
        <f t="shared" si="164"/>
        <v>0</v>
      </c>
      <c r="X95" s="229">
        <f t="shared" si="165"/>
        <v>1</v>
      </c>
      <c r="Y95" s="231">
        <f>'CD R Documentación'!$I95</f>
        <v>4</v>
      </c>
      <c r="Z95" s="195"/>
      <c r="AA95" s="230"/>
      <c r="AB95" s="232">
        <f>'CD R Documentación'!$L95</f>
        <v>1.76</v>
      </c>
      <c r="AC95" s="229">
        <f t="shared" si="166"/>
        <v>3</v>
      </c>
      <c r="AD95" s="231">
        <f>'CD R Investigación'!$I95</f>
        <v>12</v>
      </c>
      <c r="AE95" s="195"/>
      <c r="AF95" s="230"/>
      <c r="AG95" s="232">
        <f>'CD R Investigación'!$L95</f>
        <v>5.28</v>
      </c>
      <c r="AH95" s="229">
        <f t="shared" si="167"/>
        <v>0</v>
      </c>
      <c r="AI95" s="231">
        <f>'CD R Desarrollo'!$I95</f>
        <v>0</v>
      </c>
      <c r="AJ95" s="200"/>
      <c r="AK95" s="185"/>
      <c r="AL95" s="232">
        <f>'CD R Desarrollo'!$L95</f>
        <v>0</v>
      </c>
      <c r="AM95" s="234">
        <v>1.0</v>
      </c>
      <c r="AN95" s="84">
        <f>'PL Cronograma detallado'!L95*AM95</f>
        <v>3.08</v>
      </c>
      <c r="AO95" s="234">
        <f>AN95/'PL Cronograma detallado'!M$238</f>
        <v>0.005224589497</v>
      </c>
      <c r="AP95" s="234">
        <f t="shared" si="168"/>
        <v>0.04183064188</v>
      </c>
    </row>
    <row r="96" ht="15.75" customHeight="1">
      <c r="A96" s="157" t="s">
        <v>293</v>
      </c>
      <c r="B96" s="346" t="s">
        <v>519</v>
      </c>
      <c r="C96" s="201">
        <v>46302.0</v>
      </c>
      <c r="D96" s="201">
        <v>46302.0</v>
      </c>
      <c r="E96" s="168">
        <f t="shared" si="1"/>
        <v>1</v>
      </c>
      <c r="F96" s="80">
        <v>5.0</v>
      </c>
      <c r="G96" s="105">
        <f t="shared" si="2"/>
        <v>0.004306632214</v>
      </c>
      <c r="H96" s="47">
        <f t="shared" si="169"/>
        <v>0.3057708872</v>
      </c>
      <c r="I96" s="187">
        <f t="shared" si="161"/>
        <v>11</v>
      </c>
      <c r="J96" s="172">
        <f t="shared" si="170"/>
        <v>1418</v>
      </c>
      <c r="K96" s="115">
        <f t="shared" si="3"/>
        <v>0.4828055839</v>
      </c>
      <c r="L96" s="191">
        <f t="shared" si="162"/>
        <v>5.01</v>
      </c>
      <c r="M96" s="172">
        <f t="shared" si="171"/>
        <v>634.12</v>
      </c>
      <c r="N96" s="47">
        <f t="shared" si="4"/>
        <v>0.004306632214</v>
      </c>
      <c r="O96" s="47">
        <f t="shared" si="16"/>
        <v>0.3057708872</v>
      </c>
      <c r="P96" s="350"/>
      <c r="Q96" s="350"/>
      <c r="R96" s="350"/>
      <c r="S96" s="229">
        <f t="shared" si="163"/>
        <v>0.2</v>
      </c>
      <c r="T96" s="194">
        <v>1.0</v>
      </c>
      <c r="U96" s="195"/>
      <c r="V96" s="230">
        <f>Roles!$D$2</f>
        <v>0.61</v>
      </c>
      <c r="W96" s="230">
        <f t="shared" si="164"/>
        <v>0.61</v>
      </c>
      <c r="X96" s="229">
        <f t="shared" si="165"/>
        <v>0</v>
      </c>
      <c r="Y96" s="231">
        <f>'CD R Documentación'!$I96</f>
        <v>0</v>
      </c>
      <c r="Z96" s="195"/>
      <c r="AA96" s="230"/>
      <c r="AB96" s="232">
        <f>'CD R Documentación'!$L96</f>
        <v>0</v>
      </c>
      <c r="AC96" s="229">
        <f t="shared" si="166"/>
        <v>2</v>
      </c>
      <c r="AD96" s="231">
        <f>'CD R Investigación'!$I96</f>
        <v>10</v>
      </c>
      <c r="AE96" s="195"/>
      <c r="AF96" s="230"/>
      <c r="AG96" s="232">
        <f>'CD R Investigación'!$L96</f>
        <v>4.4</v>
      </c>
      <c r="AH96" s="229">
        <f t="shared" si="167"/>
        <v>0</v>
      </c>
      <c r="AI96" s="231">
        <f>'CD R Desarrollo'!$I96</f>
        <v>0</v>
      </c>
      <c r="AJ96" s="200"/>
      <c r="AK96" s="185"/>
      <c r="AL96" s="232">
        <f>'CD R Desarrollo'!$L96</f>
        <v>0</v>
      </c>
      <c r="AM96" s="234">
        <v>1.0</v>
      </c>
      <c r="AN96" s="84">
        <f>'PL Cronograma detallado'!L96*AM96</f>
        <v>2.61</v>
      </c>
      <c r="AO96" s="234">
        <f>AN96/'PL Cronograma detallado'!M$238</f>
        <v>0.00442733071</v>
      </c>
      <c r="AP96" s="234">
        <f t="shared" si="168"/>
        <v>0.04625797259</v>
      </c>
    </row>
    <row r="97" ht="15.75" customHeight="1">
      <c r="A97" s="242" t="s">
        <v>295</v>
      </c>
      <c r="B97" s="343" t="s">
        <v>525</v>
      </c>
      <c r="C97" s="244">
        <v>46303.0</v>
      </c>
      <c r="D97" s="244">
        <v>46303.0</v>
      </c>
      <c r="E97" s="245">
        <f t="shared" si="1"/>
        <v>1</v>
      </c>
      <c r="F97" s="246">
        <f>SUM(F98:F101)</f>
        <v>11</v>
      </c>
      <c r="G97" s="105">
        <f t="shared" si="2"/>
        <v>0.00947459087</v>
      </c>
      <c r="H97" s="226">
        <f>H101</f>
        <v>0.315245478</v>
      </c>
      <c r="I97" s="247">
        <f>SUM(I98:I101)</f>
        <v>147</v>
      </c>
      <c r="J97" s="247">
        <f>J101</f>
        <v>1565</v>
      </c>
      <c r="K97" s="167">
        <f t="shared" si="3"/>
        <v>0.5328566565</v>
      </c>
      <c r="L97" s="247">
        <f>SUM(L98:L101)</f>
        <v>65.53</v>
      </c>
      <c r="M97" s="247">
        <f>M101</f>
        <v>699.65</v>
      </c>
      <c r="N97" s="47">
        <f t="shared" si="4"/>
        <v>0</v>
      </c>
      <c r="O97" s="47">
        <f t="shared" si="16"/>
        <v>0.3057708872</v>
      </c>
      <c r="P97" s="348"/>
      <c r="Q97" s="348"/>
      <c r="R97" s="348"/>
      <c r="S97" s="173"/>
      <c r="T97" s="174"/>
      <c r="U97" s="178"/>
      <c r="V97" s="178"/>
      <c r="W97" s="178"/>
      <c r="X97" s="173"/>
      <c r="Y97" s="231"/>
      <c r="Z97" s="178"/>
      <c r="AA97" s="178"/>
      <c r="AB97" s="232"/>
      <c r="AC97" s="173"/>
      <c r="AD97" s="231"/>
      <c r="AE97" s="178"/>
      <c r="AF97" s="178"/>
      <c r="AG97" s="232"/>
      <c r="AH97" s="173"/>
      <c r="AI97" s="231"/>
      <c r="AJ97" s="180"/>
      <c r="AK97" s="180"/>
      <c r="AL97" s="232"/>
      <c r="AM97" s="234"/>
      <c r="AN97" s="84"/>
      <c r="AO97" s="234"/>
      <c r="AP97" s="234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 t="shared" si="1"/>
        <v>1</v>
      </c>
      <c r="F98" s="80">
        <v>4.0</v>
      </c>
      <c r="G98" s="105">
        <f t="shared" si="2"/>
        <v>0.003445305771</v>
      </c>
      <c r="H98" s="47">
        <f>H96+G98</f>
        <v>0.3092161929</v>
      </c>
      <c r="I98" s="187">
        <f t="shared" ref="I98:I101" si="172">T98+Y98+AD98+AI98</f>
        <v>70</v>
      </c>
      <c r="J98" s="172">
        <f>J96+I98</f>
        <v>1488</v>
      </c>
      <c r="K98" s="115">
        <f t="shared" si="3"/>
        <v>0.506639428</v>
      </c>
      <c r="L98" s="191">
        <f t="shared" ref="L98:L101" si="173">W98+AB98+AG98+AL98</f>
        <v>31.14</v>
      </c>
      <c r="M98" s="172">
        <f>M96+L98</f>
        <v>665.26</v>
      </c>
      <c r="N98" s="47">
        <f t="shared" si="4"/>
        <v>0.003445305771</v>
      </c>
      <c r="O98" s="47">
        <f t="shared" si="16"/>
        <v>0.3092161929</v>
      </c>
      <c r="P98" s="349"/>
      <c r="Q98" s="349"/>
      <c r="R98" s="349"/>
      <c r="S98" s="229">
        <f t="shared" ref="S98:S101" si="174">T98/$F98</f>
        <v>0.5</v>
      </c>
      <c r="T98" s="194">
        <v>2.0</v>
      </c>
      <c r="U98" s="195"/>
      <c r="V98" s="230">
        <f>Roles!$D$2</f>
        <v>0.61</v>
      </c>
      <c r="W98" s="230">
        <f t="shared" ref="W98:W101" si="175">V98*T98</f>
        <v>1.22</v>
      </c>
      <c r="X98" s="229">
        <f t="shared" ref="X98:X101" si="176">Y98/$F98</f>
        <v>5</v>
      </c>
      <c r="Y98" s="231">
        <f>'CD R Documentación'!$I98</f>
        <v>20</v>
      </c>
      <c r="Z98" s="195"/>
      <c r="AA98" s="230"/>
      <c r="AB98" s="232">
        <f>'CD R Documentación'!$L98</f>
        <v>8.8</v>
      </c>
      <c r="AC98" s="229">
        <f t="shared" ref="AC98:AC101" si="177">AD98/$F98</f>
        <v>12</v>
      </c>
      <c r="AD98" s="231">
        <f>'CD R Investigación'!$I98</f>
        <v>48</v>
      </c>
      <c r="AE98" s="195"/>
      <c r="AF98" s="230"/>
      <c r="AG98" s="232">
        <f>'CD R Investigación'!$L98</f>
        <v>21.12</v>
      </c>
      <c r="AH98" s="229">
        <f t="shared" ref="AH98:AH101" si="178">AI98/$F98</f>
        <v>0</v>
      </c>
      <c r="AI98" s="231">
        <f>'CD R Desarrollo'!$I98</f>
        <v>0</v>
      </c>
      <c r="AJ98" s="200"/>
      <c r="AK98" s="185"/>
      <c r="AL98" s="232">
        <f>'CD R Desarrollo'!$L98</f>
        <v>0</v>
      </c>
      <c r="AM98" s="234">
        <v>1.0</v>
      </c>
      <c r="AN98" s="84">
        <f>'PL Cronograma detallado'!L98*AM98</f>
        <v>14.22</v>
      </c>
      <c r="AO98" s="234">
        <f>AN98/'PL Cronograma detallado'!M$238</f>
        <v>0.02412131904</v>
      </c>
      <c r="AP98" s="234">
        <f t="shared" ref="AP98:AP101" si="179">AO98+AP97</f>
        <v>0.02412131904</v>
      </c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 t="shared" si="1"/>
        <v>1</v>
      </c>
      <c r="F99" s="80">
        <v>2.0</v>
      </c>
      <c r="G99" s="105">
        <f t="shared" si="2"/>
        <v>0.001722652885</v>
      </c>
      <c r="H99" s="47">
        <f t="shared" ref="H99:H101" si="180">H98+G99</f>
        <v>0.3109388458</v>
      </c>
      <c r="I99" s="187">
        <f t="shared" si="172"/>
        <v>4</v>
      </c>
      <c r="J99" s="172">
        <f t="shared" ref="J99:J101" si="181">J98+I99</f>
        <v>1492</v>
      </c>
      <c r="K99" s="115">
        <f t="shared" si="3"/>
        <v>0.5080013619</v>
      </c>
      <c r="L99" s="191">
        <f t="shared" si="173"/>
        <v>2.1</v>
      </c>
      <c r="M99" s="172">
        <f t="shared" ref="M99:M101" si="182">M98+L99</f>
        <v>667.36</v>
      </c>
      <c r="N99" s="47">
        <f t="shared" si="4"/>
        <v>0.001722652885</v>
      </c>
      <c r="O99" s="47">
        <f t="shared" si="16"/>
        <v>0.3109388458</v>
      </c>
      <c r="P99" s="350"/>
      <c r="Q99" s="350"/>
      <c r="R99" s="350"/>
      <c r="S99" s="229">
        <f t="shared" si="174"/>
        <v>1</v>
      </c>
      <c r="T99" s="194">
        <v>2.0</v>
      </c>
      <c r="U99" s="195"/>
      <c r="V99" s="230">
        <f>Roles!$D$2</f>
        <v>0.61</v>
      </c>
      <c r="W99" s="230">
        <f t="shared" si="175"/>
        <v>1.22</v>
      </c>
      <c r="X99" s="229">
        <f t="shared" si="176"/>
        <v>0</v>
      </c>
      <c r="Y99" s="231">
        <f>'CD R Documentación'!$I99</f>
        <v>0</v>
      </c>
      <c r="Z99" s="195"/>
      <c r="AA99" s="230"/>
      <c r="AB99" s="232">
        <f>'CD R Documentación'!$L99</f>
        <v>0</v>
      </c>
      <c r="AC99" s="229">
        <f t="shared" si="177"/>
        <v>1</v>
      </c>
      <c r="AD99" s="231">
        <f>'CD R Investigación'!$I99</f>
        <v>2</v>
      </c>
      <c r="AE99" s="195"/>
      <c r="AF99" s="230"/>
      <c r="AG99" s="232">
        <f>'CD R Investigación'!$L99</f>
        <v>0.88</v>
      </c>
      <c r="AH99" s="229">
        <f t="shared" si="178"/>
        <v>0</v>
      </c>
      <c r="AI99" s="231">
        <f>'CD R Desarrollo'!$I99</f>
        <v>0</v>
      </c>
      <c r="AJ99" s="200"/>
      <c r="AK99" s="185"/>
      <c r="AL99" s="232">
        <f>'CD R Desarrollo'!$L99</f>
        <v>0</v>
      </c>
      <c r="AM99" s="234">
        <v>1.0</v>
      </c>
      <c r="AN99" s="84">
        <f>'PL Cronograma detallado'!L99*AM99</f>
        <v>1.62</v>
      </c>
      <c r="AO99" s="234">
        <f>AN99/'PL Cronograma detallado'!M$238</f>
        <v>0.002747998372</v>
      </c>
      <c r="AP99" s="234">
        <f t="shared" si="179"/>
        <v>0.02686931741</v>
      </c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 t="shared" si="1"/>
        <v>1</v>
      </c>
      <c r="F100" s="80">
        <v>4.0</v>
      </c>
      <c r="G100" s="105">
        <f t="shared" si="2"/>
        <v>0.003445305771</v>
      </c>
      <c r="H100" s="47">
        <f t="shared" si="180"/>
        <v>0.3143841516</v>
      </c>
      <c r="I100" s="187">
        <f t="shared" si="172"/>
        <v>69</v>
      </c>
      <c r="J100" s="172">
        <f t="shared" si="181"/>
        <v>1561</v>
      </c>
      <c r="K100" s="115">
        <f t="shared" si="3"/>
        <v>0.5314947225</v>
      </c>
      <c r="L100" s="191">
        <f t="shared" si="173"/>
        <v>30.53</v>
      </c>
      <c r="M100" s="172">
        <f t="shared" si="182"/>
        <v>697.89</v>
      </c>
      <c r="N100" s="47">
        <f t="shared" si="4"/>
        <v>0.003445305771</v>
      </c>
      <c r="O100" s="47">
        <f t="shared" si="16"/>
        <v>0.3143841516</v>
      </c>
      <c r="P100" s="7"/>
      <c r="Q100" s="7"/>
      <c r="R100" s="7"/>
      <c r="S100" s="229">
        <f t="shared" si="174"/>
        <v>0.25</v>
      </c>
      <c r="T100" s="194">
        <v>1.0</v>
      </c>
      <c r="U100" s="195"/>
      <c r="V100" s="230">
        <f>Roles!$D$2</f>
        <v>0.61</v>
      </c>
      <c r="W100" s="230">
        <f t="shared" si="175"/>
        <v>0.61</v>
      </c>
      <c r="X100" s="229">
        <f t="shared" si="176"/>
        <v>5</v>
      </c>
      <c r="Y100" s="231">
        <f>'CD R Documentación'!$I100</f>
        <v>20</v>
      </c>
      <c r="Z100" s="195"/>
      <c r="AA100" s="230"/>
      <c r="AB100" s="232">
        <f>'CD R Documentación'!$L100</f>
        <v>8.8</v>
      </c>
      <c r="AC100" s="229">
        <f t="shared" si="177"/>
        <v>12</v>
      </c>
      <c r="AD100" s="231">
        <f>'CD R Investigación'!$I100</f>
        <v>48</v>
      </c>
      <c r="AE100" s="195"/>
      <c r="AF100" s="230"/>
      <c r="AG100" s="232">
        <f>'CD R Investigación'!$L100</f>
        <v>21.12</v>
      </c>
      <c r="AH100" s="229">
        <f t="shared" si="178"/>
        <v>0</v>
      </c>
      <c r="AI100" s="231">
        <f>'CD R Desarrollo'!$I100</f>
        <v>0</v>
      </c>
      <c r="AJ100" s="200"/>
      <c r="AK100" s="185"/>
      <c r="AL100" s="232">
        <f>'CD R Desarrollo'!$L100</f>
        <v>0</v>
      </c>
      <c r="AM100" s="234">
        <v>1.0</v>
      </c>
      <c r="AN100" s="84">
        <f>'PL Cronograma detallado'!L100*AM100</f>
        <v>13.61</v>
      </c>
      <c r="AO100" s="234">
        <f>AN100/'PL Cronograma detallado'!M$238</f>
        <v>0.02308657891</v>
      </c>
      <c r="AP100" s="234">
        <f t="shared" si="179"/>
        <v>0.04995589632</v>
      </c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 t="shared" si="1"/>
        <v>1</v>
      </c>
      <c r="F101" s="80">
        <v>1.0</v>
      </c>
      <c r="G101" s="105">
        <f t="shared" si="2"/>
        <v>0.0008613264427</v>
      </c>
      <c r="H101" s="47">
        <f t="shared" si="180"/>
        <v>0.315245478</v>
      </c>
      <c r="I101" s="187">
        <f t="shared" si="172"/>
        <v>4</v>
      </c>
      <c r="J101" s="172">
        <f t="shared" si="181"/>
        <v>1565</v>
      </c>
      <c r="K101" s="115">
        <f t="shared" si="3"/>
        <v>0.5328566565</v>
      </c>
      <c r="L101" s="191">
        <f t="shared" si="173"/>
        <v>1.76</v>
      </c>
      <c r="M101" s="172">
        <f t="shared" si="182"/>
        <v>699.65</v>
      </c>
      <c r="N101" s="47">
        <f t="shared" si="4"/>
        <v>0.0008613264427</v>
      </c>
      <c r="O101" s="47">
        <f t="shared" si="16"/>
        <v>0.315245478</v>
      </c>
      <c r="P101" s="7"/>
      <c r="Q101" s="7"/>
      <c r="R101" s="7"/>
      <c r="S101" s="229">
        <f t="shared" si="174"/>
        <v>0</v>
      </c>
      <c r="T101" s="206"/>
      <c r="U101" s="195"/>
      <c r="V101" s="230">
        <f>Roles!$D$2</f>
        <v>0.61</v>
      </c>
      <c r="W101" s="230">
        <f t="shared" si="175"/>
        <v>0</v>
      </c>
      <c r="X101" s="229">
        <f t="shared" si="176"/>
        <v>1</v>
      </c>
      <c r="Y101" s="231">
        <f>'CD R Documentación'!$I101</f>
        <v>1</v>
      </c>
      <c r="Z101" s="195"/>
      <c r="AA101" s="230"/>
      <c r="AB101" s="232">
        <f>'CD R Documentación'!$L101</f>
        <v>0.44</v>
      </c>
      <c r="AC101" s="229">
        <f t="shared" si="177"/>
        <v>3</v>
      </c>
      <c r="AD101" s="231">
        <f>'CD R Investigación'!$I101</f>
        <v>3</v>
      </c>
      <c r="AE101" s="195"/>
      <c r="AF101" s="230"/>
      <c r="AG101" s="232">
        <f>'CD R Investigación'!$L101</f>
        <v>1.32</v>
      </c>
      <c r="AH101" s="229">
        <f t="shared" si="178"/>
        <v>0</v>
      </c>
      <c r="AI101" s="231">
        <f>'CD R Desarrollo'!$I101</f>
        <v>0</v>
      </c>
      <c r="AJ101" s="200"/>
      <c r="AK101" s="185"/>
      <c r="AL101" s="232">
        <f>'CD R Desarrollo'!$L101</f>
        <v>0</v>
      </c>
      <c r="AM101" s="234">
        <v>1.0</v>
      </c>
      <c r="AN101" s="84">
        <f>'PL Cronograma detallado'!L101*AM101</f>
        <v>0.77</v>
      </c>
      <c r="AO101" s="234">
        <f>AN101/'PL Cronograma detallado'!M$238</f>
        <v>0.001306147374</v>
      </c>
      <c r="AP101" s="234">
        <f t="shared" si="179"/>
        <v>0.0512620437</v>
      </c>
    </row>
    <row r="102" ht="15.75" customHeight="1">
      <c r="A102" s="242" t="s">
        <v>302</v>
      </c>
      <c r="B102" s="343" t="s">
        <v>546</v>
      </c>
      <c r="C102" s="244">
        <v>46302.0</v>
      </c>
      <c r="D102" s="244">
        <v>46304.0</v>
      </c>
      <c r="E102" s="245">
        <f t="shared" si="1"/>
        <v>3</v>
      </c>
      <c r="F102" s="246">
        <f>SUM(F103:F109)</f>
        <v>29</v>
      </c>
      <c r="G102" s="105">
        <f t="shared" si="2"/>
        <v>0.02497846684</v>
      </c>
      <c r="H102" s="226">
        <f>H109</f>
        <v>0.3402239449</v>
      </c>
      <c r="I102" s="247">
        <f>SUM(I103:I109)</f>
        <v>106</v>
      </c>
      <c r="J102" s="247">
        <f>J109</f>
        <v>1671</v>
      </c>
      <c r="K102" s="167">
        <f t="shared" si="3"/>
        <v>0.568947906</v>
      </c>
      <c r="L102" s="247">
        <f>SUM(L103:L109)</f>
        <v>47.49</v>
      </c>
      <c r="M102" s="247">
        <f>M109</f>
        <v>747.14</v>
      </c>
      <c r="N102" s="47">
        <f t="shared" si="4"/>
        <v>0</v>
      </c>
      <c r="O102" s="47">
        <f t="shared" si="16"/>
        <v>0.315245478</v>
      </c>
      <c r="P102" s="348"/>
      <c r="Q102" s="348"/>
      <c r="R102" s="348"/>
      <c r="S102" s="173"/>
      <c r="T102" s="174"/>
      <c r="U102" s="178"/>
      <c r="V102" s="178"/>
      <c r="W102" s="178"/>
      <c r="X102" s="173"/>
      <c r="Y102" s="231"/>
      <c r="Z102" s="178"/>
      <c r="AA102" s="178"/>
      <c r="AB102" s="232"/>
      <c r="AC102" s="173"/>
      <c r="AD102" s="231"/>
      <c r="AE102" s="178"/>
      <c r="AF102" s="178"/>
      <c r="AG102" s="232"/>
      <c r="AH102" s="173"/>
      <c r="AI102" s="231"/>
      <c r="AJ102" s="180"/>
      <c r="AK102" s="180"/>
      <c r="AL102" s="232"/>
      <c r="AM102" s="234"/>
      <c r="AN102" s="84"/>
      <c r="AO102" s="234"/>
      <c r="AP102" s="234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 t="shared" si="1"/>
        <v>3</v>
      </c>
      <c r="F103" s="80">
        <v>8.0</v>
      </c>
      <c r="G103" s="105">
        <f t="shared" si="2"/>
        <v>0.006890611542</v>
      </c>
      <c r="H103" s="47">
        <f>H101+G103</f>
        <v>0.3221360896</v>
      </c>
      <c r="I103" s="187">
        <f t="shared" ref="I103:I109" si="183">T103+Y103+AD103+AI103</f>
        <v>8</v>
      </c>
      <c r="J103" s="172">
        <f>J101+I103</f>
        <v>1573</v>
      </c>
      <c r="K103" s="115">
        <f t="shared" si="3"/>
        <v>0.5355805243</v>
      </c>
      <c r="L103" s="191">
        <f t="shared" ref="L103:L109" si="184">W103+AB103+AG103+AL103</f>
        <v>3.52</v>
      </c>
      <c r="M103" s="172">
        <f>M101+L103</f>
        <v>703.17</v>
      </c>
      <c r="N103" s="47">
        <f t="shared" si="4"/>
        <v>0.006890611542</v>
      </c>
      <c r="O103" s="47">
        <f t="shared" si="16"/>
        <v>0.3221360896</v>
      </c>
      <c r="P103" s="350"/>
      <c r="Q103" s="350"/>
      <c r="R103" s="350"/>
      <c r="S103" s="229">
        <f t="shared" ref="S103:S109" si="185">T103/$F103</f>
        <v>0</v>
      </c>
      <c r="T103" s="206"/>
      <c r="U103" s="195"/>
      <c r="V103" s="230">
        <f>Roles!$D$2</f>
        <v>0.61</v>
      </c>
      <c r="W103" s="230">
        <f t="shared" ref="W103:W109" si="186">V103*T103</f>
        <v>0</v>
      </c>
      <c r="X103" s="229">
        <f t="shared" ref="X103:X109" si="187">Y103/$F103</f>
        <v>0</v>
      </c>
      <c r="Y103" s="231">
        <f>'CD R Documentación'!$I103</f>
        <v>0</v>
      </c>
      <c r="Z103" s="195"/>
      <c r="AA103" s="230"/>
      <c r="AB103" s="232">
        <f>'CD R Documentación'!$L103</f>
        <v>0</v>
      </c>
      <c r="AC103" s="229">
        <f t="shared" ref="AC103:AC109" si="188">AD103/$F103</f>
        <v>1</v>
      </c>
      <c r="AD103" s="231">
        <f>'CD R Investigación'!$I103</f>
        <v>8</v>
      </c>
      <c r="AE103" s="195"/>
      <c r="AF103" s="230"/>
      <c r="AG103" s="232">
        <f>'CD R Investigación'!$L103</f>
        <v>3.52</v>
      </c>
      <c r="AH103" s="229">
        <f t="shared" ref="AH103:AH109" si="189">AI103/$F103</f>
        <v>0</v>
      </c>
      <c r="AI103" s="231">
        <f>'CD R Desarrollo'!$I103</f>
        <v>0</v>
      </c>
      <c r="AJ103" s="200"/>
      <c r="AK103" s="185"/>
      <c r="AL103" s="232">
        <f>'CD R Desarrollo'!$L103</f>
        <v>0</v>
      </c>
      <c r="AM103" s="234">
        <v>1.0</v>
      </c>
      <c r="AN103" s="84">
        <f>'PL Cronograma detallado'!L103*AM103</f>
        <v>1.6</v>
      </c>
      <c r="AO103" s="234">
        <f>AN103/'PL Cronograma detallado'!M$238</f>
        <v>0.002714072466</v>
      </c>
      <c r="AP103" s="234">
        <f t="shared" ref="AP103:AP109" si="190">AO103+AP102</f>
        <v>0.002714072466</v>
      </c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 t="shared" si="1"/>
        <v>1</v>
      </c>
      <c r="F104" s="80">
        <v>4.0</v>
      </c>
      <c r="G104" s="105">
        <f t="shared" si="2"/>
        <v>0.003445305771</v>
      </c>
      <c r="H104" s="47">
        <f t="shared" ref="H104:H109" si="191">H103+G104</f>
        <v>0.3255813953</v>
      </c>
      <c r="I104" s="187">
        <f t="shared" si="183"/>
        <v>8</v>
      </c>
      <c r="J104" s="172">
        <f t="shared" ref="J104:J109" si="192">J103+I104</f>
        <v>1581</v>
      </c>
      <c r="K104" s="115">
        <f t="shared" si="3"/>
        <v>0.5383043922</v>
      </c>
      <c r="L104" s="191">
        <f t="shared" si="184"/>
        <v>3.52</v>
      </c>
      <c r="M104" s="172">
        <f t="shared" ref="M104:M109" si="193">M103+L104</f>
        <v>706.69</v>
      </c>
      <c r="N104" s="47">
        <f t="shared" si="4"/>
        <v>0.003445305771</v>
      </c>
      <c r="O104" s="47">
        <f t="shared" si="16"/>
        <v>0.3255813953</v>
      </c>
      <c r="P104" s="7"/>
      <c r="Q104" s="7"/>
      <c r="R104" s="7"/>
      <c r="S104" s="229">
        <f t="shared" si="185"/>
        <v>0</v>
      </c>
      <c r="T104" s="206"/>
      <c r="U104" s="195"/>
      <c r="V104" s="230">
        <f>Roles!$D$2</f>
        <v>0.61</v>
      </c>
      <c r="W104" s="230">
        <f t="shared" si="186"/>
        <v>0</v>
      </c>
      <c r="X104" s="229">
        <f t="shared" si="187"/>
        <v>0</v>
      </c>
      <c r="Y104" s="231">
        <f>'CD R Documentación'!$I104</f>
        <v>0</v>
      </c>
      <c r="Z104" s="195"/>
      <c r="AA104" s="230"/>
      <c r="AB104" s="232">
        <f>'CD R Documentación'!$L104</f>
        <v>0</v>
      </c>
      <c r="AC104" s="229">
        <f t="shared" si="188"/>
        <v>2</v>
      </c>
      <c r="AD104" s="231">
        <f>'CD R Investigación'!$I104</f>
        <v>8</v>
      </c>
      <c r="AE104" s="195"/>
      <c r="AF104" s="230"/>
      <c r="AG104" s="232">
        <f>'CD R Investigación'!$L104</f>
        <v>3.52</v>
      </c>
      <c r="AH104" s="229">
        <f t="shared" si="189"/>
        <v>0</v>
      </c>
      <c r="AI104" s="231">
        <f>'CD R Desarrollo'!$I104</f>
        <v>0</v>
      </c>
      <c r="AJ104" s="200"/>
      <c r="AK104" s="185"/>
      <c r="AL104" s="232">
        <f>'CD R Desarrollo'!$L104</f>
        <v>0</v>
      </c>
      <c r="AM104" s="234">
        <v>1.0</v>
      </c>
      <c r="AN104" s="84">
        <f>'PL Cronograma detallado'!L104*AM104</f>
        <v>1.6</v>
      </c>
      <c r="AO104" s="234">
        <f>AN104/'PL Cronograma detallado'!M$238</f>
        <v>0.002714072466</v>
      </c>
      <c r="AP104" s="234">
        <f t="shared" si="190"/>
        <v>0.005428144931</v>
      </c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 t="shared" si="1"/>
        <v>1</v>
      </c>
      <c r="F105" s="80">
        <v>3.0</v>
      </c>
      <c r="G105" s="105">
        <f t="shared" si="2"/>
        <v>0.002583979328</v>
      </c>
      <c r="H105" s="47">
        <f t="shared" si="191"/>
        <v>0.3281653747</v>
      </c>
      <c r="I105" s="187">
        <f t="shared" si="183"/>
        <v>51</v>
      </c>
      <c r="J105" s="172">
        <f t="shared" si="192"/>
        <v>1632</v>
      </c>
      <c r="K105" s="115">
        <f t="shared" si="3"/>
        <v>0.5556690501</v>
      </c>
      <c r="L105" s="191">
        <f t="shared" si="184"/>
        <v>22.44</v>
      </c>
      <c r="M105" s="172">
        <f t="shared" si="193"/>
        <v>729.13</v>
      </c>
      <c r="N105" s="47">
        <f t="shared" si="4"/>
        <v>0.002583979328</v>
      </c>
      <c r="O105" s="47">
        <f t="shared" si="16"/>
        <v>0.3281653747</v>
      </c>
      <c r="P105" s="7"/>
      <c r="Q105" s="7"/>
      <c r="R105" s="7"/>
      <c r="S105" s="229">
        <f t="shared" si="185"/>
        <v>0</v>
      </c>
      <c r="T105" s="206"/>
      <c r="U105" s="195"/>
      <c r="V105" s="230">
        <f>Roles!$D$2</f>
        <v>0.61</v>
      </c>
      <c r="W105" s="230">
        <f t="shared" si="186"/>
        <v>0</v>
      </c>
      <c r="X105" s="229">
        <f t="shared" si="187"/>
        <v>5</v>
      </c>
      <c r="Y105" s="231">
        <f>'CD R Documentación'!$I105</f>
        <v>15</v>
      </c>
      <c r="Z105" s="195"/>
      <c r="AA105" s="230"/>
      <c r="AB105" s="232">
        <f>'CD R Documentación'!$L105</f>
        <v>6.6</v>
      </c>
      <c r="AC105" s="229">
        <f t="shared" si="188"/>
        <v>12</v>
      </c>
      <c r="AD105" s="231">
        <f>'CD R Investigación'!$I105</f>
        <v>36</v>
      </c>
      <c r="AE105" s="195"/>
      <c r="AF105" s="230"/>
      <c r="AG105" s="232">
        <f>'CD R Investigación'!$L105</f>
        <v>15.84</v>
      </c>
      <c r="AH105" s="229">
        <f t="shared" si="189"/>
        <v>0</v>
      </c>
      <c r="AI105" s="231">
        <f>'CD R Desarrollo'!$I105</f>
        <v>0</v>
      </c>
      <c r="AJ105" s="200"/>
      <c r="AK105" s="185"/>
      <c r="AL105" s="232">
        <f>'CD R Desarrollo'!$L105</f>
        <v>0</v>
      </c>
      <c r="AM105" s="234">
        <v>1.0</v>
      </c>
      <c r="AN105" s="84">
        <f>'PL Cronograma detallado'!L105*AM105</f>
        <v>9.75</v>
      </c>
      <c r="AO105" s="234">
        <f>AN105/'PL Cronograma detallado'!M$238</f>
        <v>0.01653887909</v>
      </c>
      <c r="AP105" s="234">
        <f t="shared" si="190"/>
        <v>0.02196702402</v>
      </c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 t="shared" si="1"/>
        <v>1</v>
      </c>
      <c r="F106" s="80">
        <v>4.0</v>
      </c>
      <c r="G106" s="105">
        <f t="shared" si="2"/>
        <v>0.003445305771</v>
      </c>
      <c r="H106" s="47">
        <f t="shared" si="191"/>
        <v>0.3316106804</v>
      </c>
      <c r="I106" s="187">
        <f t="shared" si="183"/>
        <v>8</v>
      </c>
      <c r="J106" s="172">
        <f t="shared" si="192"/>
        <v>1640</v>
      </c>
      <c r="K106" s="115">
        <f t="shared" si="3"/>
        <v>0.5583929179</v>
      </c>
      <c r="L106" s="191">
        <f t="shared" si="184"/>
        <v>3.52</v>
      </c>
      <c r="M106" s="172">
        <f t="shared" si="193"/>
        <v>732.65</v>
      </c>
      <c r="N106" s="47">
        <f t="shared" si="4"/>
        <v>0.003445305771</v>
      </c>
      <c r="O106" s="47">
        <f t="shared" si="16"/>
        <v>0.3316106804</v>
      </c>
      <c r="P106" s="7"/>
      <c r="Q106" s="7"/>
      <c r="R106" s="7"/>
      <c r="S106" s="229">
        <f t="shared" si="185"/>
        <v>0</v>
      </c>
      <c r="T106" s="206"/>
      <c r="U106" s="195"/>
      <c r="V106" s="230">
        <f>Roles!$D$2</f>
        <v>0.61</v>
      </c>
      <c r="W106" s="230">
        <f t="shared" si="186"/>
        <v>0</v>
      </c>
      <c r="X106" s="229">
        <f t="shared" si="187"/>
        <v>0</v>
      </c>
      <c r="Y106" s="231">
        <f>'CD R Documentación'!$I106</f>
        <v>0</v>
      </c>
      <c r="Z106" s="195"/>
      <c r="AA106" s="230"/>
      <c r="AB106" s="232">
        <f>'CD R Documentación'!$L106</f>
        <v>0</v>
      </c>
      <c r="AC106" s="229">
        <f t="shared" si="188"/>
        <v>2</v>
      </c>
      <c r="AD106" s="231">
        <f>'CD R Investigación'!$I106</f>
        <v>8</v>
      </c>
      <c r="AE106" s="195"/>
      <c r="AF106" s="230"/>
      <c r="AG106" s="232">
        <f>'CD R Investigación'!$L106</f>
        <v>3.52</v>
      </c>
      <c r="AH106" s="229">
        <f t="shared" si="189"/>
        <v>0</v>
      </c>
      <c r="AI106" s="231">
        <f>'CD R Desarrollo'!$I106</f>
        <v>0</v>
      </c>
      <c r="AJ106" s="200"/>
      <c r="AK106" s="185"/>
      <c r="AL106" s="232">
        <f>'CD R Desarrollo'!$L106</f>
        <v>0</v>
      </c>
      <c r="AM106" s="234">
        <v>1.0</v>
      </c>
      <c r="AN106" s="84">
        <f>'PL Cronograma detallado'!L106*AM106</f>
        <v>1.6</v>
      </c>
      <c r="AO106" s="234">
        <f>AN106/'PL Cronograma detallado'!M$238</f>
        <v>0.002714072466</v>
      </c>
      <c r="AP106" s="234">
        <f t="shared" si="190"/>
        <v>0.02468109649</v>
      </c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 t="shared" si="1"/>
        <v>1</v>
      </c>
      <c r="F107" s="80">
        <v>4.0</v>
      </c>
      <c r="G107" s="105">
        <f t="shared" si="2"/>
        <v>0.003445305771</v>
      </c>
      <c r="H107" s="47">
        <f t="shared" si="191"/>
        <v>0.3350559862</v>
      </c>
      <c r="I107" s="187">
        <f t="shared" si="183"/>
        <v>21</v>
      </c>
      <c r="J107" s="172">
        <f t="shared" si="192"/>
        <v>1661</v>
      </c>
      <c r="K107" s="115">
        <f t="shared" si="3"/>
        <v>0.5655430712</v>
      </c>
      <c r="L107" s="191">
        <f t="shared" si="184"/>
        <v>9.41</v>
      </c>
      <c r="M107" s="172">
        <f t="shared" si="193"/>
        <v>742.06</v>
      </c>
      <c r="N107" s="47">
        <f t="shared" si="4"/>
        <v>0.003445305771</v>
      </c>
      <c r="O107" s="47">
        <f t="shared" si="16"/>
        <v>0.3350559862</v>
      </c>
      <c r="P107" s="350"/>
      <c r="Q107" s="350"/>
      <c r="R107" s="350"/>
      <c r="S107" s="229">
        <f t="shared" si="185"/>
        <v>0.25</v>
      </c>
      <c r="T107" s="194">
        <v>1.0</v>
      </c>
      <c r="U107" s="195"/>
      <c r="V107" s="230">
        <f>Roles!$D$2</f>
        <v>0.61</v>
      </c>
      <c r="W107" s="230">
        <f t="shared" si="186"/>
        <v>0.61</v>
      </c>
      <c r="X107" s="229">
        <f t="shared" si="187"/>
        <v>1</v>
      </c>
      <c r="Y107" s="231">
        <f>'CD R Documentación'!$I107</f>
        <v>4</v>
      </c>
      <c r="Z107" s="195"/>
      <c r="AA107" s="230"/>
      <c r="AB107" s="232">
        <f>'CD R Documentación'!$L107</f>
        <v>1.76</v>
      </c>
      <c r="AC107" s="229">
        <f t="shared" si="188"/>
        <v>4</v>
      </c>
      <c r="AD107" s="231">
        <f>'CD R Investigación'!$I107</f>
        <v>16</v>
      </c>
      <c r="AE107" s="195"/>
      <c r="AF107" s="230"/>
      <c r="AG107" s="232">
        <f>'CD R Investigación'!$L107</f>
        <v>7.04</v>
      </c>
      <c r="AH107" s="229">
        <f t="shared" si="189"/>
        <v>0</v>
      </c>
      <c r="AI107" s="231">
        <f>'CD R Desarrollo'!$I107</f>
        <v>0</v>
      </c>
      <c r="AJ107" s="200"/>
      <c r="AK107" s="185"/>
      <c r="AL107" s="232">
        <f>'CD R Desarrollo'!$L107</f>
        <v>0</v>
      </c>
      <c r="AM107" s="234">
        <v>1.0</v>
      </c>
      <c r="AN107" s="84">
        <f>'PL Cronograma detallado'!L107*AM107</f>
        <v>4.49</v>
      </c>
      <c r="AO107" s="234">
        <f>AN107/'PL Cronograma detallado'!M$238</f>
        <v>0.007616365857</v>
      </c>
      <c r="AP107" s="234">
        <f t="shared" si="190"/>
        <v>0.03229746234</v>
      </c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 t="shared" si="1"/>
        <v>1</v>
      </c>
      <c r="F108" s="80">
        <v>3.0</v>
      </c>
      <c r="G108" s="105">
        <f t="shared" si="2"/>
        <v>0.002583979328</v>
      </c>
      <c r="H108" s="47">
        <f t="shared" si="191"/>
        <v>0.3376399655</v>
      </c>
      <c r="I108" s="187">
        <f t="shared" si="183"/>
        <v>6</v>
      </c>
      <c r="J108" s="172">
        <f t="shared" si="192"/>
        <v>1667</v>
      </c>
      <c r="K108" s="115">
        <f t="shared" si="3"/>
        <v>0.5675859721</v>
      </c>
      <c r="L108" s="191">
        <f t="shared" si="184"/>
        <v>3.15</v>
      </c>
      <c r="M108" s="172">
        <f t="shared" si="193"/>
        <v>745.21</v>
      </c>
      <c r="N108" s="47">
        <f t="shared" si="4"/>
        <v>0.002583979328</v>
      </c>
      <c r="O108" s="47">
        <f t="shared" si="16"/>
        <v>0.3376399655</v>
      </c>
      <c r="P108" s="7"/>
      <c r="Q108" s="7"/>
      <c r="R108" s="7"/>
      <c r="S108" s="229">
        <f t="shared" si="185"/>
        <v>1</v>
      </c>
      <c r="T108" s="194">
        <v>3.0</v>
      </c>
      <c r="U108" s="195"/>
      <c r="V108" s="230">
        <f>Roles!$D$2</f>
        <v>0.61</v>
      </c>
      <c r="W108" s="230">
        <f t="shared" si="186"/>
        <v>1.83</v>
      </c>
      <c r="X108" s="229">
        <f t="shared" si="187"/>
        <v>0</v>
      </c>
      <c r="Y108" s="231">
        <f>'CD R Documentación'!$I108</f>
        <v>0</v>
      </c>
      <c r="Z108" s="195"/>
      <c r="AA108" s="230"/>
      <c r="AB108" s="232">
        <f>'CD R Documentación'!$L108</f>
        <v>0</v>
      </c>
      <c r="AC108" s="229">
        <f t="shared" si="188"/>
        <v>1</v>
      </c>
      <c r="AD108" s="231">
        <f>'CD R Investigación'!$I108</f>
        <v>3</v>
      </c>
      <c r="AE108" s="195"/>
      <c r="AF108" s="230"/>
      <c r="AG108" s="232">
        <f>'CD R Investigación'!$L108</f>
        <v>1.32</v>
      </c>
      <c r="AH108" s="229">
        <f t="shared" si="189"/>
        <v>0</v>
      </c>
      <c r="AI108" s="231">
        <f>'CD R Desarrollo'!$I108</f>
        <v>0</v>
      </c>
      <c r="AJ108" s="200"/>
      <c r="AK108" s="185"/>
      <c r="AL108" s="232">
        <f>'CD R Desarrollo'!$L108</f>
        <v>0</v>
      </c>
      <c r="AM108" s="234">
        <v>1.0</v>
      </c>
      <c r="AN108" s="84">
        <f>'PL Cronograma detallado'!L108*AM108</f>
        <v>2.43</v>
      </c>
      <c r="AO108" s="234">
        <f>AN108/'PL Cronograma detallado'!M$238</f>
        <v>0.004121997557</v>
      </c>
      <c r="AP108" s="234">
        <f t="shared" si="190"/>
        <v>0.0364194599</v>
      </c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 t="shared" si="1"/>
        <v>1</v>
      </c>
      <c r="F109" s="80">
        <v>3.0</v>
      </c>
      <c r="G109" s="105">
        <f t="shared" si="2"/>
        <v>0.002583979328</v>
      </c>
      <c r="H109" s="47">
        <f t="shared" si="191"/>
        <v>0.3402239449</v>
      </c>
      <c r="I109" s="187">
        <f t="shared" si="183"/>
        <v>4</v>
      </c>
      <c r="J109" s="172">
        <f t="shared" si="192"/>
        <v>1671</v>
      </c>
      <c r="K109" s="115">
        <f t="shared" si="3"/>
        <v>0.568947906</v>
      </c>
      <c r="L109" s="191">
        <f t="shared" si="184"/>
        <v>1.93</v>
      </c>
      <c r="M109" s="172">
        <f t="shared" si="193"/>
        <v>747.14</v>
      </c>
      <c r="N109" s="47">
        <f t="shared" si="4"/>
        <v>0.002583979328</v>
      </c>
      <c r="O109" s="47">
        <f t="shared" si="16"/>
        <v>0.3402239449</v>
      </c>
      <c r="P109" s="7"/>
      <c r="Q109" s="7"/>
      <c r="R109" s="7"/>
      <c r="S109" s="229">
        <f t="shared" si="185"/>
        <v>0.3333333333</v>
      </c>
      <c r="T109" s="194">
        <v>1.0</v>
      </c>
      <c r="U109" s="195"/>
      <c r="V109" s="230">
        <f>Roles!$D$2</f>
        <v>0.61</v>
      </c>
      <c r="W109" s="230">
        <f t="shared" si="186"/>
        <v>0.61</v>
      </c>
      <c r="X109" s="229">
        <f t="shared" si="187"/>
        <v>0</v>
      </c>
      <c r="Y109" s="231">
        <f>'CD R Documentación'!$I109</f>
        <v>0</v>
      </c>
      <c r="Z109" s="195"/>
      <c r="AA109" s="230"/>
      <c r="AB109" s="232">
        <f>'CD R Documentación'!$L109</f>
        <v>0</v>
      </c>
      <c r="AC109" s="229">
        <f t="shared" si="188"/>
        <v>1</v>
      </c>
      <c r="AD109" s="231">
        <f>'CD R Investigación'!$I109</f>
        <v>3</v>
      </c>
      <c r="AE109" s="195"/>
      <c r="AF109" s="230"/>
      <c r="AG109" s="232">
        <f>'CD R Investigación'!$L109</f>
        <v>1.32</v>
      </c>
      <c r="AH109" s="229">
        <f t="shared" si="189"/>
        <v>0</v>
      </c>
      <c r="AI109" s="231">
        <f>'CD R Desarrollo'!$I109</f>
        <v>0</v>
      </c>
      <c r="AJ109" s="200"/>
      <c r="AK109" s="185"/>
      <c r="AL109" s="232">
        <f>'CD R Desarrollo'!$L109</f>
        <v>0</v>
      </c>
      <c r="AM109" s="234">
        <v>1.0</v>
      </c>
      <c r="AN109" s="84">
        <f>'PL Cronograma detallado'!L109*AM109</f>
        <v>1.21</v>
      </c>
      <c r="AO109" s="234">
        <f>AN109/'PL Cronograma detallado'!M$238</f>
        <v>0.002052517302</v>
      </c>
      <c r="AP109" s="234">
        <f t="shared" si="190"/>
        <v>0.0384719772</v>
      </c>
    </row>
    <row r="110" ht="15.75" customHeight="1">
      <c r="A110" s="242" t="s">
        <v>319</v>
      </c>
      <c r="B110" s="343" t="s">
        <v>573</v>
      </c>
      <c r="C110" s="244">
        <v>46301.0</v>
      </c>
      <c r="D110" s="244">
        <v>46306.0</v>
      </c>
      <c r="E110" s="245">
        <f t="shared" si="1"/>
        <v>6</v>
      </c>
      <c r="F110" s="246">
        <f>SUM(F111:F116)</f>
        <v>21</v>
      </c>
      <c r="G110" s="105">
        <f t="shared" si="2"/>
        <v>0.0180878553</v>
      </c>
      <c r="H110" s="226">
        <f>H116</f>
        <v>0.3583118002</v>
      </c>
      <c r="I110" s="247">
        <f>SUM(I111:I116)</f>
        <v>60</v>
      </c>
      <c r="J110" s="247">
        <f>J116</f>
        <v>1731</v>
      </c>
      <c r="K110" s="167">
        <f t="shared" si="3"/>
        <v>0.5893769152</v>
      </c>
      <c r="L110" s="247">
        <f>SUM(L111:L116)</f>
        <v>26.91</v>
      </c>
      <c r="M110" s="247">
        <f>M116</f>
        <v>774.05</v>
      </c>
      <c r="N110" s="47">
        <f t="shared" si="4"/>
        <v>0</v>
      </c>
      <c r="O110" s="47">
        <f t="shared" si="16"/>
        <v>0.3402239449</v>
      </c>
      <c r="P110" s="350"/>
      <c r="Q110" s="350"/>
      <c r="R110" s="350"/>
      <c r="S110" s="173"/>
      <c r="T110" s="174"/>
      <c r="U110" s="178"/>
      <c r="V110" s="178"/>
      <c r="W110" s="178"/>
      <c r="X110" s="173"/>
      <c r="Y110" s="231"/>
      <c r="Z110" s="178"/>
      <c r="AA110" s="178"/>
      <c r="AB110" s="232"/>
      <c r="AC110" s="173"/>
      <c r="AD110" s="231"/>
      <c r="AE110" s="178"/>
      <c r="AF110" s="178"/>
      <c r="AG110" s="232"/>
      <c r="AH110" s="173"/>
      <c r="AI110" s="231"/>
      <c r="AJ110" s="180"/>
      <c r="AK110" s="180"/>
      <c r="AL110" s="232"/>
      <c r="AM110" s="234"/>
      <c r="AN110" s="84"/>
      <c r="AO110" s="234"/>
      <c r="AP110" s="234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 t="shared" si="1"/>
        <v>5</v>
      </c>
      <c r="F111" s="80">
        <v>8.0</v>
      </c>
      <c r="G111" s="105">
        <f t="shared" si="2"/>
        <v>0.006890611542</v>
      </c>
      <c r="H111" s="47">
        <f>H109+G111</f>
        <v>0.3471145564</v>
      </c>
      <c r="I111" s="187">
        <f t="shared" ref="I111:I116" si="194">T111+Y111+AD111+AI111</f>
        <v>8</v>
      </c>
      <c r="J111" s="172">
        <f>J109+I111</f>
        <v>1679</v>
      </c>
      <c r="K111" s="115">
        <f t="shared" si="3"/>
        <v>0.5716717739</v>
      </c>
      <c r="L111" s="191">
        <f t="shared" ref="L111:L116" si="195">W111+AB111+AG111+AL111</f>
        <v>3.52</v>
      </c>
      <c r="M111" s="172">
        <f>M109+L111</f>
        <v>750.66</v>
      </c>
      <c r="N111" s="47">
        <f t="shared" si="4"/>
        <v>0.006890611542</v>
      </c>
      <c r="O111" s="47">
        <f t="shared" si="16"/>
        <v>0.3471145564</v>
      </c>
      <c r="P111" s="7"/>
      <c r="Q111" s="7"/>
      <c r="R111" s="7"/>
      <c r="S111" s="229">
        <f t="shared" ref="S111:S116" si="196">T111/$F111</f>
        <v>0</v>
      </c>
      <c r="T111" s="206"/>
      <c r="U111" s="195"/>
      <c r="V111" s="230">
        <f>Roles!$D$2</f>
        <v>0.61</v>
      </c>
      <c r="W111" s="230">
        <f t="shared" ref="W111:W116" si="197">V111*T111</f>
        <v>0</v>
      </c>
      <c r="X111" s="229">
        <f t="shared" ref="X111:X116" si="198">Y111/$F111</f>
        <v>1</v>
      </c>
      <c r="Y111" s="231">
        <f>'CD R Documentación'!$I111</f>
        <v>8</v>
      </c>
      <c r="Z111" s="195"/>
      <c r="AA111" s="230"/>
      <c r="AB111" s="232">
        <f>'CD R Documentación'!$L111</f>
        <v>3.52</v>
      </c>
      <c r="AC111" s="229">
        <f t="shared" ref="AC111:AC116" si="199">AD111/$F111</f>
        <v>0</v>
      </c>
      <c r="AD111" s="231">
        <f>'CD R Investigación'!$I111</f>
        <v>0</v>
      </c>
      <c r="AE111" s="195"/>
      <c r="AF111" s="230"/>
      <c r="AG111" s="232">
        <f>'CD R Investigación'!$L111</f>
        <v>0</v>
      </c>
      <c r="AH111" s="229">
        <f t="shared" ref="AH111:AH116" si="200">AI111/$F111</f>
        <v>0</v>
      </c>
      <c r="AI111" s="231">
        <f>'CD R Desarrollo'!$I111</f>
        <v>0</v>
      </c>
      <c r="AJ111" s="200"/>
      <c r="AK111" s="185"/>
      <c r="AL111" s="232">
        <f>'CD R Desarrollo'!$L111</f>
        <v>0</v>
      </c>
      <c r="AM111" s="234">
        <v>1.0</v>
      </c>
      <c r="AN111" s="84">
        <f>'PL Cronograma detallado'!L111*AM111</f>
        <v>1.36</v>
      </c>
      <c r="AO111" s="234">
        <f>AN111/'PL Cronograma detallado'!M$238</f>
        <v>0.002306961596</v>
      </c>
      <c r="AP111" s="234">
        <f t="shared" ref="AP111:AP116" si="201">AO111+AP110</f>
        <v>0.002306961596</v>
      </c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 t="shared" si="1"/>
        <v>1</v>
      </c>
      <c r="F112" s="80">
        <v>3.0</v>
      </c>
      <c r="G112" s="105">
        <f t="shared" si="2"/>
        <v>0.002583979328</v>
      </c>
      <c r="H112" s="47">
        <f t="shared" ref="H112:H116" si="202">H111+G112</f>
        <v>0.3496985357</v>
      </c>
      <c r="I112" s="187">
        <f t="shared" si="194"/>
        <v>24</v>
      </c>
      <c r="J112" s="172">
        <f t="shared" ref="J112:J116" si="203">J111+I112</f>
        <v>1703</v>
      </c>
      <c r="K112" s="115">
        <f t="shared" si="3"/>
        <v>0.5798433776</v>
      </c>
      <c r="L112" s="191">
        <f t="shared" si="195"/>
        <v>10.56</v>
      </c>
      <c r="M112" s="172">
        <f t="shared" ref="M112:M116" si="204">M111+L112</f>
        <v>761.22</v>
      </c>
      <c r="N112" s="47">
        <f t="shared" si="4"/>
        <v>0.002583979328</v>
      </c>
      <c r="O112" s="47">
        <f t="shared" si="16"/>
        <v>0.3496985357</v>
      </c>
      <c r="P112" s="7"/>
      <c r="Q112" s="7"/>
      <c r="R112" s="7"/>
      <c r="S112" s="229">
        <f t="shared" si="196"/>
        <v>0</v>
      </c>
      <c r="T112" s="206"/>
      <c r="U112" s="195"/>
      <c r="V112" s="230">
        <f>Roles!$D$2</f>
        <v>0.61</v>
      </c>
      <c r="W112" s="230">
        <f t="shared" si="197"/>
        <v>0</v>
      </c>
      <c r="X112" s="229">
        <f t="shared" si="198"/>
        <v>2</v>
      </c>
      <c r="Y112" s="231">
        <f>'CD R Documentación'!$I112</f>
        <v>6</v>
      </c>
      <c r="Z112" s="195"/>
      <c r="AA112" s="230"/>
      <c r="AB112" s="232">
        <f>'CD R Documentación'!$L112</f>
        <v>2.64</v>
      </c>
      <c r="AC112" s="229">
        <f t="shared" si="199"/>
        <v>6</v>
      </c>
      <c r="AD112" s="231">
        <f>'CD R Investigación'!$I112</f>
        <v>18</v>
      </c>
      <c r="AE112" s="195"/>
      <c r="AF112" s="230"/>
      <c r="AG112" s="232">
        <f>'CD R Investigación'!$L112</f>
        <v>7.92</v>
      </c>
      <c r="AH112" s="229">
        <f t="shared" si="200"/>
        <v>0</v>
      </c>
      <c r="AI112" s="231">
        <f>'CD R Desarrollo'!$I112</f>
        <v>0</v>
      </c>
      <c r="AJ112" s="200"/>
      <c r="AK112" s="185"/>
      <c r="AL112" s="232">
        <f>'CD R Desarrollo'!$L112</f>
        <v>0</v>
      </c>
      <c r="AM112" s="234">
        <v>1.0</v>
      </c>
      <c r="AN112" s="84">
        <f>'PL Cronograma detallado'!L112*AM112</f>
        <v>4.62</v>
      </c>
      <c r="AO112" s="234">
        <f>AN112/'PL Cronograma detallado'!M$238</f>
        <v>0.007836884245</v>
      </c>
      <c r="AP112" s="234">
        <f t="shared" si="201"/>
        <v>0.01014384584</v>
      </c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 t="shared" si="1"/>
        <v>1</v>
      </c>
      <c r="F113" s="80">
        <v>3.0</v>
      </c>
      <c r="G113" s="105">
        <f t="shared" si="2"/>
        <v>0.002583979328</v>
      </c>
      <c r="H113" s="47">
        <f t="shared" si="202"/>
        <v>0.3522825151</v>
      </c>
      <c r="I113" s="187">
        <f t="shared" si="194"/>
        <v>15</v>
      </c>
      <c r="J113" s="172">
        <f t="shared" si="203"/>
        <v>1718</v>
      </c>
      <c r="K113" s="115">
        <f t="shared" si="3"/>
        <v>0.5849506299</v>
      </c>
      <c r="L113" s="191">
        <f t="shared" si="195"/>
        <v>6.6</v>
      </c>
      <c r="M113" s="172">
        <f t="shared" si="204"/>
        <v>767.82</v>
      </c>
      <c r="N113" s="47">
        <f t="shared" si="4"/>
        <v>0.002583979328</v>
      </c>
      <c r="O113" s="47">
        <f t="shared" si="16"/>
        <v>0.3522825151</v>
      </c>
      <c r="P113" s="348"/>
      <c r="Q113" s="348"/>
      <c r="R113" s="348"/>
      <c r="S113" s="229">
        <f t="shared" si="196"/>
        <v>0</v>
      </c>
      <c r="T113" s="206"/>
      <c r="U113" s="195"/>
      <c r="V113" s="230">
        <f>Roles!$D$2</f>
        <v>0.61</v>
      </c>
      <c r="W113" s="230">
        <f t="shared" si="197"/>
        <v>0</v>
      </c>
      <c r="X113" s="229">
        <f t="shared" si="198"/>
        <v>0</v>
      </c>
      <c r="Y113" s="231">
        <f>'CD R Documentación'!$I113</f>
        <v>0</v>
      </c>
      <c r="Z113" s="195"/>
      <c r="AA113" s="230"/>
      <c r="AB113" s="232">
        <f>'CD R Documentación'!$L113</f>
        <v>0</v>
      </c>
      <c r="AC113" s="229">
        <f t="shared" si="199"/>
        <v>5</v>
      </c>
      <c r="AD113" s="231">
        <f>'CD R Investigación'!$I113</f>
        <v>15</v>
      </c>
      <c r="AE113" s="195"/>
      <c r="AF113" s="230"/>
      <c r="AG113" s="232">
        <f>'CD R Investigación'!$L113</f>
        <v>6.6</v>
      </c>
      <c r="AH113" s="229">
        <f t="shared" si="200"/>
        <v>0</v>
      </c>
      <c r="AI113" s="231">
        <f>'CD R Desarrollo'!$I113</f>
        <v>0</v>
      </c>
      <c r="AJ113" s="200"/>
      <c r="AK113" s="185"/>
      <c r="AL113" s="232">
        <f>'CD R Desarrollo'!$L113</f>
        <v>0</v>
      </c>
      <c r="AM113" s="234">
        <v>1.0</v>
      </c>
      <c r="AN113" s="84">
        <f>'PL Cronograma detallado'!L113*AM113</f>
        <v>3</v>
      </c>
      <c r="AO113" s="234">
        <f>AN113/'PL Cronograma detallado'!M$238</f>
        <v>0.005088885873</v>
      </c>
      <c r="AP113" s="234">
        <f t="shared" si="201"/>
        <v>0.01523273171</v>
      </c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 t="shared" si="1"/>
        <v>1</v>
      </c>
      <c r="F114" s="80">
        <v>4.0</v>
      </c>
      <c r="G114" s="105">
        <f t="shared" si="2"/>
        <v>0.003445305771</v>
      </c>
      <c r="H114" s="47">
        <f t="shared" si="202"/>
        <v>0.3557278208</v>
      </c>
      <c r="I114" s="187">
        <f t="shared" si="194"/>
        <v>5</v>
      </c>
      <c r="J114" s="172">
        <f t="shared" si="203"/>
        <v>1723</v>
      </c>
      <c r="K114" s="115">
        <f t="shared" si="3"/>
        <v>0.5866530473</v>
      </c>
      <c r="L114" s="191">
        <f t="shared" si="195"/>
        <v>2.37</v>
      </c>
      <c r="M114" s="172">
        <f t="shared" si="204"/>
        <v>770.19</v>
      </c>
      <c r="N114" s="47">
        <f t="shared" si="4"/>
        <v>0.003445305771</v>
      </c>
      <c r="O114" s="47">
        <f t="shared" si="16"/>
        <v>0.3557278208</v>
      </c>
      <c r="P114" s="7"/>
      <c r="Q114" s="7"/>
      <c r="R114" s="7"/>
      <c r="S114" s="229">
        <f t="shared" si="196"/>
        <v>0.25</v>
      </c>
      <c r="T114" s="194">
        <v>1.0</v>
      </c>
      <c r="U114" s="195"/>
      <c r="V114" s="230">
        <f>Roles!$D$2</f>
        <v>0.61</v>
      </c>
      <c r="W114" s="230">
        <f t="shared" si="197"/>
        <v>0.61</v>
      </c>
      <c r="X114" s="229">
        <f t="shared" si="198"/>
        <v>1</v>
      </c>
      <c r="Y114" s="231">
        <f>'CD R Documentación'!$I114</f>
        <v>4</v>
      </c>
      <c r="Z114" s="195"/>
      <c r="AA114" s="230"/>
      <c r="AB114" s="232">
        <f>'CD R Documentación'!$L114</f>
        <v>1.76</v>
      </c>
      <c r="AC114" s="229">
        <f t="shared" si="199"/>
        <v>0</v>
      </c>
      <c r="AD114" s="231">
        <f>'CD R Investigación'!$I114</f>
        <v>0</v>
      </c>
      <c r="AE114" s="195"/>
      <c r="AF114" s="230"/>
      <c r="AG114" s="232">
        <f>'CD R Investigación'!$L114</f>
        <v>0</v>
      </c>
      <c r="AH114" s="229">
        <f t="shared" si="200"/>
        <v>0</v>
      </c>
      <c r="AI114" s="231">
        <f>'CD R Desarrollo'!$I114</f>
        <v>0</v>
      </c>
      <c r="AJ114" s="200"/>
      <c r="AK114" s="185"/>
      <c r="AL114" s="232">
        <f>'CD R Desarrollo'!$L114</f>
        <v>0</v>
      </c>
      <c r="AM114" s="234">
        <v>1.0</v>
      </c>
      <c r="AN114" s="84">
        <f>'PL Cronograma detallado'!L114*AM114</f>
        <v>1.29</v>
      </c>
      <c r="AO114" s="234">
        <f>AN114/'PL Cronograma detallado'!M$238</f>
        <v>0.002188220925</v>
      </c>
      <c r="AP114" s="234">
        <f t="shared" si="201"/>
        <v>0.01742095264</v>
      </c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 t="shared" si="1"/>
        <v>1</v>
      </c>
      <c r="F115" s="80">
        <v>2.0</v>
      </c>
      <c r="G115" s="105">
        <f t="shared" si="2"/>
        <v>0.001722652885</v>
      </c>
      <c r="H115" s="47">
        <f t="shared" si="202"/>
        <v>0.3574504737</v>
      </c>
      <c r="I115" s="187">
        <f t="shared" si="194"/>
        <v>6</v>
      </c>
      <c r="J115" s="172">
        <f t="shared" si="203"/>
        <v>1729</v>
      </c>
      <c r="K115" s="115">
        <f t="shared" si="3"/>
        <v>0.5886959482</v>
      </c>
      <c r="L115" s="191">
        <f t="shared" si="195"/>
        <v>2.98</v>
      </c>
      <c r="M115" s="172">
        <f t="shared" si="204"/>
        <v>773.17</v>
      </c>
      <c r="N115" s="47">
        <f t="shared" si="4"/>
        <v>0.001722652885</v>
      </c>
      <c r="O115" s="47">
        <f t="shared" si="16"/>
        <v>0.3574504737</v>
      </c>
      <c r="P115" s="7"/>
      <c r="Q115" s="7"/>
      <c r="R115" s="7"/>
      <c r="S115" s="229">
        <f t="shared" si="196"/>
        <v>1</v>
      </c>
      <c r="T115" s="194">
        <v>2.0</v>
      </c>
      <c r="U115" s="195"/>
      <c r="V115" s="230">
        <f>Roles!$D$2</f>
        <v>0.61</v>
      </c>
      <c r="W115" s="230">
        <f t="shared" si="197"/>
        <v>1.22</v>
      </c>
      <c r="X115" s="229">
        <f t="shared" si="198"/>
        <v>1</v>
      </c>
      <c r="Y115" s="231">
        <f>'CD R Documentación'!$I115</f>
        <v>2</v>
      </c>
      <c r="Z115" s="195"/>
      <c r="AA115" s="230"/>
      <c r="AB115" s="232">
        <f>'CD R Documentación'!$L115</f>
        <v>0.88</v>
      </c>
      <c r="AC115" s="229">
        <f t="shared" si="199"/>
        <v>1</v>
      </c>
      <c r="AD115" s="231">
        <f>'CD R Investigación'!$I115</f>
        <v>2</v>
      </c>
      <c r="AE115" s="195"/>
      <c r="AF115" s="230"/>
      <c r="AG115" s="232">
        <f>'CD R Investigación'!$L115</f>
        <v>0.88</v>
      </c>
      <c r="AH115" s="229">
        <f t="shared" si="200"/>
        <v>0</v>
      </c>
      <c r="AI115" s="231">
        <f>'CD R Desarrollo'!$I115</f>
        <v>0</v>
      </c>
      <c r="AJ115" s="200"/>
      <c r="AK115" s="185"/>
      <c r="AL115" s="232">
        <f>'CD R Desarrollo'!$L115</f>
        <v>0</v>
      </c>
      <c r="AM115" s="234">
        <v>1.0</v>
      </c>
      <c r="AN115" s="84">
        <f>'PL Cronograma detallado'!L115*AM115</f>
        <v>1.96</v>
      </c>
      <c r="AO115" s="234">
        <f>AN115/'PL Cronograma detallado'!M$238</f>
        <v>0.003324738771</v>
      </c>
      <c r="AP115" s="234">
        <f t="shared" si="201"/>
        <v>0.02074569141</v>
      </c>
    </row>
    <row r="116" ht="15.75" customHeight="1">
      <c r="A116" s="157" t="s">
        <v>338</v>
      </c>
      <c r="B116" s="346" t="s">
        <v>601</v>
      </c>
      <c r="C116" s="201">
        <v>46306.0</v>
      </c>
      <c r="D116" s="201">
        <v>46306.0</v>
      </c>
      <c r="E116" s="168">
        <f t="shared" si="1"/>
        <v>1</v>
      </c>
      <c r="F116" s="80">
        <v>1.0</v>
      </c>
      <c r="G116" s="105">
        <f t="shared" si="2"/>
        <v>0.0008613264427</v>
      </c>
      <c r="H116" s="47">
        <f t="shared" si="202"/>
        <v>0.3583118002</v>
      </c>
      <c r="I116" s="187">
        <f t="shared" si="194"/>
        <v>2</v>
      </c>
      <c r="J116" s="172">
        <f t="shared" si="203"/>
        <v>1731</v>
      </c>
      <c r="K116" s="115">
        <f t="shared" si="3"/>
        <v>0.5893769152</v>
      </c>
      <c r="L116" s="191">
        <f t="shared" si="195"/>
        <v>0.88</v>
      </c>
      <c r="M116" s="172">
        <f t="shared" si="204"/>
        <v>774.05</v>
      </c>
      <c r="N116" s="47">
        <f t="shared" si="4"/>
        <v>0.0008613264427</v>
      </c>
      <c r="O116" s="47">
        <f t="shared" si="16"/>
        <v>0.3583118002</v>
      </c>
      <c r="P116" s="7"/>
      <c r="Q116" s="7"/>
      <c r="R116" s="7"/>
      <c r="S116" s="229">
        <f t="shared" si="196"/>
        <v>0</v>
      </c>
      <c r="T116" s="206"/>
      <c r="U116" s="195"/>
      <c r="V116" s="230">
        <f>Roles!$D$2</f>
        <v>0.61</v>
      </c>
      <c r="W116" s="230">
        <f t="shared" si="197"/>
        <v>0</v>
      </c>
      <c r="X116" s="229">
        <f t="shared" si="198"/>
        <v>0</v>
      </c>
      <c r="Y116" s="231">
        <f>'CD R Documentación'!$I116</f>
        <v>0</v>
      </c>
      <c r="Z116" s="195"/>
      <c r="AA116" s="230"/>
      <c r="AB116" s="232">
        <f>'CD R Documentación'!$L116</f>
        <v>0</v>
      </c>
      <c r="AC116" s="229">
        <f t="shared" si="199"/>
        <v>2</v>
      </c>
      <c r="AD116" s="231">
        <f>'CD R Investigación'!$I116</f>
        <v>2</v>
      </c>
      <c r="AE116" s="195"/>
      <c r="AF116" s="230"/>
      <c r="AG116" s="232">
        <f>'CD R Investigación'!$L116</f>
        <v>0.88</v>
      </c>
      <c r="AH116" s="229">
        <f t="shared" si="200"/>
        <v>0</v>
      </c>
      <c r="AI116" s="231">
        <f>'CD R Desarrollo'!$I116</f>
        <v>0</v>
      </c>
      <c r="AJ116" s="200"/>
      <c r="AK116" s="185"/>
      <c r="AL116" s="232">
        <f>'CD R Desarrollo'!$L116</f>
        <v>0</v>
      </c>
      <c r="AM116" s="234">
        <v>1.0</v>
      </c>
      <c r="AN116" s="84">
        <f>'PL Cronograma detallado'!L116*AM116</f>
        <v>0.4</v>
      </c>
      <c r="AO116" s="234">
        <f>AN116/'PL Cronograma detallado'!M$238</f>
        <v>0.0006785181164</v>
      </c>
      <c r="AP116" s="234">
        <f t="shared" si="201"/>
        <v>0.02142420953</v>
      </c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 t="shared" si="1"/>
        <v>4</v>
      </c>
      <c r="F117" s="246">
        <f>SUM(F118:F121)</f>
        <v>17</v>
      </c>
      <c r="G117" s="105">
        <f t="shared" si="2"/>
        <v>0.01464254953</v>
      </c>
      <c r="H117" s="226">
        <f>H121</f>
        <v>0.3729543497</v>
      </c>
      <c r="I117" s="247">
        <f>SUM(I118:I121)</f>
        <v>51</v>
      </c>
      <c r="J117" s="247">
        <f>J121</f>
        <v>1782</v>
      </c>
      <c r="K117" s="167">
        <f t="shared" si="3"/>
        <v>0.606741573</v>
      </c>
      <c r="L117" s="247">
        <f>SUM(L118:L121)</f>
        <v>22.61</v>
      </c>
      <c r="M117" s="247">
        <f>M121</f>
        <v>796.66</v>
      </c>
      <c r="N117" s="47">
        <f t="shared" si="4"/>
        <v>0</v>
      </c>
      <c r="O117" s="47">
        <f t="shared" si="16"/>
        <v>0.3583118002</v>
      </c>
      <c r="P117" s="7"/>
      <c r="Q117" s="7"/>
      <c r="R117" s="7"/>
      <c r="S117" s="173"/>
      <c r="T117" s="174"/>
      <c r="U117" s="178"/>
      <c r="V117" s="178"/>
      <c r="W117" s="178"/>
      <c r="X117" s="173"/>
      <c r="Y117" s="231"/>
      <c r="Z117" s="178"/>
      <c r="AA117" s="178"/>
      <c r="AB117" s="232"/>
      <c r="AC117" s="173"/>
      <c r="AD117" s="231"/>
      <c r="AE117" s="178"/>
      <c r="AF117" s="178"/>
      <c r="AG117" s="232"/>
      <c r="AH117" s="173"/>
      <c r="AI117" s="231"/>
      <c r="AJ117" s="180"/>
      <c r="AK117" s="180"/>
      <c r="AL117" s="232"/>
      <c r="AM117" s="234"/>
      <c r="AN117" s="84"/>
      <c r="AO117" s="234"/>
      <c r="AP117" s="234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 t="shared" si="1"/>
        <v>2</v>
      </c>
      <c r="F118" s="80">
        <v>4.0</v>
      </c>
      <c r="G118" s="105">
        <f t="shared" si="2"/>
        <v>0.003445305771</v>
      </c>
      <c r="H118" s="47">
        <f>H116+G118</f>
        <v>0.3617571059</v>
      </c>
      <c r="I118" s="187">
        <f t="shared" ref="I118:I121" si="205">T118+Y118+AD118+AI118</f>
        <v>12</v>
      </c>
      <c r="J118" s="172">
        <f>J116+I118</f>
        <v>1743</v>
      </c>
      <c r="K118" s="115">
        <f t="shared" si="3"/>
        <v>0.5934627171</v>
      </c>
      <c r="L118" s="191">
        <f t="shared" ref="L118:L121" si="206">W118+AB118+AG118+AL118</f>
        <v>5.28</v>
      </c>
      <c r="M118" s="172">
        <f>M116+L118</f>
        <v>779.33</v>
      </c>
      <c r="N118" s="47">
        <f t="shared" si="4"/>
        <v>0.003445305771</v>
      </c>
      <c r="O118" s="47">
        <f t="shared" si="16"/>
        <v>0.3617571059</v>
      </c>
      <c r="P118" s="7"/>
      <c r="Q118" s="7"/>
      <c r="R118" s="7"/>
      <c r="S118" s="229">
        <f t="shared" ref="S118:S121" si="207">T118/$F118</f>
        <v>0</v>
      </c>
      <c r="T118" s="206"/>
      <c r="U118" s="195"/>
      <c r="V118" s="230">
        <f>Roles!$D$2</f>
        <v>0.61</v>
      </c>
      <c r="W118" s="230">
        <f t="shared" ref="W118:W121" si="208">V118*T118</f>
        <v>0</v>
      </c>
      <c r="X118" s="229">
        <f t="shared" ref="X118:X121" si="209">Y118/$F118</f>
        <v>0</v>
      </c>
      <c r="Y118" s="231">
        <f>'CD R Documentación'!$I118</f>
        <v>0</v>
      </c>
      <c r="Z118" s="195"/>
      <c r="AA118" s="230"/>
      <c r="AB118" s="232">
        <f>'CD R Documentación'!$L118</f>
        <v>0</v>
      </c>
      <c r="AC118" s="229">
        <f t="shared" ref="AC118:AC121" si="210">AD118/$F118</f>
        <v>3</v>
      </c>
      <c r="AD118" s="231">
        <f>'CD R Investigación'!$I118</f>
        <v>12</v>
      </c>
      <c r="AE118" s="195"/>
      <c r="AF118" s="230"/>
      <c r="AG118" s="232">
        <f>'CD R Investigación'!$L118</f>
        <v>5.28</v>
      </c>
      <c r="AH118" s="229">
        <f t="shared" ref="AH118:AH121" si="211">AI118/$F118</f>
        <v>0</v>
      </c>
      <c r="AI118" s="231">
        <f>'CD R Desarrollo'!$I118</f>
        <v>0</v>
      </c>
      <c r="AJ118" s="200"/>
      <c r="AK118" s="185"/>
      <c r="AL118" s="232">
        <f>'CD R Desarrollo'!$L118</f>
        <v>0</v>
      </c>
      <c r="AM118" s="234">
        <v>1.0</v>
      </c>
      <c r="AN118" s="84">
        <f>'PL Cronograma detallado'!L118*AM118</f>
        <v>2.4</v>
      </c>
      <c r="AO118" s="234">
        <f>AN118/'PL Cronograma detallado'!M$238</f>
        <v>0.004071108699</v>
      </c>
      <c r="AP118" s="234">
        <f t="shared" ref="AP118:AP121" si="212">AO118+AP117</f>
        <v>0.004071108699</v>
      </c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 t="shared" si="1"/>
        <v>1</v>
      </c>
      <c r="F119" s="80">
        <v>3.0</v>
      </c>
      <c r="G119" s="105">
        <f t="shared" si="2"/>
        <v>0.002583979328</v>
      </c>
      <c r="H119" s="47">
        <f t="shared" ref="H119:H121" si="213">H118+G119</f>
        <v>0.3643410853</v>
      </c>
      <c r="I119" s="187">
        <f t="shared" si="205"/>
        <v>6</v>
      </c>
      <c r="J119" s="172">
        <f t="shared" ref="J119:J121" si="214">J118+I119</f>
        <v>1749</v>
      </c>
      <c r="K119" s="115">
        <f t="shared" si="3"/>
        <v>0.595505618</v>
      </c>
      <c r="L119" s="191">
        <f t="shared" si="206"/>
        <v>2.64</v>
      </c>
      <c r="M119" s="172">
        <f t="shared" ref="M119:M121" si="215">M118+L119</f>
        <v>781.97</v>
      </c>
      <c r="N119" s="47">
        <f t="shared" si="4"/>
        <v>0.002583979328</v>
      </c>
      <c r="O119" s="47">
        <f t="shared" si="16"/>
        <v>0.3643410853</v>
      </c>
      <c r="P119" s="7"/>
      <c r="Q119" s="7"/>
      <c r="R119" s="7"/>
      <c r="S119" s="229">
        <f t="shared" si="207"/>
        <v>0</v>
      </c>
      <c r="T119" s="206"/>
      <c r="U119" s="195"/>
      <c r="V119" s="230">
        <f>Roles!$D$2</f>
        <v>0.61</v>
      </c>
      <c r="W119" s="230">
        <f t="shared" si="208"/>
        <v>0</v>
      </c>
      <c r="X119" s="229">
        <f t="shared" si="209"/>
        <v>0</v>
      </c>
      <c r="Y119" s="231">
        <f>'CD R Documentación'!$I119</f>
        <v>0</v>
      </c>
      <c r="Z119" s="195"/>
      <c r="AA119" s="230"/>
      <c r="AB119" s="232">
        <f>'CD R Documentación'!$L119</f>
        <v>0</v>
      </c>
      <c r="AC119" s="229">
        <f t="shared" si="210"/>
        <v>2</v>
      </c>
      <c r="AD119" s="231">
        <f>'CD R Investigación'!$I119</f>
        <v>6</v>
      </c>
      <c r="AE119" s="195"/>
      <c r="AF119" s="230"/>
      <c r="AG119" s="232">
        <f>'CD R Investigación'!$L119</f>
        <v>2.64</v>
      </c>
      <c r="AH119" s="229">
        <f t="shared" si="211"/>
        <v>0</v>
      </c>
      <c r="AI119" s="231">
        <f>'CD R Desarrollo'!$I119</f>
        <v>0</v>
      </c>
      <c r="AJ119" s="200"/>
      <c r="AK119" s="185"/>
      <c r="AL119" s="232">
        <f>'CD R Desarrollo'!$L119</f>
        <v>0</v>
      </c>
      <c r="AM119" s="234">
        <v>1.0</v>
      </c>
      <c r="AN119" s="84">
        <f>'PL Cronograma detallado'!L119*AM119</f>
        <v>1.2</v>
      </c>
      <c r="AO119" s="234">
        <f>AN119/'PL Cronograma detallado'!M$238</f>
        <v>0.002035554349</v>
      </c>
      <c r="AP119" s="234">
        <f t="shared" si="212"/>
        <v>0.006106663048</v>
      </c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 t="shared" si="1"/>
        <v>3</v>
      </c>
      <c r="F120" s="80">
        <v>6.0</v>
      </c>
      <c r="G120" s="105">
        <f t="shared" si="2"/>
        <v>0.005167958656</v>
      </c>
      <c r="H120" s="47">
        <f t="shared" si="213"/>
        <v>0.3695090439</v>
      </c>
      <c r="I120" s="187">
        <f t="shared" si="205"/>
        <v>23</v>
      </c>
      <c r="J120" s="172">
        <f t="shared" si="214"/>
        <v>1772</v>
      </c>
      <c r="K120" s="115">
        <f t="shared" si="3"/>
        <v>0.6033367382</v>
      </c>
      <c r="L120" s="191">
        <f t="shared" si="206"/>
        <v>10.29</v>
      </c>
      <c r="M120" s="172">
        <f t="shared" si="215"/>
        <v>792.26</v>
      </c>
      <c r="N120" s="47">
        <f t="shared" si="4"/>
        <v>0.005167958656</v>
      </c>
      <c r="O120" s="47">
        <f t="shared" si="16"/>
        <v>0.3695090439</v>
      </c>
      <c r="P120" s="7"/>
      <c r="Q120" s="7"/>
      <c r="R120" s="7"/>
      <c r="S120" s="229">
        <f t="shared" si="207"/>
        <v>0.1666666667</v>
      </c>
      <c r="T120" s="194">
        <v>1.0</v>
      </c>
      <c r="U120" s="195"/>
      <c r="V120" s="230">
        <f>Roles!$D$2</f>
        <v>0.61</v>
      </c>
      <c r="W120" s="230">
        <f t="shared" si="208"/>
        <v>0.61</v>
      </c>
      <c r="X120" s="229">
        <f t="shared" si="209"/>
        <v>0.6666666667</v>
      </c>
      <c r="Y120" s="231">
        <f>'CD R Documentación'!$I120</f>
        <v>4</v>
      </c>
      <c r="Z120" s="195"/>
      <c r="AA120" s="230"/>
      <c r="AB120" s="232">
        <f>'CD R Documentación'!$L120</f>
        <v>1.76</v>
      </c>
      <c r="AC120" s="229">
        <f t="shared" si="210"/>
        <v>3</v>
      </c>
      <c r="AD120" s="231">
        <f>'CD R Investigación'!$I120</f>
        <v>18</v>
      </c>
      <c r="AE120" s="195"/>
      <c r="AF120" s="230"/>
      <c r="AG120" s="232">
        <f>'CD R Investigación'!$L120</f>
        <v>7.92</v>
      </c>
      <c r="AH120" s="229">
        <f t="shared" si="211"/>
        <v>0</v>
      </c>
      <c r="AI120" s="231">
        <f>'CD R Desarrollo'!$I120</f>
        <v>0</v>
      </c>
      <c r="AJ120" s="200"/>
      <c r="AK120" s="185"/>
      <c r="AL120" s="232">
        <f>'CD R Desarrollo'!$L120</f>
        <v>0</v>
      </c>
      <c r="AM120" s="234">
        <v>1.0</v>
      </c>
      <c r="AN120" s="84">
        <f>'PL Cronograma detallado'!L120*AM120</f>
        <v>4.89</v>
      </c>
      <c r="AO120" s="234">
        <f>AN120/'PL Cronograma detallado'!M$238</f>
        <v>0.008294883973</v>
      </c>
      <c r="AP120" s="234">
        <f t="shared" si="212"/>
        <v>0.01440154702</v>
      </c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 t="shared" si="1"/>
        <v>2</v>
      </c>
      <c r="F121" s="80">
        <v>4.0</v>
      </c>
      <c r="G121" s="105">
        <f t="shared" si="2"/>
        <v>0.003445305771</v>
      </c>
      <c r="H121" s="47">
        <f t="shared" si="213"/>
        <v>0.3729543497</v>
      </c>
      <c r="I121" s="187">
        <f t="shared" si="205"/>
        <v>10</v>
      </c>
      <c r="J121" s="172">
        <f t="shared" si="214"/>
        <v>1782</v>
      </c>
      <c r="K121" s="115">
        <f t="shared" si="3"/>
        <v>0.606741573</v>
      </c>
      <c r="L121" s="191">
        <f t="shared" si="206"/>
        <v>4.4</v>
      </c>
      <c r="M121" s="172">
        <f t="shared" si="215"/>
        <v>796.66</v>
      </c>
      <c r="N121" s="47">
        <f t="shared" si="4"/>
        <v>0.003445305771</v>
      </c>
      <c r="O121" s="47">
        <f t="shared" si="16"/>
        <v>0.3729543497</v>
      </c>
      <c r="P121" s="7"/>
      <c r="Q121" s="7"/>
      <c r="R121" s="7"/>
      <c r="S121" s="229">
        <f t="shared" si="207"/>
        <v>0</v>
      </c>
      <c r="T121" s="206"/>
      <c r="U121" s="195"/>
      <c r="V121" s="230">
        <f>Roles!$D$2</f>
        <v>0.61</v>
      </c>
      <c r="W121" s="230">
        <f t="shared" si="208"/>
        <v>0</v>
      </c>
      <c r="X121" s="229">
        <f t="shared" si="209"/>
        <v>0.5</v>
      </c>
      <c r="Y121" s="231">
        <f>'CD R Documentación'!$I121</f>
        <v>2</v>
      </c>
      <c r="Z121" s="195"/>
      <c r="AA121" s="230"/>
      <c r="AB121" s="232">
        <f>'CD R Documentación'!$L121</f>
        <v>0.88</v>
      </c>
      <c r="AC121" s="229">
        <f t="shared" si="210"/>
        <v>2</v>
      </c>
      <c r="AD121" s="231">
        <f>'CD R Investigación'!$I121</f>
        <v>8</v>
      </c>
      <c r="AE121" s="195"/>
      <c r="AF121" s="230"/>
      <c r="AG121" s="232">
        <f>'CD R Investigación'!$L121</f>
        <v>3.52</v>
      </c>
      <c r="AH121" s="229">
        <f t="shared" si="211"/>
        <v>0</v>
      </c>
      <c r="AI121" s="231">
        <f>'CD R Desarrollo'!$I121</f>
        <v>0</v>
      </c>
      <c r="AJ121" s="200"/>
      <c r="AK121" s="185"/>
      <c r="AL121" s="232">
        <f>'CD R Desarrollo'!$L121</f>
        <v>0</v>
      </c>
      <c r="AM121" s="234">
        <v>1.0</v>
      </c>
      <c r="AN121" s="84">
        <f>'PL Cronograma detallado'!L121*AM121</f>
        <v>1.94</v>
      </c>
      <c r="AO121" s="234">
        <f>AN121/'PL Cronograma detallado'!M$238</f>
        <v>0.003290812865</v>
      </c>
      <c r="AP121" s="234">
        <f t="shared" si="212"/>
        <v>0.01769235989</v>
      </c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 t="shared" si="1"/>
        <v>6</v>
      </c>
      <c r="F122" s="246">
        <f>SUM(F123:F126)</f>
        <v>12</v>
      </c>
      <c r="G122" s="105">
        <f t="shared" si="2"/>
        <v>0.01033591731</v>
      </c>
      <c r="H122" s="226">
        <f>H126</f>
        <v>0.383290267</v>
      </c>
      <c r="I122" s="247">
        <f>SUM(I123:I126)</f>
        <v>30</v>
      </c>
      <c r="J122" s="247">
        <f>J126</f>
        <v>1812</v>
      </c>
      <c r="K122" s="167">
        <f t="shared" si="3"/>
        <v>0.6169560776</v>
      </c>
      <c r="L122" s="247">
        <f>SUM(L123:L126)</f>
        <v>13.88</v>
      </c>
      <c r="M122" s="247">
        <f>M126</f>
        <v>810.54</v>
      </c>
      <c r="N122" s="47">
        <f t="shared" si="4"/>
        <v>0</v>
      </c>
      <c r="O122" s="47">
        <f t="shared" si="16"/>
        <v>0.3729543497</v>
      </c>
      <c r="P122" s="7"/>
      <c r="Q122" s="7"/>
      <c r="R122" s="7"/>
      <c r="S122" s="173"/>
      <c r="T122" s="174"/>
      <c r="U122" s="178"/>
      <c r="V122" s="178"/>
      <c r="W122" s="178"/>
      <c r="X122" s="173"/>
      <c r="Y122" s="231"/>
      <c r="Z122" s="178"/>
      <c r="AA122" s="178"/>
      <c r="AB122" s="232"/>
      <c r="AC122" s="173"/>
      <c r="AD122" s="231"/>
      <c r="AE122" s="178"/>
      <c r="AF122" s="178"/>
      <c r="AG122" s="232"/>
      <c r="AH122" s="173"/>
      <c r="AI122" s="231"/>
      <c r="AJ122" s="180"/>
      <c r="AK122" s="180"/>
      <c r="AL122" s="232"/>
      <c r="AM122" s="234"/>
      <c r="AN122" s="84"/>
      <c r="AO122" s="234"/>
      <c r="AP122" s="234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 t="shared" si="1"/>
        <v>2</v>
      </c>
      <c r="F123" s="80">
        <v>4.0</v>
      </c>
      <c r="G123" s="105">
        <f t="shared" si="2"/>
        <v>0.003445305771</v>
      </c>
      <c r="H123" s="47">
        <f>H121+G123</f>
        <v>0.3763996555</v>
      </c>
      <c r="I123" s="187">
        <f t="shared" ref="I123:I126" si="216">T123+Y123+AD123+AI123</f>
        <v>11</v>
      </c>
      <c r="J123" s="172">
        <f>J121+I123</f>
        <v>1793</v>
      </c>
      <c r="K123" s="115">
        <f t="shared" si="3"/>
        <v>0.6104868914</v>
      </c>
      <c r="L123" s="191">
        <f t="shared" ref="L123:L126" si="217">W123+AB123+AG123+AL123</f>
        <v>5.01</v>
      </c>
      <c r="M123" s="172">
        <f>M121+L123</f>
        <v>801.67</v>
      </c>
      <c r="N123" s="47">
        <f t="shared" si="4"/>
        <v>0.003445305771</v>
      </c>
      <c r="O123" s="47">
        <f t="shared" si="16"/>
        <v>0.3763996555</v>
      </c>
      <c r="P123" s="7"/>
      <c r="Q123" s="7"/>
      <c r="R123" s="7"/>
      <c r="S123" s="229">
        <f t="shared" ref="S123:S126" si="218">T123/$F123</f>
        <v>0.25</v>
      </c>
      <c r="T123" s="194">
        <v>1.0</v>
      </c>
      <c r="U123" s="195"/>
      <c r="V123" s="230">
        <f>Roles!$D$2</f>
        <v>0.61</v>
      </c>
      <c r="W123" s="230">
        <f t="shared" ref="W123:W126" si="219">V123*T123</f>
        <v>0.61</v>
      </c>
      <c r="X123" s="229">
        <f t="shared" ref="X123:X126" si="220">Y123/$F123</f>
        <v>0</v>
      </c>
      <c r="Y123" s="231">
        <f>'CD R Documentación'!$I123</f>
        <v>0</v>
      </c>
      <c r="Z123" s="195"/>
      <c r="AA123" s="230"/>
      <c r="AB123" s="232">
        <f>'CD R Documentación'!$L123</f>
        <v>0</v>
      </c>
      <c r="AC123" s="229">
        <f t="shared" ref="AC123:AC126" si="221">AD123/$F123</f>
        <v>0.5</v>
      </c>
      <c r="AD123" s="231">
        <f>'CD R Investigación'!$I123</f>
        <v>2</v>
      </c>
      <c r="AE123" s="195"/>
      <c r="AF123" s="230"/>
      <c r="AG123" s="232">
        <f>'CD R Investigación'!$L123</f>
        <v>0.88</v>
      </c>
      <c r="AH123" s="229">
        <f t="shared" ref="AH123:AH126" si="222">AI123/$F123</f>
        <v>2</v>
      </c>
      <c r="AI123" s="231">
        <f>'CD R Desarrollo'!$I123</f>
        <v>8</v>
      </c>
      <c r="AJ123" s="200"/>
      <c r="AK123" s="185"/>
      <c r="AL123" s="232">
        <f>'CD R Desarrollo'!$L123</f>
        <v>3.52</v>
      </c>
      <c r="AM123" s="234">
        <v>1.0</v>
      </c>
      <c r="AN123" s="84">
        <f>'PL Cronograma detallado'!L123*AM123</f>
        <v>2.45</v>
      </c>
      <c r="AO123" s="234">
        <f>AN123/'PL Cronograma detallado'!M$238</f>
        <v>0.004155923463</v>
      </c>
      <c r="AP123" s="234">
        <f t="shared" ref="AP123:AP126" si="223">AO123+AP122</f>
        <v>0.004155923463</v>
      </c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 t="shared" si="1"/>
        <v>2</v>
      </c>
      <c r="F124" s="80">
        <v>3.0</v>
      </c>
      <c r="G124" s="105">
        <f t="shared" si="2"/>
        <v>0.002583979328</v>
      </c>
      <c r="H124" s="47">
        <f t="shared" ref="H124:H126" si="224">H123+G124</f>
        <v>0.3789836348</v>
      </c>
      <c r="I124" s="187">
        <f t="shared" si="216"/>
        <v>7</v>
      </c>
      <c r="J124" s="172">
        <f t="shared" ref="J124:J126" si="225">J123+I124</f>
        <v>1800</v>
      </c>
      <c r="K124" s="115">
        <f t="shared" si="3"/>
        <v>0.6128702758</v>
      </c>
      <c r="L124" s="191">
        <f t="shared" si="217"/>
        <v>3.25</v>
      </c>
      <c r="M124" s="172">
        <f t="shared" ref="M124:M126" si="226">M123+L124</f>
        <v>804.92</v>
      </c>
      <c r="N124" s="47">
        <f t="shared" si="4"/>
        <v>0.002583979328</v>
      </c>
      <c r="O124" s="47">
        <f t="shared" si="16"/>
        <v>0.3789836348</v>
      </c>
      <c r="P124" s="7"/>
      <c r="Q124" s="7"/>
      <c r="R124" s="7"/>
      <c r="S124" s="229">
        <f t="shared" si="218"/>
        <v>0.3333333333</v>
      </c>
      <c r="T124" s="194">
        <v>1.0</v>
      </c>
      <c r="U124" s="195"/>
      <c r="V124" s="230">
        <f>Roles!$D$2</f>
        <v>0.61</v>
      </c>
      <c r="W124" s="230">
        <f t="shared" si="219"/>
        <v>0.61</v>
      </c>
      <c r="X124" s="229">
        <f t="shared" si="220"/>
        <v>0</v>
      </c>
      <c r="Y124" s="231">
        <f>'CD R Documentación'!$I124</f>
        <v>0</v>
      </c>
      <c r="Z124" s="195"/>
      <c r="AA124" s="230"/>
      <c r="AB124" s="232">
        <f>'CD R Documentación'!$L124</f>
        <v>0</v>
      </c>
      <c r="AC124" s="229">
        <f t="shared" si="221"/>
        <v>0</v>
      </c>
      <c r="AD124" s="231">
        <f>'CD R Investigación'!$I124</f>
        <v>0</v>
      </c>
      <c r="AE124" s="195"/>
      <c r="AF124" s="230"/>
      <c r="AG124" s="232">
        <f>'CD R Investigación'!$L124</f>
        <v>0</v>
      </c>
      <c r="AH124" s="229">
        <f t="shared" si="222"/>
        <v>2</v>
      </c>
      <c r="AI124" s="231">
        <f>'CD R Desarrollo'!$I124</f>
        <v>6</v>
      </c>
      <c r="AJ124" s="200"/>
      <c r="AK124" s="185"/>
      <c r="AL124" s="232">
        <f>'CD R Desarrollo'!$L124</f>
        <v>2.64</v>
      </c>
      <c r="AM124" s="234">
        <v>1.0</v>
      </c>
      <c r="AN124" s="84">
        <f>'PL Cronograma detallado'!L124*AM124</f>
        <v>1.69</v>
      </c>
      <c r="AO124" s="234">
        <f>AN124/'PL Cronograma detallado'!M$238</f>
        <v>0.002866739042</v>
      </c>
      <c r="AP124" s="234">
        <f t="shared" si="223"/>
        <v>0.007022662505</v>
      </c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 t="shared" si="1"/>
        <v>2</v>
      </c>
      <c r="F125" s="80">
        <v>3.0</v>
      </c>
      <c r="G125" s="105">
        <f t="shared" si="2"/>
        <v>0.002583979328</v>
      </c>
      <c r="H125" s="47">
        <f t="shared" si="224"/>
        <v>0.3815676141</v>
      </c>
      <c r="I125" s="187">
        <f t="shared" si="216"/>
        <v>7</v>
      </c>
      <c r="J125" s="172">
        <f t="shared" si="225"/>
        <v>1807</v>
      </c>
      <c r="K125" s="115">
        <f t="shared" si="3"/>
        <v>0.6152536602</v>
      </c>
      <c r="L125" s="191">
        <f t="shared" si="217"/>
        <v>3.25</v>
      </c>
      <c r="M125" s="172">
        <f t="shared" si="226"/>
        <v>808.17</v>
      </c>
      <c r="N125" s="47">
        <f t="shared" si="4"/>
        <v>0.002583979328</v>
      </c>
      <c r="O125" s="47">
        <f t="shared" si="16"/>
        <v>0.3815676141</v>
      </c>
      <c r="P125" s="7"/>
      <c r="Q125" s="7"/>
      <c r="R125" s="7"/>
      <c r="S125" s="229">
        <f t="shared" si="218"/>
        <v>0.3333333333</v>
      </c>
      <c r="T125" s="194">
        <v>1.0</v>
      </c>
      <c r="U125" s="195"/>
      <c r="V125" s="230">
        <f>Roles!$D$2</f>
        <v>0.61</v>
      </c>
      <c r="W125" s="230">
        <f t="shared" si="219"/>
        <v>0.61</v>
      </c>
      <c r="X125" s="229">
        <f t="shared" si="220"/>
        <v>1.333333333</v>
      </c>
      <c r="Y125" s="231">
        <f>'CD R Documentación'!$I125</f>
        <v>4</v>
      </c>
      <c r="Z125" s="195"/>
      <c r="AA125" s="230"/>
      <c r="AB125" s="232">
        <f>'CD R Documentación'!$L125</f>
        <v>1.76</v>
      </c>
      <c r="AC125" s="229">
        <f t="shared" si="221"/>
        <v>0</v>
      </c>
      <c r="AD125" s="231">
        <f>'CD R Investigación'!$I125</f>
        <v>0</v>
      </c>
      <c r="AE125" s="195"/>
      <c r="AF125" s="230"/>
      <c r="AG125" s="232">
        <f>'CD R Investigación'!$L125</f>
        <v>0</v>
      </c>
      <c r="AH125" s="229">
        <f t="shared" si="222"/>
        <v>0.6666666667</v>
      </c>
      <c r="AI125" s="231">
        <f>'CD R Desarrollo'!$I125</f>
        <v>2</v>
      </c>
      <c r="AJ125" s="200"/>
      <c r="AK125" s="185"/>
      <c r="AL125" s="232">
        <f>'CD R Desarrollo'!$L125</f>
        <v>0.88</v>
      </c>
      <c r="AM125" s="234">
        <v>1.0</v>
      </c>
      <c r="AN125" s="84">
        <f>'PL Cronograma detallado'!L125*AM125</f>
        <v>1.65</v>
      </c>
      <c r="AO125" s="234">
        <f>AN125/'PL Cronograma detallado'!M$238</f>
        <v>0.00279888723</v>
      </c>
      <c r="AP125" s="234">
        <f t="shared" si="223"/>
        <v>0.009821549735</v>
      </c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 t="shared" si="1"/>
        <v>2</v>
      </c>
      <c r="F126" s="80">
        <v>2.0</v>
      </c>
      <c r="G126" s="105">
        <f t="shared" si="2"/>
        <v>0.001722652885</v>
      </c>
      <c r="H126" s="47">
        <f t="shared" si="224"/>
        <v>0.383290267</v>
      </c>
      <c r="I126" s="187">
        <f t="shared" si="216"/>
        <v>5</v>
      </c>
      <c r="J126" s="172">
        <f t="shared" si="225"/>
        <v>1812</v>
      </c>
      <c r="K126" s="115">
        <f t="shared" si="3"/>
        <v>0.6169560776</v>
      </c>
      <c r="L126" s="191">
        <f t="shared" si="217"/>
        <v>2.37</v>
      </c>
      <c r="M126" s="172">
        <f t="shared" si="226"/>
        <v>810.54</v>
      </c>
      <c r="N126" s="47">
        <f t="shared" si="4"/>
        <v>0.001722652885</v>
      </c>
      <c r="O126" s="47">
        <f t="shared" si="16"/>
        <v>0.383290267</v>
      </c>
      <c r="P126" s="7"/>
      <c r="Q126" s="7"/>
      <c r="R126" s="7"/>
      <c r="S126" s="229">
        <f t="shared" si="218"/>
        <v>0.5</v>
      </c>
      <c r="T126" s="194">
        <v>1.0</v>
      </c>
      <c r="U126" s="195"/>
      <c r="V126" s="230">
        <f>Roles!$D$2</f>
        <v>0.61</v>
      </c>
      <c r="W126" s="230">
        <f t="shared" si="219"/>
        <v>0.61</v>
      </c>
      <c r="X126" s="229">
        <f t="shared" si="220"/>
        <v>0</v>
      </c>
      <c r="Y126" s="231">
        <f>'CD R Documentación'!$I126</f>
        <v>0</v>
      </c>
      <c r="Z126" s="195"/>
      <c r="AA126" s="230"/>
      <c r="AB126" s="232">
        <f>'CD R Documentación'!$L126</f>
        <v>0</v>
      </c>
      <c r="AC126" s="229">
        <f t="shared" si="221"/>
        <v>0</v>
      </c>
      <c r="AD126" s="231">
        <f>'CD R Investigación'!$I126</f>
        <v>0</v>
      </c>
      <c r="AE126" s="195"/>
      <c r="AF126" s="230"/>
      <c r="AG126" s="232">
        <f>'CD R Investigación'!$L126</f>
        <v>0</v>
      </c>
      <c r="AH126" s="229">
        <f t="shared" si="222"/>
        <v>2</v>
      </c>
      <c r="AI126" s="231">
        <f>'CD R Desarrollo'!$I126</f>
        <v>4</v>
      </c>
      <c r="AJ126" s="200"/>
      <c r="AK126" s="185"/>
      <c r="AL126" s="232">
        <f>'CD R Desarrollo'!$L126</f>
        <v>1.76</v>
      </c>
      <c r="AM126" s="234">
        <v>1.0</v>
      </c>
      <c r="AN126" s="84">
        <f>'PL Cronograma detallado'!L126*AM126</f>
        <v>1.33</v>
      </c>
      <c r="AO126" s="234">
        <f>AN126/'PL Cronograma detallado'!M$238</f>
        <v>0.002256072737</v>
      </c>
      <c r="AP126" s="234">
        <f t="shared" si="223"/>
        <v>0.01207762247</v>
      </c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 t="shared" si="1"/>
        <v>8</v>
      </c>
      <c r="F127" s="246">
        <f>SUM(F128:F130)</f>
        <v>64</v>
      </c>
      <c r="G127" s="105">
        <f t="shared" si="2"/>
        <v>0.05512489233</v>
      </c>
      <c r="H127" s="226">
        <f>H130</f>
        <v>0.4384151593</v>
      </c>
      <c r="I127" s="247">
        <f>SUM(I128:I130)</f>
        <v>62</v>
      </c>
      <c r="J127" s="247">
        <f>J130</f>
        <v>1874</v>
      </c>
      <c r="K127" s="167">
        <f t="shared" si="3"/>
        <v>0.6380660538</v>
      </c>
      <c r="L127" s="247">
        <f>SUM(L128:L130)</f>
        <v>27.62</v>
      </c>
      <c r="M127" s="247">
        <f>M130</f>
        <v>838.16</v>
      </c>
      <c r="N127" s="47">
        <f t="shared" si="4"/>
        <v>0</v>
      </c>
      <c r="O127" s="47">
        <f t="shared" si="16"/>
        <v>0.383290267</v>
      </c>
      <c r="P127" s="7"/>
      <c r="Q127" s="7"/>
      <c r="R127" s="7"/>
      <c r="S127" s="264"/>
      <c r="T127" s="174"/>
      <c r="U127" s="178"/>
      <c r="V127" s="178"/>
      <c r="W127" s="178"/>
      <c r="X127" s="178"/>
      <c r="Y127" s="231"/>
      <c r="Z127" s="178"/>
      <c r="AA127" s="178"/>
      <c r="AB127" s="232"/>
      <c r="AC127" s="178"/>
      <c r="AD127" s="231"/>
      <c r="AE127" s="178"/>
      <c r="AF127" s="178"/>
      <c r="AG127" s="232"/>
      <c r="AH127" s="173"/>
      <c r="AI127" s="231"/>
      <c r="AJ127" s="180"/>
      <c r="AK127" s="180"/>
      <c r="AL127" s="232"/>
      <c r="AM127" s="234"/>
      <c r="AN127" s="84"/>
      <c r="AO127" s="234"/>
      <c r="AP127" s="234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 t="shared" si="1"/>
        <v>4</v>
      </c>
      <c r="F128" s="80">
        <v>30.0</v>
      </c>
      <c r="G128" s="105">
        <f t="shared" si="2"/>
        <v>0.02583979328</v>
      </c>
      <c r="H128" s="47">
        <f>H126+G128</f>
        <v>0.4091300603</v>
      </c>
      <c r="I128" s="187">
        <f t="shared" ref="I128:I130" si="227">T128+Y128+AD128+AI128</f>
        <v>27</v>
      </c>
      <c r="J128" s="172">
        <f>J126+I128</f>
        <v>1839</v>
      </c>
      <c r="K128" s="115">
        <f t="shared" si="3"/>
        <v>0.6261491318</v>
      </c>
      <c r="L128" s="191">
        <f t="shared" ref="L128:L130" si="228">W128+AB128+AG128+AL128</f>
        <v>12.05</v>
      </c>
      <c r="M128" s="172">
        <f>M126+L128</f>
        <v>822.59</v>
      </c>
      <c r="N128" s="47">
        <f t="shared" si="4"/>
        <v>0.02583979328</v>
      </c>
      <c r="O128" s="47">
        <f t="shared" si="16"/>
        <v>0.4091300603</v>
      </c>
      <c r="P128" s="7"/>
      <c r="Q128" s="7"/>
      <c r="R128" s="7"/>
      <c r="S128" s="229">
        <f t="shared" ref="S128:S130" si="229">T128/$F128</f>
        <v>0.03333333333</v>
      </c>
      <c r="T128" s="194">
        <v>1.0</v>
      </c>
      <c r="U128" s="195"/>
      <c r="V128" s="230">
        <f>Roles!$D$2</f>
        <v>0.61</v>
      </c>
      <c r="W128" s="230">
        <f t="shared" ref="W128:W130" si="230">V128*T128</f>
        <v>0.61</v>
      </c>
      <c r="X128" s="229">
        <f t="shared" ref="X128:X130" si="231">Y128/$F128</f>
        <v>0.2</v>
      </c>
      <c r="Y128" s="231">
        <f>'CD R Documentación'!$I128</f>
        <v>6</v>
      </c>
      <c r="Z128" s="195"/>
      <c r="AA128" s="195"/>
      <c r="AB128" s="232">
        <f>'CD R Documentación'!$L128</f>
        <v>2.64</v>
      </c>
      <c r="AC128" s="229">
        <f t="shared" ref="AC128:AC130" si="232">AD128/$F128</f>
        <v>0.6666666667</v>
      </c>
      <c r="AD128" s="231">
        <f>'CD R Investigación'!$I128</f>
        <v>20</v>
      </c>
      <c r="AE128" s="195"/>
      <c r="AF128" s="195"/>
      <c r="AG128" s="232">
        <f>'CD R Investigación'!$L128</f>
        <v>8.8</v>
      </c>
      <c r="AH128" s="229">
        <f t="shared" ref="AH128:AH130" si="233">AI128/$F128</f>
        <v>0</v>
      </c>
      <c r="AI128" s="231">
        <f>'CD R Desarrollo'!$I128</f>
        <v>0</v>
      </c>
      <c r="AJ128" s="200"/>
      <c r="AK128" s="200"/>
      <c r="AL128" s="232">
        <f>'CD R Desarrollo'!$L128</f>
        <v>0</v>
      </c>
      <c r="AM128" s="234">
        <v>1.0</v>
      </c>
      <c r="AN128" s="84">
        <f>'PL Cronograma detallado'!L128*AM128</f>
        <v>4.54</v>
      </c>
      <c r="AO128" s="234">
        <f>AN128/'PL Cronograma detallado'!M$238</f>
        <v>0.007701180622</v>
      </c>
      <c r="AP128" s="234">
        <f t="shared" ref="AP128:AP130" si="234">AO128+AP127</f>
        <v>0.007701180622</v>
      </c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 t="shared" si="1"/>
        <v>4</v>
      </c>
      <c r="F129" s="80">
        <v>30.0</v>
      </c>
      <c r="G129" s="105">
        <f t="shared" si="2"/>
        <v>0.02583979328</v>
      </c>
      <c r="H129" s="47">
        <f t="shared" ref="H129:H130" si="235">H128+G129</f>
        <v>0.4349698536</v>
      </c>
      <c r="I129" s="187">
        <f t="shared" si="227"/>
        <v>27</v>
      </c>
      <c r="J129" s="172">
        <f t="shared" ref="J129:J130" si="236">J128+I129</f>
        <v>1866</v>
      </c>
      <c r="K129" s="115">
        <f t="shared" si="3"/>
        <v>0.6353421859</v>
      </c>
      <c r="L129" s="191">
        <f t="shared" si="228"/>
        <v>12.05</v>
      </c>
      <c r="M129" s="172">
        <f t="shared" ref="M129:M130" si="237">M128+L129</f>
        <v>834.64</v>
      </c>
      <c r="N129" s="47">
        <f t="shared" si="4"/>
        <v>0.02583979328</v>
      </c>
      <c r="O129" s="47">
        <f t="shared" si="16"/>
        <v>0.4349698536</v>
      </c>
      <c r="P129" s="7"/>
      <c r="Q129" s="7"/>
      <c r="R129" s="7"/>
      <c r="S129" s="229">
        <f t="shared" si="229"/>
        <v>0.03333333333</v>
      </c>
      <c r="T129" s="194">
        <v>1.0</v>
      </c>
      <c r="U129" s="195"/>
      <c r="V129" s="230">
        <f>Roles!$D$2</f>
        <v>0.61</v>
      </c>
      <c r="W129" s="230">
        <f t="shared" si="230"/>
        <v>0.61</v>
      </c>
      <c r="X129" s="229">
        <f t="shared" si="231"/>
        <v>0.2</v>
      </c>
      <c r="Y129" s="231">
        <f>'CD R Documentación'!$I129</f>
        <v>6</v>
      </c>
      <c r="Z129" s="195"/>
      <c r="AA129" s="195"/>
      <c r="AB129" s="232">
        <f>'CD R Documentación'!$L129</f>
        <v>2.64</v>
      </c>
      <c r="AC129" s="229">
        <f t="shared" si="232"/>
        <v>0.6666666667</v>
      </c>
      <c r="AD129" s="231">
        <f>'CD R Investigación'!$I129</f>
        <v>20</v>
      </c>
      <c r="AE129" s="195"/>
      <c r="AF129" s="195"/>
      <c r="AG129" s="232">
        <f>'CD R Investigación'!$L129</f>
        <v>8.8</v>
      </c>
      <c r="AH129" s="229">
        <f t="shared" si="233"/>
        <v>0</v>
      </c>
      <c r="AI129" s="231">
        <f>'CD R Desarrollo'!$I129</f>
        <v>0</v>
      </c>
      <c r="AJ129" s="200"/>
      <c r="AK129" s="200"/>
      <c r="AL129" s="232">
        <f>'CD R Desarrollo'!$L129</f>
        <v>0</v>
      </c>
      <c r="AM129" s="234">
        <v>1.0</v>
      </c>
      <c r="AN129" s="84">
        <f>'PL Cronograma detallado'!L129*AM129</f>
        <v>4.54</v>
      </c>
      <c r="AO129" s="234">
        <f>AN129/'PL Cronograma detallado'!M$238</f>
        <v>0.007701180622</v>
      </c>
      <c r="AP129" s="234">
        <f t="shared" si="234"/>
        <v>0.01540236124</v>
      </c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 t="shared" si="1"/>
        <v>4</v>
      </c>
      <c r="F130" s="80">
        <v>4.0</v>
      </c>
      <c r="G130" s="105">
        <f t="shared" si="2"/>
        <v>0.003445305771</v>
      </c>
      <c r="H130" s="47">
        <f t="shared" si="235"/>
        <v>0.4384151593</v>
      </c>
      <c r="I130" s="187">
        <f t="shared" si="227"/>
        <v>8</v>
      </c>
      <c r="J130" s="172">
        <f t="shared" si="236"/>
        <v>1874</v>
      </c>
      <c r="K130" s="115">
        <f t="shared" si="3"/>
        <v>0.6380660538</v>
      </c>
      <c r="L130" s="191">
        <f t="shared" si="228"/>
        <v>3.52</v>
      </c>
      <c r="M130" s="172">
        <f t="shared" si="237"/>
        <v>838.16</v>
      </c>
      <c r="N130" s="47">
        <f t="shared" si="4"/>
        <v>0.003445305771</v>
      </c>
      <c r="O130" s="47">
        <f t="shared" si="16"/>
        <v>0.4384151593</v>
      </c>
      <c r="P130" s="7"/>
      <c r="Q130" s="7"/>
      <c r="R130" s="7"/>
      <c r="S130" s="229">
        <f t="shared" si="229"/>
        <v>0</v>
      </c>
      <c r="T130" s="206"/>
      <c r="U130" s="195"/>
      <c r="V130" s="230">
        <f>Roles!$D$2</f>
        <v>0.61</v>
      </c>
      <c r="W130" s="230">
        <f t="shared" si="230"/>
        <v>0</v>
      </c>
      <c r="X130" s="229">
        <f t="shared" si="231"/>
        <v>0</v>
      </c>
      <c r="Y130" s="231">
        <f>'CD R Documentación'!$I130</f>
        <v>0</v>
      </c>
      <c r="Z130" s="195"/>
      <c r="AA130" s="230"/>
      <c r="AB130" s="232">
        <f>'CD R Documentación'!$L130</f>
        <v>0</v>
      </c>
      <c r="AC130" s="229">
        <f t="shared" si="232"/>
        <v>1</v>
      </c>
      <c r="AD130" s="231">
        <f>'CD R Investigación'!$I130</f>
        <v>4</v>
      </c>
      <c r="AE130" s="195"/>
      <c r="AF130" s="230"/>
      <c r="AG130" s="232">
        <f>'CD R Investigación'!$L130</f>
        <v>1.76</v>
      </c>
      <c r="AH130" s="229">
        <f t="shared" si="233"/>
        <v>1</v>
      </c>
      <c r="AI130" s="231">
        <f>'CD R Desarrollo'!$I130</f>
        <v>4</v>
      </c>
      <c r="AJ130" s="200"/>
      <c r="AK130" s="185"/>
      <c r="AL130" s="232">
        <f>'CD R Desarrollo'!$L130</f>
        <v>1.76</v>
      </c>
      <c r="AM130" s="234">
        <v>1.0</v>
      </c>
      <c r="AN130" s="84">
        <f>'PL Cronograma detallado'!L130*AM130</f>
        <v>1.52</v>
      </c>
      <c r="AO130" s="234">
        <f>AN130/'PL Cronograma detallado'!M$238</f>
        <v>0.002578368842</v>
      </c>
      <c r="AP130" s="234">
        <f t="shared" si="234"/>
        <v>0.01798073009</v>
      </c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 t="shared" si="1"/>
        <v>6</v>
      </c>
      <c r="F131" s="246">
        <f>SUM(F132:F134)</f>
        <v>51</v>
      </c>
      <c r="G131" s="105">
        <f t="shared" si="2"/>
        <v>0.04392764858</v>
      </c>
      <c r="H131" s="226">
        <f>H134</f>
        <v>0.4823428079</v>
      </c>
      <c r="I131" s="247">
        <f>SUM(I132:I134)</f>
        <v>61</v>
      </c>
      <c r="J131" s="247">
        <f>J134</f>
        <v>1935</v>
      </c>
      <c r="K131" s="167">
        <f t="shared" si="3"/>
        <v>0.6588355465</v>
      </c>
      <c r="L131" s="247">
        <f>SUM(L132:L134)</f>
        <v>27.35</v>
      </c>
      <c r="M131" s="247">
        <f>M134</f>
        <v>865.51</v>
      </c>
      <c r="N131" s="47">
        <f t="shared" si="4"/>
        <v>0</v>
      </c>
      <c r="O131" s="47">
        <f t="shared" si="16"/>
        <v>0.4384151593</v>
      </c>
      <c r="P131" s="7"/>
      <c r="Q131" s="7"/>
      <c r="R131" s="7"/>
      <c r="S131" s="264"/>
      <c r="T131" s="174"/>
      <c r="U131" s="178"/>
      <c r="V131" s="178"/>
      <c r="W131" s="178"/>
      <c r="X131" s="178"/>
      <c r="Y131" s="231"/>
      <c r="Z131" s="178"/>
      <c r="AA131" s="178"/>
      <c r="AB131" s="232"/>
      <c r="AC131" s="178"/>
      <c r="AD131" s="231"/>
      <c r="AE131" s="178"/>
      <c r="AF131" s="178"/>
      <c r="AG131" s="232"/>
      <c r="AH131" s="173"/>
      <c r="AI131" s="231"/>
      <c r="AJ131" s="180"/>
      <c r="AK131" s="180"/>
      <c r="AL131" s="232"/>
      <c r="AM131" s="234"/>
      <c r="AN131" s="84"/>
      <c r="AO131" s="234"/>
      <c r="AP131" s="234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 t="shared" si="1"/>
        <v>1</v>
      </c>
      <c r="F132" s="80">
        <v>1.0</v>
      </c>
      <c r="G132" s="105">
        <f t="shared" si="2"/>
        <v>0.0008613264427</v>
      </c>
      <c r="H132" s="47">
        <f>H130+G132</f>
        <v>0.4392764858</v>
      </c>
      <c r="I132" s="187">
        <f t="shared" ref="I132:I134" si="238">T132+Y132+AD132+AI132</f>
        <v>4</v>
      </c>
      <c r="J132" s="172">
        <f>J130+I132</f>
        <v>1878</v>
      </c>
      <c r="K132" s="115">
        <f t="shared" si="3"/>
        <v>0.6394279877</v>
      </c>
      <c r="L132" s="191">
        <f t="shared" ref="L132:L134" si="239">W132+AB132+AG132+AL132</f>
        <v>1.93</v>
      </c>
      <c r="M132" s="172">
        <f>M130+L132</f>
        <v>840.09</v>
      </c>
      <c r="N132" s="47">
        <f t="shared" si="4"/>
        <v>0.0008613264427</v>
      </c>
      <c r="O132" s="47">
        <f t="shared" si="16"/>
        <v>0.4392764858</v>
      </c>
      <c r="P132" s="7"/>
      <c r="Q132" s="7"/>
      <c r="R132" s="7"/>
      <c r="S132" s="229">
        <f t="shared" ref="S132:S134" si="240">T132/$F132</f>
        <v>1</v>
      </c>
      <c r="T132" s="194">
        <v>1.0</v>
      </c>
      <c r="U132" s="195"/>
      <c r="V132" s="230">
        <f>Roles!$D$2</f>
        <v>0.61</v>
      </c>
      <c r="W132" s="230">
        <f t="shared" ref="W132:W134" si="241">V132*T132</f>
        <v>0.61</v>
      </c>
      <c r="X132" s="229">
        <f t="shared" ref="X132:X134" si="242">Y132/$F132</f>
        <v>1</v>
      </c>
      <c r="Y132" s="231">
        <f>'CD R Documentación'!$I132</f>
        <v>1</v>
      </c>
      <c r="Z132" s="195"/>
      <c r="AA132" s="195"/>
      <c r="AB132" s="232">
        <f>'CD R Documentación'!$L132</f>
        <v>0.44</v>
      </c>
      <c r="AC132" s="229">
        <f t="shared" ref="AC132:AC134" si="243">AD132/$F132</f>
        <v>1</v>
      </c>
      <c r="AD132" s="231">
        <f>'CD R Investigación'!$I132</f>
        <v>1</v>
      </c>
      <c r="AE132" s="195"/>
      <c r="AF132" s="195"/>
      <c r="AG132" s="232">
        <f>'CD R Investigación'!$L132</f>
        <v>0.44</v>
      </c>
      <c r="AH132" s="229">
        <f t="shared" ref="AH132:AH134" si="244">AI132/$F132</f>
        <v>1</v>
      </c>
      <c r="AI132" s="231">
        <f>'CD R Desarrollo'!$I132</f>
        <v>1</v>
      </c>
      <c r="AJ132" s="200"/>
      <c r="AK132" s="200"/>
      <c r="AL132" s="232">
        <f>'CD R Desarrollo'!$L132</f>
        <v>0.44</v>
      </c>
      <c r="AM132" s="234">
        <v>1.0</v>
      </c>
      <c r="AN132" s="84">
        <f>'PL Cronograma detallado'!L132*AM132</f>
        <v>1.93</v>
      </c>
      <c r="AO132" s="234">
        <f>AN132/'PL Cronograma detallado'!M$238</f>
        <v>0.003273849912</v>
      </c>
      <c r="AP132" s="234">
        <f t="shared" ref="AP132:AP134" si="245">AO132+AP131</f>
        <v>0.003273849912</v>
      </c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 t="shared" si="1"/>
        <v>3</v>
      </c>
      <c r="F133" s="80">
        <v>25.0</v>
      </c>
      <c r="G133" s="105">
        <f t="shared" si="2"/>
        <v>0.02153316107</v>
      </c>
      <c r="H133" s="47">
        <f t="shared" ref="H133:H134" si="246">H132+G133</f>
        <v>0.4608096469</v>
      </c>
      <c r="I133" s="187">
        <f t="shared" si="238"/>
        <v>28</v>
      </c>
      <c r="J133" s="172">
        <f t="shared" ref="J133:J134" si="247">J132+I133</f>
        <v>1906</v>
      </c>
      <c r="K133" s="115">
        <f t="shared" si="3"/>
        <v>0.6489615254</v>
      </c>
      <c r="L133" s="191">
        <f t="shared" si="239"/>
        <v>12.49</v>
      </c>
      <c r="M133" s="172">
        <f t="shared" ref="M133:M134" si="248">M132+L133</f>
        <v>852.58</v>
      </c>
      <c r="N133" s="47">
        <f t="shared" si="4"/>
        <v>0.02153316107</v>
      </c>
      <c r="O133" s="47">
        <f t="shared" si="16"/>
        <v>0.4608096469</v>
      </c>
      <c r="P133" s="7"/>
      <c r="Q133" s="7"/>
      <c r="R133" s="7"/>
      <c r="S133" s="229">
        <f t="shared" si="240"/>
        <v>0.04</v>
      </c>
      <c r="T133" s="194">
        <v>1.0</v>
      </c>
      <c r="U133" s="195"/>
      <c r="V133" s="230">
        <f>Roles!$D$2</f>
        <v>0.61</v>
      </c>
      <c r="W133" s="230">
        <f t="shared" si="241"/>
        <v>0.61</v>
      </c>
      <c r="X133" s="229">
        <f t="shared" si="242"/>
        <v>0</v>
      </c>
      <c r="Y133" s="231">
        <f>'CD R Documentación'!$I133</f>
        <v>0</v>
      </c>
      <c r="Z133" s="195"/>
      <c r="AA133" s="195"/>
      <c r="AB133" s="232">
        <f>'CD R Documentación'!$L133</f>
        <v>0</v>
      </c>
      <c r="AC133" s="229">
        <f t="shared" si="243"/>
        <v>0</v>
      </c>
      <c r="AD133" s="231">
        <f>'CD R Investigación'!$I133</f>
        <v>0</v>
      </c>
      <c r="AE133" s="195"/>
      <c r="AF133" s="195"/>
      <c r="AG133" s="232">
        <f>'CD R Investigación'!$L133</f>
        <v>0</v>
      </c>
      <c r="AH133" s="229">
        <f t="shared" si="244"/>
        <v>1.08</v>
      </c>
      <c r="AI133" s="231">
        <f>'CD R Desarrollo'!$I133</f>
        <v>27</v>
      </c>
      <c r="AJ133" s="200"/>
      <c r="AK133" s="200"/>
      <c r="AL133" s="232">
        <f>'CD R Desarrollo'!$L133</f>
        <v>11.88</v>
      </c>
      <c r="AM133" s="234">
        <v>1.0</v>
      </c>
      <c r="AN133" s="84">
        <f>'PL Cronograma detallado'!L133*AM133</f>
        <v>5.01</v>
      </c>
      <c r="AO133" s="234">
        <f>AN133/'PL Cronograma detallado'!M$238</f>
        <v>0.008498439408</v>
      </c>
      <c r="AP133" s="234">
        <f t="shared" si="245"/>
        <v>0.01177228932</v>
      </c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 t="shared" si="1"/>
        <v>3</v>
      </c>
      <c r="F134" s="80">
        <v>25.0</v>
      </c>
      <c r="G134" s="105">
        <f t="shared" si="2"/>
        <v>0.02153316107</v>
      </c>
      <c r="H134" s="47">
        <f t="shared" si="246"/>
        <v>0.4823428079</v>
      </c>
      <c r="I134" s="187">
        <f t="shared" si="238"/>
        <v>29</v>
      </c>
      <c r="J134" s="172">
        <f t="shared" si="247"/>
        <v>1935</v>
      </c>
      <c r="K134" s="115">
        <f t="shared" si="3"/>
        <v>0.6588355465</v>
      </c>
      <c r="L134" s="191">
        <f t="shared" si="239"/>
        <v>12.93</v>
      </c>
      <c r="M134" s="172">
        <f t="shared" si="248"/>
        <v>865.51</v>
      </c>
      <c r="N134" s="47">
        <f t="shared" si="4"/>
        <v>0.02153316107</v>
      </c>
      <c r="O134" s="47">
        <f t="shared" si="16"/>
        <v>0.4823428079</v>
      </c>
      <c r="P134" s="7"/>
      <c r="Q134" s="7"/>
      <c r="R134" s="7"/>
      <c r="S134" s="229">
        <f t="shared" si="240"/>
        <v>0.04</v>
      </c>
      <c r="T134" s="194">
        <v>1.0</v>
      </c>
      <c r="U134" s="195"/>
      <c r="V134" s="230">
        <f>Roles!$D$2</f>
        <v>0.61</v>
      </c>
      <c r="W134" s="230">
        <f t="shared" si="241"/>
        <v>0.61</v>
      </c>
      <c r="X134" s="229">
        <f t="shared" si="242"/>
        <v>0</v>
      </c>
      <c r="Y134" s="231">
        <f>'CD R Documentación'!$I134</f>
        <v>0</v>
      </c>
      <c r="Z134" s="195"/>
      <c r="AA134" s="195"/>
      <c r="AB134" s="232">
        <f>'CD R Documentación'!$L134</f>
        <v>0</v>
      </c>
      <c r="AC134" s="229">
        <f t="shared" si="243"/>
        <v>0</v>
      </c>
      <c r="AD134" s="231">
        <f>'CD R Investigación'!$I134</f>
        <v>0</v>
      </c>
      <c r="AE134" s="195"/>
      <c r="AF134" s="195"/>
      <c r="AG134" s="232">
        <f>'CD R Investigación'!$L134</f>
        <v>0</v>
      </c>
      <c r="AH134" s="229">
        <f t="shared" si="244"/>
        <v>1.12</v>
      </c>
      <c r="AI134" s="231">
        <f>'CD R Desarrollo'!$I134</f>
        <v>28</v>
      </c>
      <c r="AJ134" s="200"/>
      <c r="AK134" s="200"/>
      <c r="AL134" s="232">
        <f>'CD R Desarrollo'!$L134</f>
        <v>12.32</v>
      </c>
      <c r="AM134" s="234">
        <v>1.0</v>
      </c>
      <c r="AN134" s="84">
        <f>'PL Cronograma detallado'!L134*AM134</f>
        <v>5.11</v>
      </c>
      <c r="AO134" s="234">
        <f>AN134/'PL Cronograma detallado'!M$238</f>
        <v>0.008668068937</v>
      </c>
      <c r="AP134" s="234">
        <f t="shared" si="245"/>
        <v>0.02044035826</v>
      </c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 t="shared" si="1"/>
        <v>4</v>
      </c>
      <c r="F135" s="246">
        <f>SUM(F136:F138)</f>
        <v>26</v>
      </c>
      <c r="G135" s="105">
        <f t="shared" si="2"/>
        <v>0.02239448751</v>
      </c>
      <c r="H135" s="226">
        <f>H138</f>
        <v>0.5047372954</v>
      </c>
      <c r="I135" s="247">
        <f>SUM(I136:I138)</f>
        <v>35</v>
      </c>
      <c r="J135" s="247">
        <f>J138</f>
        <v>1970</v>
      </c>
      <c r="K135" s="167">
        <f t="shared" si="3"/>
        <v>0.6707524685</v>
      </c>
      <c r="L135" s="247">
        <f>SUM(L136:L138)</f>
        <v>15.91</v>
      </c>
      <c r="M135" s="247">
        <f>M138</f>
        <v>881.42</v>
      </c>
      <c r="N135" s="47">
        <f t="shared" si="4"/>
        <v>0</v>
      </c>
      <c r="O135" s="47">
        <f t="shared" si="16"/>
        <v>0.4823428079</v>
      </c>
      <c r="P135" s="7"/>
      <c r="Q135" s="7"/>
      <c r="R135" s="7"/>
      <c r="S135" s="264"/>
      <c r="T135" s="174"/>
      <c r="U135" s="178"/>
      <c r="V135" s="178"/>
      <c r="W135" s="178"/>
      <c r="X135" s="178"/>
      <c r="Y135" s="231"/>
      <c r="Z135" s="178"/>
      <c r="AA135" s="178"/>
      <c r="AB135" s="232"/>
      <c r="AC135" s="178"/>
      <c r="AD135" s="231"/>
      <c r="AE135" s="178"/>
      <c r="AF135" s="178"/>
      <c r="AG135" s="232"/>
      <c r="AH135" s="178"/>
      <c r="AI135" s="231"/>
      <c r="AJ135" s="178"/>
      <c r="AK135" s="180"/>
      <c r="AL135" s="232"/>
      <c r="AM135" s="234"/>
      <c r="AN135" s="84"/>
      <c r="AO135" s="234"/>
      <c r="AP135" s="234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 t="shared" si="1"/>
        <v>2</v>
      </c>
      <c r="F136" s="80">
        <v>10.0</v>
      </c>
      <c r="G136" s="105">
        <f t="shared" si="2"/>
        <v>0.008613264427</v>
      </c>
      <c r="H136" s="47">
        <f>H134+G136</f>
        <v>0.4909560724</v>
      </c>
      <c r="I136" s="187">
        <f t="shared" ref="I136:I138" si="249">T136+Y136+AD136+AI136</f>
        <v>13</v>
      </c>
      <c r="J136" s="172">
        <f>J134+I136</f>
        <v>1948</v>
      </c>
      <c r="K136" s="115">
        <f t="shared" si="3"/>
        <v>0.6632618318</v>
      </c>
      <c r="L136" s="191">
        <f t="shared" ref="L136:L138" si="250">W136+AB136+AG136+AL136</f>
        <v>5.89</v>
      </c>
      <c r="M136" s="172">
        <f>M134+L136</f>
        <v>871.4</v>
      </c>
      <c r="N136" s="47">
        <f t="shared" si="4"/>
        <v>0.008613264427</v>
      </c>
      <c r="O136" s="47">
        <f t="shared" si="16"/>
        <v>0.4909560724</v>
      </c>
      <c r="P136" s="7"/>
      <c r="Q136" s="7"/>
      <c r="R136" s="7"/>
      <c r="S136" s="229">
        <f t="shared" ref="S136:S138" si="251">T136/$F136</f>
        <v>0.1</v>
      </c>
      <c r="T136" s="194">
        <v>1.0</v>
      </c>
      <c r="U136" s="195"/>
      <c r="V136" s="230">
        <f>Roles!$D$2</f>
        <v>0.61</v>
      </c>
      <c r="W136" s="230">
        <f t="shared" ref="W136:W138" si="252">V136*T136</f>
        <v>0.61</v>
      </c>
      <c r="X136" s="229">
        <f t="shared" ref="X136:X138" si="253">Y136/$F136</f>
        <v>0</v>
      </c>
      <c r="Y136" s="231">
        <f>'CD R Documentación'!$I136</f>
        <v>0</v>
      </c>
      <c r="Z136" s="195"/>
      <c r="AA136" s="195"/>
      <c r="AB136" s="232">
        <f>'CD R Documentación'!$L136</f>
        <v>0</v>
      </c>
      <c r="AC136" s="229">
        <f t="shared" ref="AC136:AC138" si="254">AD136/$F136</f>
        <v>0</v>
      </c>
      <c r="AD136" s="231">
        <f>'CD R Investigación'!$I136</f>
        <v>0</v>
      </c>
      <c r="AE136" s="195"/>
      <c r="AF136" s="195"/>
      <c r="AG136" s="232">
        <f>'CD R Investigación'!$L136</f>
        <v>0</v>
      </c>
      <c r="AH136" s="229">
        <f t="shared" ref="AH136:AH138" si="255">AI136/$F136</f>
        <v>1.2</v>
      </c>
      <c r="AI136" s="231">
        <f>'CD R Desarrollo'!$I136</f>
        <v>12</v>
      </c>
      <c r="AJ136" s="200"/>
      <c r="AK136" s="200"/>
      <c r="AL136" s="232">
        <f>'CD R Desarrollo'!$L136</f>
        <v>5.28</v>
      </c>
      <c r="AM136" s="234">
        <v>1.0</v>
      </c>
      <c r="AN136" s="84">
        <f>'PL Cronograma detallado'!L136*AM136</f>
        <v>2.49</v>
      </c>
      <c r="AO136" s="234">
        <f>AN136/'PL Cronograma detallado'!M$238</f>
        <v>0.004223775275</v>
      </c>
      <c r="AP136" s="234">
        <f t="shared" ref="AP136:AP138" si="256">AO136+AP135</f>
        <v>0.004223775275</v>
      </c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 t="shared" si="1"/>
        <v>1</v>
      </c>
      <c r="F137" s="80">
        <v>1.0</v>
      </c>
      <c r="G137" s="105">
        <f t="shared" si="2"/>
        <v>0.0008613264427</v>
      </c>
      <c r="H137" s="186">
        <f t="shared" ref="H137:H138" si="257">H136+G137</f>
        <v>0.4918173988</v>
      </c>
      <c r="I137" s="187">
        <f t="shared" si="249"/>
        <v>3</v>
      </c>
      <c r="J137" s="233">
        <f t="shared" ref="J137:J138" si="258">J136+I137</f>
        <v>1951</v>
      </c>
      <c r="K137" s="340">
        <f t="shared" si="3"/>
        <v>0.6642832823</v>
      </c>
      <c r="L137" s="191">
        <f t="shared" si="250"/>
        <v>1.49</v>
      </c>
      <c r="M137" s="233">
        <f t="shared" ref="M137:M138" si="259">M136+L137</f>
        <v>872.89</v>
      </c>
      <c r="N137" s="47">
        <f t="shared" si="4"/>
        <v>0.0008613264427</v>
      </c>
      <c r="O137" s="47">
        <f t="shared" si="16"/>
        <v>0.4918173988</v>
      </c>
      <c r="P137" s="7"/>
      <c r="Q137" s="7"/>
      <c r="R137" s="7"/>
      <c r="S137" s="229">
        <f t="shared" si="251"/>
        <v>1</v>
      </c>
      <c r="T137" s="194">
        <v>1.0</v>
      </c>
      <c r="U137" s="195"/>
      <c r="V137" s="230">
        <f>Roles!$D$2</f>
        <v>0.61</v>
      </c>
      <c r="W137" s="230">
        <f t="shared" si="252"/>
        <v>0.61</v>
      </c>
      <c r="X137" s="229">
        <f t="shared" si="253"/>
        <v>0</v>
      </c>
      <c r="Y137" s="231">
        <f>'CD R Documentación'!$I137</f>
        <v>0</v>
      </c>
      <c r="Z137" s="195"/>
      <c r="AA137" s="195"/>
      <c r="AB137" s="232">
        <f>'CD R Documentación'!$L137</f>
        <v>0</v>
      </c>
      <c r="AC137" s="229">
        <f t="shared" si="254"/>
        <v>1</v>
      </c>
      <c r="AD137" s="231">
        <f>'CD R Investigación'!$I137</f>
        <v>1</v>
      </c>
      <c r="AE137" s="195"/>
      <c r="AF137" s="195"/>
      <c r="AG137" s="232">
        <f>'CD R Investigación'!$L137</f>
        <v>0.44</v>
      </c>
      <c r="AH137" s="229">
        <f t="shared" si="255"/>
        <v>1</v>
      </c>
      <c r="AI137" s="231">
        <f>'CD R Desarrollo'!$I137</f>
        <v>1</v>
      </c>
      <c r="AJ137" s="200"/>
      <c r="AK137" s="200"/>
      <c r="AL137" s="232">
        <f>'CD R Desarrollo'!$L137</f>
        <v>0.44</v>
      </c>
      <c r="AM137" s="234">
        <v>1.0</v>
      </c>
      <c r="AN137" s="84">
        <f>'PL Cronograma detallado'!L137*AM137</f>
        <v>1.49</v>
      </c>
      <c r="AO137" s="234">
        <f>AN137/'PL Cronograma detallado'!M$238</f>
        <v>0.002527479984</v>
      </c>
      <c r="AP137" s="234">
        <f t="shared" si="256"/>
        <v>0.006751255259</v>
      </c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 t="shared" si="1"/>
        <v>2</v>
      </c>
      <c r="F138" s="80">
        <v>15.0</v>
      </c>
      <c r="G138" s="105">
        <f t="shared" si="2"/>
        <v>0.01291989664</v>
      </c>
      <c r="H138" s="186">
        <f t="shared" si="257"/>
        <v>0.5047372954</v>
      </c>
      <c r="I138" s="187">
        <f t="shared" si="249"/>
        <v>19</v>
      </c>
      <c r="J138" s="172">
        <f t="shared" si="258"/>
        <v>1970</v>
      </c>
      <c r="K138" s="115">
        <f t="shared" si="3"/>
        <v>0.6707524685</v>
      </c>
      <c r="L138" s="191">
        <f t="shared" si="250"/>
        <v>8.53</v>
      </c>
      <c r="M138" s="172">
        <f t="shared" si="259"/>
        <v>881.42</v>
      </c>
      <c r="N138" s="47">
        <f t="shared" si="4"/>
        <v>0.01291989664</v>
      </c>
      <c r="O138" s="47">
        <f t="shared" si="16"/>
        <v>0.5047372954</v>
      </c>
      <c r="P138" s="7"/>
      <c r="Q138" s="7"/>
      <c r="R138" s="7"/>
      <c r="S138" s="229">
        <f t="shared" si="251"/>
        <v>0.06666666667</v>
      </c>
      <c r="T138" s="194">
        <v>1.0</v>
      </c>
      <c r="U138" s="195"/>
      <c r="V138" s="230">
        <f>Roles!$D$2</f>
        <v>0.61</v>
      </c>
      <c r="W138" s="230">
        <f t="shared" si="252"/>
        <v>0.61</v>
      </c>
      <c r="X138" s="229">
        <f t="shared" si="253"/>
        <v>0</v>
      </c>
      <c r="Y138" s="231">
        <f>'CD R Documentación'!$I138</f>
        <v>0</v>
      </c>
      <c r="Z138" s="195"/>
      <c r="AA138" s="195"/>
      <c r="AB138" s="232">
        <f>'CD R Documentación'!$L138</f>
        <v>0</v>
      </c>
      <c r="AC138" s="229">
        <f t="shared" si="254"/>
        <v>0</v>
      </c>
      <c r="AD138" s="231">
        <f>'CD R Investigación'!$I138</f>
        <v>0</v>
      </c>
      <c r="AE138" s="195"/>
      <c r="AF138" s="195"/>
      <c r="AG138" s="232">
        <f>'CD R Investigación'!$L138</f>
        <v>0</v>
      </c>
      <c r="AH138" s="229">
        <f t="shared" si="255"/>
        <v>1.2</v>
      </c>
      <c r="AI138" s="231">
        <f>'CD R Desarrollo'!$I138</f>
        <v>18</v>
      </c>
      <c r="AJ138" s="200"/>
      <c r="AK138" s="200"/>
      <c r="AL138" s="232">
        <f>'CD R Desarrollo'!$L138</f>
        <v>7.92</v>
      </c>
      <c r="AM138" s="234">
        <v>1.0</v>
      </c>
      <c r="AN138" s="84">
        <f>'PL Cronograma detallado'!L138*AM138</f>
        <v>3.43</v>
      </c>
      <c r="AO138" s="234">
        <f>AN138/'PL Cronograma detallado'!M$238</f>
        <v>0.005818292848</v>
      </c>
      <c r="AP138" s="234">
        <f t="shared" si="256"/>
        <v>0.01256954811</v>
      </c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 t="shared" si="1"/>
        <v>3</v>
      </c>
      <c r="F139" s="246">
        <f>SUM(F140:F144)</f>
        <v>28</v>
      </c>
      <c r="G139" s="105">
        <f t="shared" si="2"/>
        <v>0.0241171404</v>
      </c>
      <c r="H139" s="226">
        <f>H144</f>
        <v>0.5288544358</v>
      </c>
      <c r="I139" s="247">
        <f>SUM(I140:I144)</f>
        <v>34</v>
      </c>
      <c r="J139" s="247">
        <f>J144</f>
        <v>2004</v>
      </c>
      <c r="K139" s="167">
        <f t="shared" si="3"/>
        <v>0.682328907</v>
      </c>
      <c r="L139" s="247">
        <f>SUM(L140:L144)</f>
        <v>15.81</v>
      </c>
      <c r="M139" s="247">
        <f>M144</f>
        <v>897.23</v>
      </c>
      <c r="N139" s="47">
        <f t="shared" si="4"/>
        <v>0</v>
      </c>
      <c r="O139" s="47">
        <f t="shared" si="16"/>
        <v>0.5047372954</v>
      </c>
      <c r="P139" s="7"/>
      <c r="Q139" s="7"/>
      <c r="R139" s="7"/>
      <c r="S139" s="264"/>
      <c r="T139" s="174"/>
      <c r="U139" s="178"/>
      <c r="V139" s="178"/>
      <c r="W139" s="178"/>
      <c r="X139" s="178"/>
      <c r="Y139" s="231"/>
      <c r="Z139" s="178"/>
      <c r="AA139" s="178"/>
      <c r="AB139" s="232"/>
      <c r="AC139" s="178"/>
      <c r="AD139" s="231"/>
      <c r="AE139" s="178"/>
      <c r="AF139" s="178"/>
      <c r="AG139" s="232"/>
      <c r="AH139" s="173"/>
      <c r="AI139" s="231"/>
      <c r="AJ139" s="180"/>
      <c r="AK139" s="180"/>
      <c r="AL139" s="232"/>
      <c r="AM139" s="234"/>
      <c r="AN139" s="84"/>
      <c r="AO139" s="234"/>
      <c r="AP139" s="234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 t="shared" si="1"/>
        <v>2</v>
      </c>
      <c r="F140" s="80">
        <v>10.0</v>
      </c>
      <c r="G140" s="105">
        <f t="shared" si="2"/>
        <v>0.008613264427</v>
      </c>
      <c r="H140" s="47">
        <f>H138+G140</f>
        <v>0.5133505599</v>
      </c>
      <c r="I140" s="187">
        <f t="shared" ref="I140:I144" si="260">T140+Y140+AD140+AI140</f>
        <v>13</v>
      </c>
      <c r="J140" s="172">
        <f>J138+I140</f>
        <v>1983</v>
      </c>
      <c r="K140" s="115">
        <f t="shared" si="3"/>
        <v>0.6751787538</v>
      </c>
      <c r="L140" s="191">
        <f t="shared" ref="L140:L144" si="261">W140+AB140+AG140+AL140</f>
        <v>5.89</v>
      </c>
      <c r="M140" s="172">
        <f>M138+L140</f>
        <v>887.31</v>
      </c>
      <c r="N140" s="47">
        <f t="shared" si="4"/>
        <v>0.008613264427</v>
      </c>
      <c r="O140" s="47">
        <f t="shared" si="16"/>
        <v>0.5133505599</v>
      </c>
      <c r="P140" s="7"/>
      <c r="Q140" s="7"/>
      <c r="R140" s="7"/>
      <c r="S140" s="229">
        <f t="shared" ref="S140:S144" si="262">T140/$F140</f>
        <v>0.1</v>
      </c>
      <c r="T140" s="194">
        <v>1.0</v>
      </c>
      <c r="U140" s="195"/>
      <c r="V140" s="230">
        <f>Roles!$D$2</f>
        <v>0.61</v>
      </c>
      <c r="W140" s="230">
        <f t="shared" ref="W140:W144" si="263">V140*T140</f>
        <v>0.61</v>
      </c>
      <c r="X140" s="229">
        <f t="shared" ref="X140:X144" si="264">Y140/$F140</f>
        <v>0</v>
      </c>
      <c r="Y140" s="231">
        <f>'CD R Documentación'!$I140</f>
        <v>0</v>
      </c>
      <c r="Z140" s="195"/>
      <c r="AA140" s="195"/>
      <c r="AB140" s="232">
        <f>'CD R Documentación'!$L140</f>
        <v>0</v>
      </c>
      <c r="AC140" s="229">
        <f t="shared" ref="AC140:AC144" si="265">AD140/$F140</f>
        <v>0</v>
      </c>
      <c r="AD140" s="231">
        <f>'CD R Investigación'!$I140</f>
        <v>0</v>
      </c>
      <c r="AE140" s="195"/>
      <c r="AF140" s="195"/>
      <c r="AG140" s="232">
        <f>'CD R Investigación'!$L140</f>
        <v>0</v>
      </c>
      <c r="AH140" s="229">
        <f t="shared" ref="AH140:AH144" si="266">AI140/$F140</f>
        <v>1.2</v>
      </c>
      <c r="AI140" s="231">
        <f>'CD R Desarrollo'!$I140</f>
        <v>12</v>
      </c>
      <c r="AJ140" s="200"/>
      <c r="AK140" s="200"/>
      <c r="AL140" s="232">
        <f>'CD R Desarrollo'!$L140</f>
        <v>5.28</v>
      </c>
      <c r="AM140" s="234">
        <v>1.0</v>
      </c>
      <c r="AN140" s="84">
        <f>'PL Cronograma detallado'!L140*AM140</f>
        <v>2.49</v>
      </c>
      <c r="AO140" s="234">
        <f>AN140/'PL Cronograma detallado'!M$238</f>
        <v>0.004223775275</v>
      </c>
      <c r="AP140" s="234">
        <f t="shared" ref="AP140:AP144" si="267">AO140+AP139</f>
        <v>0.004223775275</v>
      </c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 t="shared" si="1"/>
        <v>2</v>
      </c>
      <c r="F141" s="80">
        <v>4.0</v>
      </c>
      <c r="G141" s="105">
        <f t="shared" si="2"/>
        <v>0.003445305771</v>
      </c>
      <c r="H141" s="47">
        <f t="shared" ref="H141:H145" si="268">H140+G141</f>
        <v>0.5167958656</v>
      </c>
      <c r="I141" s="187">
        <f t="shared" si="260"/>
        <v>11</v>
      </c>
      <c r="J141" s="172">
        <f t="shared" ref="J141:J145" si="269">J140+I141</f>
        <v>1994</v>
      </c>
      <c r="K141" s="115">
        <f t="shared" si="3"/>
        <v>0.6789240722</v>
      </c>
      <c r="L141" s="191">
        <f t="shared" si="261"/>
        <v>5.01</v>
      </c>
      <c r="M141" s="172">
        <f t="shared" ref="M141:M145" si="270">M140+L141</f>
        <v>892.32</v>
      </c>
      <c r="N141" s="47">
        <f t="shared" si="4"/>
        <v>0.003445305771</v>
      </c>
      <c r="O141" s="47">
        <f t="shared" si="16"/>
        <v>0.5167958656</v>
      </c>
      <c r="P141" s="7"/>
      <c r="Q141" s="7"/>
      <c r="R141" s="7"/>
      <c r="S141" s="229">
        <f t="shared" si="262"/>
        <v>0.25</v>
      </c>
      <c r="T141" s="194">
        <v>1.0</v>
      </c>
      <c r="U141" s="195"/>
      <c r="V141" s="230">
        <f>Roles!$D$2</f>
        <v>0.61</v>
      </c>
      <c r="W141" s="230">
        <f t="shared" si="263"/>
        <v>0.61</v>
      </c>
      <c r="X141" s="229">
        <f t="shared" si="264"/>
        <v>1.5</v>
      </c>
      <c r="Y141" s="231">
        <f>'CD R Documentación'!$I141</f>
        <v>6</v>
      </c>
      <c r="Z141" s="195"/>
      <c r="AA141" s="230"/>
      <c r="AB141" s="232">
        <f>'CD R Documentación'!$L141</f>
        <v>2.64</v>
      </c>
      <c r="AC141" s="229">
        <f t="shared" si="265"/>
        <v>1</v>
      </c>
      <c r="AD141" s="231">
        <f>'CD R Investigación'!$I141</f>
        <v>4</v>
      </c>
      <c r="AE141" s="195"/>
      <c r="AF141" s="230"/>
      <c r="AG141" s="232">
        <f>'CD R Investigación'!$L141</f>
        <v>1.76</v>
      </c>
      <c r="AH141" s="229">
        <f t="shared" si="266"/>
        <v>0</v>
      </c>
      <c r="AI141" s="231">
        <f>'CD R Desarrollo'!$I141</f>
        <v>0</v>
      </c>
      <c r="AJ141" s="200"/>
      <c r="AK141" s="185"/>
      <c r="AL141" s="232">
        <f>'CD R Desarrollo'!$L141</f>
        <v>0</v>
      </c>
      <c r="AM141" s="234">
        <v>1.0</v>
      </c>
      <c r="AN141" s="84">
        <f>'PL Cronograma detallado'!L141*AM141</f>
        <v>2.43</v>
      </c>
      <c r="AO141" s="234">
        <f>AN141/'PL Cronograma detallado'!M$238</f>
        <v>0.004121997557</v>
      </c>
      <c r="AP141" s="234">
        <f t="shared" si="267"/>
        <v>0.008345772832</v>
      </c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 t="shared" si="1"/>
        <v>1</v>
      </c>
      <c r="F142" s="80">
        <v>2.0</v>
      </c>
      <c r="G142" s="105">
        <f t="shared" si="2"/>
        <v>0.001722652885</v>
      </c>
      <c r="H142" s="47">
        <f t="shared" si="268"/>
        <v>0.5185185185</v>
      </c>
      <c r="I142" s="187">
        <f t="shared" si="260"/>
        <v>4</v>
      </c>
      <c r="J142" s="172">
        <f t="shared" si="269"/>
        <v>1998</v>
      </c>
      <c r="K142" s="115">
        <f t="shared" si="3"/>
        <v>0.6802860061</v>
      </c>
      <c r="L142" s="191">
        <f t="shared" si="261"/>
        <v>1.93</v>
      </c>
      <c r="M142" s="172">
        <f t="shared" si="270"/>
        <v>894.25</v>
      </c>
      <c r="N142" s="47">
        <f t="shared" si="4"/>
        <v>0.001722652885</v>
      </c>
      <c r="O142" s="47">
        <f t="shared" si="16"/>
        <v>0.5185185185</v>
      </c>
      <c r="P142" s="7"/>
      <c r="Q142" s="7"/>
      <c r="R142" s="7"/>
      <c r="S142" s="229">
        <f t="shared" si="262"/>
        <v>0.5</v>
      </c>
      <c r="T142" s="194">
        <v>1.0</v>
      </c>
      <c r="U142" s="195"/>
      <c r="V142" s="230">
        <f>Roles!$D$2</f>
        <v>0.61</v>
      </c>
      <c r="W142" s="230">
        <f t="shared" si="263"/>
        <v>0.61</v>
      </c>
      <c r="X142" s="229">
        <f t="shared" si="264"/>
        <v>1.5</v>
      </c>
      <c r="Y142" s="231">
        <f>'CD R Documentación'!$I142</f>
        <v>3</v>
      </c>
      <c r="Z142" s="195"/>
      <c r="AA142" s="230"/>
      <c r="AB142" s="232">
        <f>'CD R Documentación'!$L142</f>
        <v>1.32</v>
      </c>
      <c r="AC142" s="229">
        <f t="shared" si="265"/>
        <v>0</v>
      </c>
      <c r="AD142" s="231">
        <f>'CD R Investigación'!$I142</f>
        <v>0</v>
      </c>
      <c r="AE142" s="195"/>
      <c r="AF142" s="230"/>
      <c r="AG142" s="232">
        <f>'CD R Investigación'!$L142</f>
        <v>0</v>
      </c>
      <c r="AH142" s="229">
        <f t="shared" si="266"/>
        <v>0</v>
      </c>
      <c r="AI142" s="231">
        <f>'CD R Desarrollo'!$I142</f>
        <v>0</v>
      </c>
      <c r="AJ142" s="200"/>
      <c r="AK142" s="185"/>
      <c r="AL142" s="232">
        <f>'CD R Desarrollo'!$L142</f>
        <v>0</v>
      </c>
      <c r="AM142" s="234">
        <v>1.0</v>
      </c>
      <c r="AN142" s="84">
        <f>'PL Cronograma detallado'!L142*AM142</f>
        <v>1.12</v>
      </c>
      <c r="AO142" s="234">
        <f>AN142/'PL Cronograma detallado'!M$238</f>
        <v>0.001899850726</v>
      </c>
      <c r="AP142" s="234">
        <f t="shared" si="267"/>
        <v>0.01024562356</v>
      </c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 t="shared" si="1"/>
        <v>2</v>
      </c>
      <c r="F143" s="80">
        <v>10.0</v>
      </c>
      <c r="G143" s="105">
        <f t="shared" si="2"/>
        <v>0.008613264427</v>
      </c>
      <c r="H143" s="47">
        <f t="shared" si="268"/>
        <v>0.5271317829</v>
      </c>
      <c r="I143" s="187">
        <f t="shared" si="260"/>
        <v>1</v>
      </c>
      <c r="J143" s="172">
        <f t="shared" si="269"/>
        <v>1999</v>
      </c>
      <c r="K143" s="115">
        <f t="shared" si="3"/>
        <v>0.6806264896</v>
      </c>
      <c r="L143" s="191">
        <f t="shared" si="261"/>
        <v>0.61</v>
      </c>
      <c r="M143" s="172">
        <f t="shared" si="270"/>
        <v>894.86</v>
      </c>
      <c r="N143" s="47">
        <f t="shared" si="4"/>
        <v>0.008613264427</v>
      </c>
      <c r="O143" s="47">
        <f t="shared" si="16"/>
        <v>0.5271317829</v>
      </c>
      <c r="P143" s="7"/>
      <c r="Q143" s="7"/>
      <c r="R143" s="7"/>
      <c r="S143" s="229">
        <f t="shared" si="262"/>
        <v>0.1</v>
      </c>
      <c r="T143" s="194">
        <v>1.0</v>
      </c>
      <c r="U143" s="195"/>
      <c r="V143" s="230">
        <f>Roles!$D$2</f>
        <v>0.61</v>
      </c>
      <c r="W143" s="230">
        <f t="shared" si="263"/>
        <v>0.61</v>
      </c>
      <c r="X143" s="229">
        <f t="shared" si="264"/>
        <v>0</v>
      </c>
      <c r="Y143" s="231">
        <f>'CD R Documentación'!$I143</f>
        <v>0</v>
      </c>
      <c r="Z143" s="195"/>
      <c r="AA143" s="195"/>
      <c r="AB143" s="232">
        <f>'CD R Documentación'!$L143</f>
        <v>0</v>
      </c>
      <c r="AC143" s="229">
        <f t="shared" si="265"/>
        <v>0</v>
      </c>
      <c r="AD143" s="231">
        <f>'CD R Investigación'!$I143</f>
        <v>0</v>
      </c>
      <c r="AE143" s="195"/>
      <c r="AF143" s="195"/>
      <c r="AG143" s="232">
        <f>'CD R Investigación'!$L143</f>
        <v>0</v>
      </c>
      <c r="AH143" s="229">
        <f t="shared" si="266"/>
        <v>0</v>
      </c>
      <c r="AI143" s="231">
        <f>'CD R Desarrollo'!$I143</f>
        <v>0</v>
      </c>
      <c r="AJ143" s="200"/>
      <c r="AK143" s="200"/>
      <c r="AL143" s="232">
        <f>'CD R Desarrollo'!$L143</f>
        <v>0</v>
      </c>
      <c r="AM143" s="234">
        <v>1.0</v>
      </c>
      <c r="AN143" s="84">
        <f>'PL Cronograma detallado'!L143*AM143</f>
        <v>0.61</v>
      </c>
      <c r="AO143" s="234">
        <f>AN143/'PL Cronograma detallado'!M$238</f>
        <v>0.001034740128</v>
      </c>
      <c r="AP143" s="234">
        <f t="shared" si="267"/>
        <v>0.01128036369</v>
      </c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 t="shared" si="1"/>
        <v>1</v>
      </c>
      <c r="F144" s="80">
        <v>2.0</v>
      </c>
      <c r="G144" s="105">
        <f t="shared" si="2"/>
        <v>0.001722652885</v>
      </c>
      <c r="H144" s="47">
        <f t="shared" si="268"/>
        <v>0.5288544358</v>
      </c>
      <c r="I144" s="187">
        <f t="shared" si="260"/>
        <v>5</v>
      </c>
      <c r="J144" s="172">
        <f t="shared" si="269"/>
        <v>2004</v>
      </c>
      <c r="K144" s="115">
        <f t="shared" si="3"/>
        <v>0.682328907</v>
      </c>
      <c r="L144" s="191">
        <f t="shared" si="261"/>
        <v>2.37</v>
      </c>
      <c r="M144" s="172">
        <f t="shared" si="270"/>
        <v>897.23</v>
      </c>
      <c r="N144" s="47">
        <f t="shared" si="4"/>
        <v>0.001722652885</v>
      </c>
      <c r="O144" s="47">
        <f t="shared" si="16"/>
        <v>0.5288544358</v>
      </c>
      <c r="P144" s="7"/>
      <c r="Q144" s="7"/>
      <c r="R144" s="7"/>
      <c r="S144" s="229">
        <f t="shared" si="262"/>
        <v>0.5</v>
      </c>
      <c r="T144" s="194">
        <v>1.0</v>
      </c>
      <c r="U144" s="195"/>
      <c r="V144" s="230">
        <f>Roles!$D$2</f>
        <v>0.61</v>
      </c>
      <c r="W144" s="230">
        <f t="shared" si="263"/>
        <v>0.61</v>
      </c>
      <c r="X144" s="229">
        <f t="shared" si="264"/>
        <v>2</v>
      </c>
      <c r="Y144" s="231">
        <f>'CD R Documentación'!$I144</f>
        <v>4</v>
      </c>
      <c r="Z144" s="195"/>
      <c r="AA144" s="230"/>
      <c r="AB144" s="232">
        <f>'CD R Documentación'!$L144</f>
        <v>1.76</v>
      </c>
      <c r="AC144" s="229">
        <f t="shared" si="265"/>
        <v>0</v>
      </c>
      <c r="AD144" s="231">
        <f>'CD R Investigación'!$I144</f>
        <v>0</v>
      </c>
      <c r="AE144" s="195"/>
      <c r="AF144" s="230"/>
      <c r="AG144" s="232">
        <f>'CD R Investigación'!$L144</f>
        <v>0</v>
      </c>
      <c r="AH144" s="229">
        <f t="shared" si="266"/>
        <v>0</v>
      </c>
      <c r="AI144" s="231">
        <f>'CD R Desarrollo'!$I144</f>
        <v>0</v>
      </c>
      <c r="AJ144" s="200"/>
      <c r="AK144" s="185"/>
      <c r="AL144" s="232">
        <f>'CD R Desarrollo'!$L144</f>
        <v>0</v>
      </c>
      <c r="AM144" s="234">
        <v>1.0</v>
      </c>
      <c r="AN144" s="84">
        <f>'PL Cronograma detallado'!L144*AM144</f>
        <v>1.29</v>
      </c>
      <c r="AO144" s="234">
        <f>AN144/'PL Cronograma detallado'!M$238</f>
        <v>0.002188220925</v>
      </c>
      <c r="AP144" s="234">
        <f t="shared" si="267"/>
        <v>0.01346858461</v>
      </c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 t="shared" si="1"/>
        <v>1</v>
      </c>
      <c r="F145" s="136">
        <v>0.0</v>
      </c>
      <c r="G145" s="105">
        <f t="shared" si="2"/>
        <v>0</v>
      </c>
      <c r="H145" s="115">
        <f t="shared" si="268"/>
        <v>0.5288544358</v>
      </c>
      <c r="I145" s="110">
        <f>F145</f>
        <v>0</v>
      </c>
      <c r="J145" s="110">
        <f t="shared" si="269"/>
        <v>2004</v>
      </c>
      <c r="K145" s="115">
        <f t="shared" si="3"/>
        <v>0.682328907</v>
      </c>
      <c r="L145" s="110">
        <v>0.0</v>
      </c>
      <c r="M145" s="110">
        <f t="shared" si="270"/>
        <v>897.23</v>
      </c>
      <c r="N145" s="47">
        <f t="shared" si="4"/>
        <v>0</v>
      </c>
      <c r="O145" s="47">
        <f t="shared" si="16"/>
        <v>0.5288544358</v>
      </c>
      <c r="P145" s="7"/>
      <c r="Q145" s="7"/>
      <c r="R145" s="7"/>
      <c r="S145" s="289"/>
      <c r="T145" s="118"/>
      <c r="U145" s="119"/>
      <c r="V145" s="119"/>
      <c r="W145" s="119"/>
      <c r="X145" s="119"/>
      <c r="Y145" s="231"/>
      <c r="Z145" s="119"/>
      <c r="AA145" s="119"/>
      <c r="AB145" s="232"/>
      <c r="AC145" s="119"/>
      <c r="AD145" s="231"/>
      <c r="AE145" s="119"/>
      <c r="AF145" s="119"/>
      <c r="AG145" s="232"/>
      <c r="AH145" s="116"/>
      <c r="AI145" s="231"/>
      <c r="AJ145" s="235"/>
      <c r="AK145" s="235"/>
      <c r="AL145" s="232"/>
      <c r="AM145" s="234"/>
      <c r="AN145" s="84"/>
      <c r="AO145" s="234"/>
      <c r="AP145" s="234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 t="shared" si="1"/>
        <v>21</v>
      </c>
      <c r="F146" s="240">
        <f>F147+F154+F160+F166+F170+F174+F179</f>
        <v>219</v>
      </c>
      <c r="G146" s="105">
        <f t="shared" si="2"/>
        <v>0.188630491</v>
      </c>
      <c r="H146" s="224">
        <f>H184</f>
        <v>0.7174849268</v>
      </c>
      <c r="I146" s="241">
        <f>I147+I154+I160+I166+I170+I174+I179</f>
        <v>380</v>
      </c>
      <c r="J146" s="241">
        <f>J184</f>
        <v>2384</v>
      </c>
      <c r="K146" s="138">
        <f t="shared" si="3"/>
        <v>0.8117126319</v>
      </c>
      <c r="L146" s="241">
        <f>L147+L154+L160+L166+L170+L174+L179</f>
        <v>170.43</v>
      </c>
      <c r="M146" s="241">
        <f>M184</f>
        <v>1067.66</v>
      </c>
      <c r="N146" s="47">
        <f t="shared" si="4"/>
        <v>0</v>
      </c>
      <c r="O146" s="47">
        <f t="shared" si="16"/>
        <v>0.5288544358</v>
      </c>
      <c r="P146" s="7"/>
      <c r="Q146" s="7"/>
      <c r="R146" s="7"/>
      <c r="S146" s="294"/>
      <c r="T146" s="144"/>
      <c r="U146" s="149"/>
      <c r="V146" s="149"/>
      <c r="W146" s="149"/>
      <c r="X146" s="149"/>
      <c r="Y146" s="231"/>
      <c r="Z146" s="149"/>
      <c r="AA146" s="149"/>
      <c r="AB146" s="232"/>
      <c r="AC146" s="149"/>
      <c r="AD146" s="231"/>
      <c r="AE146" s="149"/>
      <c r="AF146" s="149"/>
      <c r="AG146" s="232"/>
      <c r="AH146" s="142"/>
      <c r="AI146" s="231"/>
      <c r="AJ146" s="150"/>
      <c r="AK146" s="150"/>
      <c r="AL146" s="232"/>
      <c r="AM146" s="234"/>
      <c r="AN146" s="84"/>
      <c r="AO146" s="234"/>
      <c r="AP146" s="234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 t="shared" si="1"/>
        <v>8</v>
      </c>
      <c r="F147" s="246">
        <f>SUM(F148:F153)</f>
        <v>20</v>
      </c>
      <c r="G147" s="105">
        <f t="shared" si="2"/>
        <v>0.01722652885</v>
      </c>
      <c r="H147" s="226">
        <f>H153</f>
        <v>0.5460809647</v>
      </c>
      <c r="I147" s="247">
        <f>SUM(I148:I153)</f>
        <v>49</v>
      </c>
      <c r="J147" s="247">
        <f>J153</f>
        <v>2053</v>
      </c>
      <c r="K147" s="167">
        <f t="shared" si="3"/>
        <v>0.6990125979</v>
      </c>
      <c r="L147" s="247">
        <f>SUM(L148:L153)</f>
        <v>22.07</v>
      </c>
      <c r="M147" s="247">
        <f>M153</f>
        <v>919.3</v>
      </c>
      <c r="N147" s="47">
        <f t="shared" si="4"/>
        <v>0</v>
      </c>
      <c r="O147" s="47">
        <f t="shared" si="16"/>
        <v>0.5288544358</v>
      </c>
      <c r="P147" s="7"/>
      <c r="Q147" s="7"/>
      <c r="R147" s="7"/>
      <c r="S147" s="173"/>
      <c r="T147" s="174"/>
      <c r="U147" s="178"/>
      <c r="V147" s="178"/>
      <c r="W147" s="178"/>
      <c r="X147" s="173"/>
      <c r="Y147" s="231"/>
      <c r="Z147" s="178"/>
      <c r="AA147" s="178"/>
      <c r="AB147" s="232"/>
      <c r="AC147" s="173"/>
      <c r="AD147" s="231"/>
      <c r="AE147" s="178"/>
      <c r="AF147" s="178"/>
      <c r="AG147" s="232"/>
      <c r="AH147" s="173"/>
      <c r="AI147" s="231"/>
      <c r="AJ147" s="180"/>
      <c r="AK147" s="180"/>
      <c r="AL147" s="232"/>
      <c r="AM147" s="234"/>
      <c r="AN147" s="84"/>
      <c r="AO147" s="234"/>
      <c r="AP147" s="234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 t="shared" si="1"/>
        <v>2</v>
      </c>
      <c r="F148" s="80">
        <v>4.0</v>
      </c>
      <c r="G148" s="105">
        <f t="shared" si="2"/>
        <v>0.003445305771</v>
      </c>
      <c r="H148" s="47">
        <f>H145+G148</f>
        <v>0.5322997416</v>
      </c>
      <c r="I148" s="187">
        <f t="shared" ref="I148:I153" si="271">T148+Y148+AD148+AI148</f>
        <v>9</v>
      </c>
      <c r="J148" s="172">
        <f>J145+I148</f>
        <v>2013</v>
      </c>
      <c r="K148" s="115">
        <f t="shared" si="3"/>
        <v>0.6853932584</v>
      </c>
      <c r="L148" s="191">
        <f t="shared" ref="L148:L153" si="272">W148+AB148+AG148+AL148</f>
        <v>4.13</v>
      </c>
      <c r="M148" s="172">
        <f>M145+L148</f>
        <v>901.36</v>
      </c>
      <c r="N148" s="47">
        <f t="shared" si="4"/>
        <v>0.003445305771</v>
      </c>
      <c r="O148" s="47">
        <f t="shared" si="16"/>
        <v>0.5322997416</v>
      </c>
      <c r="P148" s="7"/>
      <c r="Q148" s="7"/>
      <c r="R148" s="7"/>
      <c r="S148" s="229">
        <f t="shared" ref="S148:S153" si="273">T148/$F148</f>
        <v>0.25</v>
      </c>
      <c r="T148" s="194">
        <v>1.0</v>
      </c>
      <c r="U148" s="195"/>
      <c r="V148" s="230">
        <f>Roles!$D$2</f>
        <v>0.61</v>
      </c>
      <c r="W148" s="230">
        <f t="shared" ref="W148:W153" si="274">V148*T148</f>
        <v>0.61</v>
      </c>
      <c r="X148" s="229">
        <f t="shared" ref="X148:X153" si="275">Y148/$F148</f>
        <v>0</v>
      </c>
      <c r="Y148" s="231">
        <f>'CD R Documentación'!$I148</f>
        <v>0</v>
      </c>
      <c r="Z148" s="195"/>
      <c r="AA148" s="230"/>
      <c r="AB148" s="232">
        <f>'CD R Documentación'!$L148</f>
        <v>0</v>
      </c>
      <c r="AC148" s="229">
        <f t="shared" ref="AC148:AC153" si="276">AD148/$F148</f>
        <v>2</v>
      </c>
      <c r="AD148" s="231">
        <f>'CD R Investigación'!$I148</f>
        <v>8</v>
      </c>
      <c r="AE148" s="195"/>
      <c r="AF148" s="230"/>
      <c r="AG148" s="232">
        <f>'CD R Investigación'!$L148</f>
        <v>3.52</v>
      </c>
      <c r="AH148" s="229">
        <f t="shared" ref="AH148:AH153" si="277">AI148/$F148</f>
        <v>0</v>
      </c>
      <c r="AI148" s="231">
        <f>'CD R Desarrollo'!$I148</f>
        <v>0</v>
      </c>
      <c r="AJ148" s="200"/>
      <c r="AK148" s="185"/>
      <c r="AL148" s="232">
        <f>'CD R Desarrollo'!$L148</f>
        <v>0</v>
      </c>
      <c r="AM148" s="234">
        <v>1.0</v>
      </c>
      <c r="AN148" s="84">
        <f>'PL Cronograma detallado'!L148*AM148</f>
        <v>2.21</v>
      </c>
      <c r="AO148" s="234">
        <f>AN148/'PL Cronograma detallado'!M$238</f>
        <v>0.003748812593</v>
      </c>
      <c r="AP148" s="234">
        <f t="shared" ref="AP148:AP153" si="278">AO148+AP147</f>
        <v>0.003748812593</v>
      </c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 t="shared" si="1"/>
        <v>2</v>
      </c>
      <c r="F149" s="80">
        <v>3.0</v>
      </c>
      <c r="G149" s="105">
        <f t="shared" si="2"/>
        <v>0.002583979328</v>
      </c>
      <c r="H149" s="47">
        <f t="shared" ref="H149:H153" si="279">H148+G149</f>
        <v>0.5348837209</v>
      </c>
      <c r="I149" s="187">
        <f t="shared" si="271"/>
        <v>6</v>
      </c>
      <c r="J149" s="172">
        <f t="shared" ref="J149:J153" si="280">J148+I149</f>
        <v>2019</v>
      </c>
      <c r="K149" s="115">
        <f t="shared" si="3"/>
        <v>0.6874361593</v>
      </c>
      <c r="L149" s="191">
        <f t="shared" si="272"/>
        <v>2.64</v>
      </c>
      <c r="M149" s="172">
        <f t="shared" ref="M149:M153" si="281">M148+L149</f>
        <v>904</v>
      </c>
      <c r="N149" s="47">
        <f t="shared" si="4"/>
        <v>0.002583979328</v>
      </c>
      <c r="O149" s="47">
        <f t="shared" si="16"/>
        <v>0.5348837209</v>
      </c>
      <c r="P149" s="7"/>
      <c r="Q149" s="7"/>
      <c r="R149" s="7"/>
      <c r="S149" s="229">
        <f t="shared" si="273"/>
        <v>0</v>
      </c>
      <c r="T149" s="206"/>
      <c r="U149" s="195"/>
      <c r="V149" s="230">
        <f>Roles!$D$2</f>
        <v>0.61</v>
      </c>
      <c r="W149" s="230">
        <f t="shared" si="274"/>
        <v>0</v>
      </c>
      <c r="X149" s="229">
        <f t="shared" si="275"/>
        <v>0</v>
      </c>
      <c r="Y149" s="231">
        <f>'CD R Documentación'!$I149</f>
        <v>0</v>
      </c>
      <c r="Z149" s="195"/>
      <c r="AA149" s="230"/>
      <c r="AB149" s="232">
        <f>'CD R Documentación'!$L149</f>
        <v>0</v>
      </c>
      <c r="AC149" s="229">
        <f t="shared" si="276"/>
        <v>2</v>
      </c>
      <c r="AD149" s="231">
        <f>'CD R Investigación'!$I149</f>
        <v>6</v>
      </c>
      <c r="AE149" s="195"/>
      <c r="AF149" s="230"/>
      <c r="AG149" s="232">
        <f>'CD R Investigación'!$L149</f>
        <v>2.64</v>
      </c>
      <c r="AH149" s="229">
        <f t="shared" si="277"/>
        <v>0</v>
      </c>
      <c r="AI149" s="231">
        <f>'CD R Desarrollo'!$I149</f>
        <v>0</v>
      </c>
      <c r="AJ149" s="200"/>
      <c r="AK149" s="185"/>
      <c r="AL149" s="232">
        <f>'CD R Desarrollo'!$L149</f>
        <v>0</v>
      </c>
      <c r="AM149" s="234">
        <v>1.0</v>
      </c>
      <c r="AN149" s="84">
        <f>'PL Cronograma detallado'!L149*AM149</f>
        <v>1.2</v>
      </c>
      <c r="AO149" s="234">
        <f>AN149/'PL Cronograma detallado'!M$238</f>
        <v>0.002035554349</v>
      </c>
      <c r="AP149" s="234">
        <f t="shared" si="278"/>
        <v>0.005784366943</v>
      </c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 t="shared" si="1"/>
        <v>2</v>
      </c>
      <c r="F150" s="80">
        <v>4.0</v>
      </c>
      <c r="G150" s="105">
        <f t="shared" si="2"/>
        <v>0.003445305771</v>
      </c>
      <c r="H150" s="47">
        <f t="shared" si="279"/>
        <v>0.5383290267</v>
      </c>
      <c r="I150" s="187">
        <f t="shared" si="271"/>
        <v>10</v>
      </c>
      <c r="J150" s="172">
        <f t="shared" si="280"/>
        <v>2029</v>
      </c>
      <c r="K150" s="115">
        <f t="shared" si="3"/>
        <v>0.6908409942</v>
      </c>
      <c r="L150" s="191">
        <f t="shared" si="272"/>
        <v>4.4</v>
      </c>
      <c r="M150" s="172">
        <f t="shared" si="281"/>
        <v>908.4</v>
      </c>
      <c r="N150" s="47">
        <f t="shared" si="4"/>
        <v>0.003445305771</v>
      </c>
      <c r="O150" s="47">
        <f t="shared" si="16"/>
        <v>0.5383290267</v>
      </c>
      <c r="P150" s="7"/>
      <c r="Q150" s="7"/>
      <c r="R150" s="7"/>
      <c r="S150" s="229">
        <f t="shared" si="273"/>
        <v>0</v>
      </c>
      <c r="T150" s="206"/>
      <c r="U150" s="195"/>
      <c r="V150" s="230">
        <f>Roles!$D$2</f>
        <v>0.61</v>
      </c>
      <c r="W150" s="230">
        <f t="shared" si="274"/>
        <v>0</v>
      </c>
      <c r="X150" s="229">
        <f t="shared" si="275"/>
        <v>0</v>
      </c>
      <c r="Y150" s="231">
        <f>'CD R Documentación'!$I150</f>
        <v>0</v>
      </c>
      <c r="Z150" s="195"/>
      <c r="AA150" s="230"/>
      <c r="AB150" s="232">
        <f>'CD R Documentación'!$L150</f>
        <v>0</v>
      </c>
      <c r="AC150" s="229">
        <f t="shared" si="276"/>
        <v>2</v>
      </c>
      <c r="AD150" s="231">
        <f>'CD R Investigación'!$I150</f>
        <v>8</v>
      </c>
      <c r="AE150" s="195"/>
      <c r="AF150" s="230"/>
      <c r="AG150" s="232">
        <f>'CD R Investigación'!$L150</f>
        <v>3.52</v>
      </c>
      <c r="AH150" s="229">
        <f t="shared" si="277"/>
        <v>0.5</v>
      </c>
      <c r="AI150" s="231">
        <f>'CD R Desarrollo'!$I150</f>
        <v>2</v>
      </c>
      <c r="AJ150" s="200"/>
      <c r="AK150" s="185"/>
      <c r="AL150" s="232">
        <f>'CD R Desarrollo'!$L150</f>
        <v>0.88</v>
      </c>
      <c r="AM150" s="234">
        <v>1.0</v>
      </c>
      <c r="AN150" s="84">
        <f>'PL Cronograma detallado'!L150*AM150</f>
        <v>1.96</v>
      </c>
      <c r="AO150" s="234">
        <f>AN150/'PL Cronograma detallado'!M$238</f>
        <v>0.003324738771</v>
      </c>
      <c r="AP150" s="234">
        <f t="shared" si="278"/>
        <v>0.009109105713</v>
      </c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 t="shared" si="1"/>
        <v>2</v>
      </c>
      <c r="F151" s="80">
        <v>4.0</v>
      </c>
      <c r="G151" s="105">
        <f t="shared" si="2"/>
        <v>0.003445305771</v>
      </c>
      <c r="H151" s="47">
        <f t="shared" si="279"/>
        <v>0.5417743325</v>
      </c>
      <c r="I151" s="187">
        <f t="shared" si="271"/>
        <v>13</v>
      </c>
      <c r="J151" s="172">
        <f t="shared" si="280"/>
        <v>2042</v>
      </c>
      <c r="K151" s="115">
        <f t="shared" si="3"/>
        <v>0.6952672795</v>
      </c>
      <c r="L151" s="191">
        <f t="shared" si="272"/>
        <v>5.89</v>
      </c>
      <c r="M151" s="172">
        <f t="shared" si="281"/>
        <v>914.29</v>
      </c>
      <c r="N151" s="47">
        <f t="shared" si="4"/>
        <v>0.003445305771</v>
      </c>
      <c r="O151" s="47">
        <f t="shared" si="16"/>
        <v>0.5417743325</v>
      </c>
      <c r="P151" s="7"/>
      <c r="Q151" s="7"/>
      <c r="R151" s="7"/>
      <c r="S151" s="229">
        <f t="shared" si="273"/>
        <v>0.25</v>
      </c>
      <c r="T151" s="194">
        <v>1.0</v>
      </c>
      <c r="U151" s="195"/>
      <c r="V151" s="230">
        <f>Roles!$D$2</f>
        <v>0.61</v>
      </c>
      <c r="W151" s="230">
        <f t="shared" si="274"/>
        <v>0.61</v>
      </c>
      <c r="X151" s="229">
        <f t="shared" si="275"/>
        <v>0</v>
      </c>
      <c r="Y151" s="231">
        <f>'CD R Documentación'!$I151</f>
        <v>0</v>
      </c>
      <c r="Z151" s="195"/>
      <c r="AA151" s="230"/>
      <c r="AB151" s="232">
        <f>'CD R Documentación'!$L151</f>
        <v>0</v>
      </c>
      <c r="AC151" s="229">
        <f t="shared" si="276"/>
        <v>2</v>
      </c>
      <c r="AD151" s="231">
        <f>'CD R Investigación'!$I151</f>
        <v>8</v>
      </c>
      <c r="AE151" s="195"/>
      <c r="AF151" s="230"/>
      <c r="AG151" s="232">
        <f>'CD R Investigación'!$L151</f>
        <v>3.52</v>
      </c>
      <c r="AH151" s="229">
        <f t="shared" si="277"/>
        <v>1</v>
      </c>
      <c r="AI151" s="231">
        <f>'CD R Desarrollo'!$I151</f>
        <v>4</v>
      </c>
      <c r="AJ151" s="200"/>
      <c r="AK151" s="185"/>
      <c r="AL151" s="232">
        <f>'CD R Desarrollo'!$L151</f>
        <v>1.76</v>
      </c>
      <c r="AM151" s="234">
        <v>1.0</v>
      </c>
      <c r="AN151" s="84">
        <f>'PL Cronograma detallado'!L151*AM151</f>
        <v>2.93</v>
      </c>
      <c r="AO151" s="234">
        <f>AN151/'PL Cronograma detallado'!M$238</f>
        <v>0.004970145203</v>
      </c>
      <c r="AP151" s="234">
        <f t="shared" si="278"/>
        <v>0.01407925092</v>
      </c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 t="shared" si="1"/>
        <v>1</v>
      </c>
      <c r="F152" s="80">
        <v>2.0</v>
      </c>
      <c r="G152" s="105">
        <f t="shared" si="2"/>
        <v>0.001722652885</v>
      </c>
      <c r="H152" s="47">
        <f t="shared" si="279"/>
        <v>0.5434969854</v>
      </c>
      <c r="I152" s="187">
        <f t="shared" si="271"/>
        <v>4</v>
      </c>
      <c r="J152" s="172">
        <f t="shared" si="280"/>
        <v>2046</v>
      </c>
      <c r="K152" s="115">
        <f t="shared" si="3"/>
        <v>0.6966292135</v>
      </c>
      <c r="L152" s="191">
        <f t="shared" si="272"/>
        <v>1.76</v>
      </c>
      <c r="M152" s="172">
        <f t="shared" si="281"/>
        <v>916.05</v>
      </c>
      <c r="N152" s="47">
        <f t="shared" si="4"/>
        <v>0.001722652885</v>
      </c>
      <c r="O152" s="47">
        <f t="shared" si="16"/>
        <v>0.5434969854</v>
      </c>
      <c r="P152" s="7"/>
      <c r="Q152" s="7"/>
      <c r="R152" s="7"/>
      <c r="S152" s="229">
        <f t="shared" si="273"/>
        <v>0</v>
      </c>
      <c r="T152" s="206"/>
      <c r="U152" s="195"/>
      <c r="V152" s="230">
        <f>Roles!$D$2</f>
        <v>0.61</v>
      </c>
      <c r="W152" s="230">
        <f t="shared" si="274"/>
        <v>0</v>
      </c>
      <c r="X152" s="229">
        <f t="shared" si="275"/>
        <v>0</v>
      </c>
      <c r="Y152" s="231">
        <f>'CD R Documentación'!$I152</f>
        <v>0</v>
      </c>
      <c r="Z152" s="195"/>
      <c r="AA152" s="230"/>
      <c r="AB152" s="232">
        <f>'CD R Documentación'!$L152</f>
        <v>0</v>
      </c>
      <c r="AC152" s="229">
        <f t="shared" si="276"/>
        <v>2</v>
      </c>
      <c r="AD152" s="231">
        <f>'CD R Investigación'!$I152</f>
        <v>4</v>
      </c>
      <c r="AE152" s="195"/>
      <c r="AF152" s="230"/>
      <c r="AG152" s="232">
        <f>'CD R Investigación'!$L152</f>
        <v>1.76</v>
      </c>
      <c r="AH152" s="229">
        <f t="shared" si="277"/>
        <v>0</v>
      </c>
      <c r="AI152" s="231">
        <f>'CD R Desarrollo'!$I152</f>
        <v>0</v>
      </c>
      <c r="AJ152" s="200"/>
      <c r="AK152" s="185"/>
      <c r="AL152" s="232">
        <f>'CD R Desarrollo'!$L152</f>
        <v>0</v>
      </c>
      <c r="AM152" s="234">
        <v>1.0</v>
      </c>
      <c r="AN152" s="84">
        <f>'PL Cronograma detallado'!L152*AM152</f>
        <v>0.8</v>
      </c>
      <c r="AO152" s="234">
        <f>AN152/'PL Cronograma detallado'!M$238</f>
        <v>0.001357036233</v>
      </c>
      <c r="AP152" s="234">
        <f t="shared" si="278"/>
        <v>0.01543628715</v>
      </c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 t="shared" si="1"/>
        <v>2</v>
      </c>
      <c r="F153" s="80">
        <v>3.0</v>
      </c>
      <c r="G153" s="105">
        <f t="shared" si="2"/>
        <v>0.002583979328</v>
      </c>
      <c r="H153" s="47">
        <f t="shared" si="279"/>
        <v>0.5460809647</v>
      </c>
      <c r="I153" s="187">
        <f t="shared" si="271"/>
        <v>7</v>
      </c>
      <c r="J153" s="172">
        <f t="shared" si="280"/>
        <v>2053</v>
      </c>
      <c r="K153" s="115">
        <f t="shared" si="3"/>
        <v>0.6990125979</v>
      </c>
      <c r="L153" s="191">
        <f t="shared" si="272"/>
        <v>3.25</v>
      </c>
      <c r="M153" s="172">
        <f t="shared" si="281"/>
        <v>919.3</v>
      </c>
      <c r="N153" s="47">
        <f t="shared" si="4"/>
        <v>0.002583979328</v>
      </c>
      <c r="O153" s="47">
        <f t="shared" si="16"/>
        <v>0.5460809647</v>
      </c>
      <c r="P153" s="7"/>
      <c r="Q153" s="7"/>
      <c r="R153" s="7"/>
      <c r="S153" s="229">
        <f t="shared" si="273"/>
        <v>0.3333333333</v>
      </c>
      <c r="T153" s="194">
        <v>1.0</v>
      </c>
      <c r="U153" s="195"/>
      <c r="V153" s="230">
        <f>Roles!$D$2</f>
        <v>0.61</v>
      </c>
      <c r="W153" s="230">
        <f t="shared" si="274"/>
        <v>0.61</v>
      </c>
      <c r="X153" s="229">
        <f t="shared" si="275"/>
        <v>0</v>
      </c>
      <c r="Y153" s="231">
        <f>'CD R Documentación'!$I153</f>
        <v>0</v>
      </c>
      <c r="Z153" s="195"/>
      <c r="AA153" s="230"/>
      <c r="AB153" s="232">
        <f>'CD R Documentación'!$L153</f>
        <v>0</v>
      </c>
      <c r="AC153" s="229">
        <f t="shared" si="276"/>
        <v>2</v>
      </c>
      <c r="AD153" s="231">
        <f>'CD R Investigación'!$I153</f>
        <v>6</v>
      </c>
      <c r="AE153" s="195"/>
      <c r="AF153" s="230"/>
      <c r="AG153" s="232">
        <f>'CD R Investigación'!$L153</f>
        <v>2.64</v>
      </c>
      <c r="AH153" s="229">
        <f t="shared" si="277"/>
        <v>0</v>
      </c>
      <c r="AI153" s="231">
        <f>'CD R Desarrollo'!$I153</f>
        <v>0</v>
      </c>
      <c r="AJ153" s="200"/>
      <c r="AK153" s="185"/>
      <c r="AL153" s="232">
        <f>'CD R Desarrollo'!$L153</f>
        <v>0</v>
      </c>
      <c r="AM153" s="234">
        <v>1.0</v>
      </c>
      <c r="AN153" s="84">
        <f>'PL Cronograma detallado'!L153*AM153</f>
        <v>1.81</v>
      </c>
      <c r="AO153" s="234">
        <f>AN153/'PL Cronograma detallado'!M$238</f>
        <v>0.003070294477</v>
      </c>
      <c r="AP153" s="234">
        <f t="shared" si="278"/>
        <v>0.01850658163</v>
      </c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 t="shared" si="1"/>
        <v>7</v>
      </c>
      <c r="F154" s="246">
        <f>SUM(F155:F159)</f>
        <v>13</v>
      </c>
      <c r="G154" s="105">
        <f t="shared" si="2"/>
        <v>0.01119724376</v>
      </c>
      <c r="H154" s="226">
        <f>H159</f>
        <v>0.5572782084</v>
      </c>
      <c r="I154" s="247">
        <f>SUM(I155:I159)</f>
        <v>34</v>
      </c>
      <c r="J154" s="247">
        <f>J159</f>
        <v>2087</v>
      </c>
      <c r="K154" s="167">
        <f t="shared" si="3"/>
        <v>0.7105890364</v>
      </c>
      <c r="L154" s="247">
        <f>SUM(L155:L159)</f>
        <v>15.13</v>
      </c>
      <c r="M154" s="247">
        <f>M159</f>
        <v>934.43</v>
      </c>
      <c r="N154" s="47">
        <f t="shared" si="4"/>
        <v>0</v>
      </c>
      <c r="O154" s="47">
        <f t="shared" si="16"/>
        <v>0.5460809647</v>
      </c>
      <c r="P154" s="7"/>
      <c r="Q154" s="7"/>
      <c r="R154" s="7"/>
      <c r="S154" s="173"/>
      <c r="T154" s="174"/>
      <c r="U154" s="178"/>
      <c r="V154" s="178"/>
      <c r="W154" s="178"/>
      <c r="X154" s="173"/>
      <c r="Y154" s="231"/>
      <c r="Z154" s="178"/>
      <c r="AA154" s="178"/>
      <c r="AB154" s="232"/>
      <c r="AC154" s="173"/>
      <c r="AD154" s="231"/>
      <c r="AE154" s="178"/>
      <c r="AF154" s="178"/>
      <c r="AG154" s="232"/>
      <c r="AH154" s="173"/>
      <c r="AI154" s="231"/>
      <c r="AJ154" s="180"/>
      <c r="AK154" s="180"/>
      <c r="AL154" s="232"/>
      <c r="AM154" s="234"/>
      <c r="AN154" s="84"/>
      <c r="AO154" s="234"/>
      <c r="AP154" s="234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 t="shared" si="1"/>
        <v>2</v>
      </c>
      <c r="F155" s="80">
        <v>3.0</v>
      </c>
      <c r="G155" s="105">
        <f t="shared" si="2"/>
        <v>0.002583979328</v>
      </c>
      <c r="H155" s="47">
        <f>H153+G155</f>
        <v>0.548664944</v>
      </c>
      <c r="I155" s="187">
        <f t="shared" ref="I155:I159" si="282">T155+Y155+AD155+AI155</f>
        <v>6</v>
      </c>
      <c r="J155" s="172">
        <f>J153+I155</f>
        <v>2059</v>
      </c>
      <c r="K155" s="115">
        <f t="shared" si="3"/>
        <v>0.7010554988</v>
      </c>
      <c r="L155" s="191">
        <f t="shared" ref="L155:L159" si="283">W155+AB155+AG155+AL155</f>
        <v>2.64</v>
      </c>
      <c r="M155" s="172">
        <f>M153+L155</f>
        <v>921.94</v>
      </c>
      <c r="N155" s="47">
        <f t="shared" si="4"/>
        <v>0.002583979328</v>
      </c>
      <c r="O155" s="47">
        <f t="shared" si="16"/>
        <v>0.548664944</v>
      </c>
      <c r="P155" s="7"/>
      <c r="Q155" s="7"/>
      <c r="R155" s="7"/>
      <c r="S155" s="229">
        <f t="shared" ref="S155:S159" si="284">T155/$F155</f>
        <v>0</v>
      </c>
      <c r="T155" s="206"/>
      <c r="U155" s="195"/>
      <c r="V155" s="230">
        <f>Roles!$D$2</f>
        <v>0.61</v>
      </c>
      <c r="W155" s="230">
        <f t="shared" ref="W155:W159" si="285">V155*T155</f>
        <v>0</v>
      </c>
      <c r="X155" s="229">
        <f t="shared" ref="X155:X159" si="286">Y155/$F155</f>
        <v>0</v>
      </c>
      <c r="Y155" s="231">
        <f>'CD R Documentación'!$I155</f>
        <v>0</v>
      </c>
      <c r="Z155" s="195"/>
      <c r="AA155" s="230"/>
      <c r="AB155" s="232">
        <f>'CD R Documentación'!$L155</f>
        <v>0</v>
      </c>
      <c r="AC155" s="229">
        <f t="shared" ref="AC155:AC159" si="287">AD155/$F155</f>
        <v>2</v>
      </c>
      <c r="AD155" s="231">
        <f>'CD R Investigación'!$I155</f>
        <v>6</v>
      </c>
      <c r="AE155" s="195"/>
      <c r="AF155" s="230"/>
      <c r="AG155" s="232">
        <f>'CD R Investigación'!$L155</f>
        <v>2.64</v>
      </c>
      <c r="AH155" s="229">
        <f t="shared" ref="AH155:AH159" si="288">AI155/$F155</f>
        <v>0</v>
      </c>
      <c r="AI155" s="231">
        <f>'CD R Desarrollo'!$I155</f>
        <v>0</v>
      </c>
      <c r="AJ155" s="200"/>
      <c r="AK155" s="185"/>
      <c r="AL155" s="232">
        <f>'CD R Desarrollo'!$L155</f>
        <v>0</v>
      </c>
      <c r="AM155" s="234">
        <v>1.0</v>
      </c>
      <c r="AN155" s="84">
        <f>'PL Cronograma detallado'!L155*AM155</f>
        <v>1.2</v>
      </c>
      <c r="AO155" s="234">
        <f>AN155/'PL Cronograma detallado'!M$238</f>
        <v>0.002035554349</v>
      </c>
      <c r="AP155" s="234">
        <f t="shared" ref="AP155:AP159" si="289">AO155+AP154</f>
        <v>0.002035554349</v>
      </c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 t="shared" si="1"/>
        <v>2</v>
      </c>
      <c r="F156" s="80">
        <v>3.0</v>
      </c>
      <c r="G156" s="105">
        <f t="shared" si="2"/>
        <v>0.002583979328</v>
      </c>
      <c r="H156" s="47">
        <f t="shared" ref="H156:H159" si="290">H155+G156</f>
        <v>0.5512489233</v>
      </c>
      <c r="I156" s="187">
        <f t="shared" si="282"/>
        <v>10</v>
      </c>
      <c r="J156" s="172">
        <f t="shared" ref="J156:J159" si="291">J155+I156</f>
        <v>2069</v>
      </c>
      <c r="K156" s="115">
        <f t="shared" si="3"/>
        <v>0.7044603337</v>
      </c>
      <c r="L156" s="191">
        <f t="shared" si="283"/>
        <v>4.57</v>
      </c>
      <c r="M156" s="172">
        <f t="shared" ref="M156:M159" si="292">M155+L156</f>
        <v>926.51</v>
      </c>
      <c r="N156" s="47">
        <f t="shared" si="4"/>
        <v>0.002583979328</v>
      </c>
      <c r="O156" s="47">
        <f t="shared" si="16"/>
        <v>0.5512489233</v>
      </c>
      <c r="P156" s="7"/>
      <c r="Q156" s="7"/>
      <c r="R156" s="7"/>
      <c r="S156" s="229">
        <f t="shared" si="284"/>
        <v>0.3333333333</v>
      </c>
      <c r="T156" s="194">
        <v>1.0</v>
      </c>
      <c r="U156" s="195"/>
      <c r="V156" s="230">
        <f>Roles!$D$2</f>
        <v>0.61</v>
      </c>
      <c r="W156" s="230">
        <f t="shared" si="285"/>
        <v>0.61</v>
      </c>
      <c r="X156" s="229">
        <f t="shared" si="286"/>
        <v>0</v>
      </c>
      <c r="Y156" s="231">
        <f>'CD R Documentación'!$I156</f>
        <v>0</v>
      </c>
      <c r="Z156" s="195"/>
      <c r="AA156" s="230"/>
      <c r="AB156" s="232">
        <f>'CD R Documentación'!$L156</f>
        <v>0</v>
      </c>
      <c r="AC156" s="229">
        <f t="shared" si="287"/>
        <v>1</v>
      </c>
      <c r="AD156" s="231">
        <f>'CD R Investigación'!$I156</f>
        <v>3</v>
      </c>
      <c r="AE156" s="195"/>
      <c r="AF156" s="230"/>
      <c r="AG156" s="232">
        <f>'CD R Investigación'!$L156</f>
        <v>1.32</v>
      </c>
      <c r="AH156" s="229">
        <f t="shared" si="288"/>
        <v>2</v>
      </c>
      <c r="AI156" s="231">
        <f>'CD R Desarrollo'!$I156</f>
        <v>6</v>
      </c>
      <c r="AJ156" s="200"/>
      <c r="AK156" s="185"/>
      <c r="AL156" s="232">
        <f>'CD R Desarrollo'!$L156</f>
        <v>2.64</v>
      </c>
      <c r="AM156" s="234">
        <v>1.0</v>
      </c>
      <c r="AN156" s="84">
        <f>'PL Cronograma detallado'!L156*AM156</f>
        <v>2.29</v>
      </c>
      <c r="AO156" s="234">
        <f>AN156/'PL Cronograma detallado'!M$238</f>
        <v>0.003884516217</v>
      </c>
      <c r="AP156" s="234">
        <f t="shared" si="289"/>
        <v>0.005920070566</v>
      </c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 t="shared" si="1"/>
        <v>2</v>
      </c>
      <c r="F157" s="80">
        <v>2.0</v>
      </c>
      <c r="G157" s="105">
        <f t="shared" si="2"/>
        <v>0.001722652885</v>
      </c>
      <c r="H157" s="47">
        <f t="shared" si="290"/>
        <v>0.5529715762</v>
      </c>
      <c r="I157" s="187">
        <f t="shared" si="282"/>
        <v>6</v>
      </c>
      <c r="J157" s="172">
        <f t="shared" si="291"/>
        <v>2075</v>
      </c>
      <c r="K157" s="115">
        <f t="shared" si="3"/>
        <v>0.7065032346</v>
      </c>
      <c r="L157" s="191">
        <f t="shared" si="283"/>
        <v>2.64</v>
      </c>
      <c r="M157" s="172">
        <f t="shared" si="292"/>
        <v>929.15</v>
      </c>
      <c r="N157" s="47">
        <f t="shared" si="4"/>
        <v>0.001722652885</v>
      </c>
      <c r="O157" s="47">
        <f t="shared" si="16"/>
        <v>0.5529715762</v>
      </c>
      <c r="P157" s="7"/>
      <c r="Q157" s="7"/>
      <c r="R157" s="7"/>
      <c r="S157" s="229">
        <f t="shared" si="284"/>
        <v>0</v>
      </c>
      <c r="T157" s="206"/>
      <c r="U157" s="195"/>
      <c r="V157" s="230">
        <f>Roles!$D$2</f>
        <v>0.61</v>
      </c>
      <c r="W157" s="230">
        <f t="shared" si="285"/>
        <v>0</v>
      </c>
      <c r="X157" s="229">
        <f t="shared" si="286"/>
        <v>0</v>
      </c>
      <c r="Y157" s="231">
        <f>'CD R Documentación'!$I157</f>
        <v>0</v>
      </c>
      <c r="Z157" s="195"/>
      <c r="AA157" s="230"/>
      <c r="AB157" s="232">
        <f>'CD R Documentación'!$L157</f>
        <v>0</v>
      </c>
      <c r="AC157" s="229">
        <f t="shared" si="287"/>
        <v>1</v>
      </c>
      <c r="AD157" s="231">
        <f>'CD R Investigación'!$I157</f>
        <v>2</v>
      </c>
      <c r="AE157" s="195"/>
      <c r="AF157" s="230"/>
      <c r="AG157" s="232">
        <f>'CD R Investigación'!$L157</f>
        <v>0.88</v>
      </c>
      <c r="AH157" s="229">
        <f t="shared" si="288"/>
        <v>2</v>
      </c>
      <c r="AI157" s="231">
        <f>'CD R Desarrollo'!$I157</f>
        <v>4</v>
      </c>
      <c r="AJ157" s="200"/>
      <c r="AK157" s="185"/>
      <c r="AL157" s="232">
        <f>'CD R Desarrollo'!$L157</f>
        <v>1.76</v>
      </c>
      <c r="AM157" s="234">
        <v>1.0</v>
      </c>
      <c r="AN157" s="84">
        <f>'PL Cronograma detallado'!L157*AM157</f>
        <v>1.12</v>
      </c>
      <c r="AO157" s="234">
        <f>AN157/'PL Cronograma detallado'!M$238</f>
        <v>0.001899850726</v>
      </c>
      <c r="AP157" s="234">
        <f t="shared" si="289"/>
        <v>0.007819921292</v>
      </c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 t="shared" si="1"/>
        <v>2</v>
      </c>
      <c r="F158" s="80">
        <v>3.0</v>
      </c>
      <c r="G158" s="105">
        <f t="shared" si="2"/>
        <v>0.002583979328</v>
      </c>
      <c r="H158" s="47">
        <f t="shared" si="290"/>
        <v>0.5555555556</v>
      </c>
      <c r="I158" s="187">
        <f t="shared" si="282"/>
        <v>6</v>
      </c>
      <c r="J158" s="172">
        <f t="shared" si="291"/>
        <v>2081</v>
      </c>
      <c r="K158" s="115">
        <f t="shared" si="3"/>
        <v>0.7085461355</v>
      </c>
      <c r="L158" s="191">
        <f t="shared" si="283"/>
        <v>2.64</v>
      </c>
      <c r="M158" s="172">
        <f t="shared" si="292"/>
        <v>931.79</v>
      </c>
      <c r="N158" s="47">
        <f t="shared" si="4"/>
        <v>0.002583979328</v>
      </c>
      <c r="O158" s="47">
        <f t="shared" si="16"/>
        <v>0.5555555556</v>
      </c>
      <c r="P158" s="7"/>
      <c r="Q158" s="7"/>
      <c r="R158" s="7"/>
      <c r="S158" s="229">
        <f t="shared" si="284"/>
        <v>0</v>
      </c>
      <c r="T158" s="206"/>
      <c r="U158" s="195"/>
      <c r="V158" s="230">
        <f>Roles!$D$2</f>
        <v>0.61</v>
      </c>
      <c r="W158" s="230">
        <f t="shared" si="285"/>
        <v>0</v>
      </c>
      <c r="X158" s="229">
        <f t="shared" si="286"/>
        <v>0</v>
      </c>
      <c r="Y158" s="231">
        <f>'CD R Documentación'!$I158</f>
        <v>0</v>
      </c>
      <c r="Z158" s="195"/>
      <c r="AA158" s="230"/>
      <c r="AB158" s="232">
        <f>'CD R Documentación'!$L158</f>
        <v>0</v>
      </c>
      <c r="AC158" s="229">
        <f t="shared" si="287"/>
        <v>2</v>
      </c>
      <c r="AD158" s="231">
        <f>'CD R Investigación'!$I158</f>
        <v>6</v>
      </c>
      <c r="AE158" s="195"/>
      <c r="AF158" s="230"/>
      <c r="AG158" s="232">
        <f>'CD R Investigación'!$L158</f>
        <v>2.64</v>
      </c>
      <c r="AH158" s="229">
        <f t="shared" si="288"/>
        <v>0</v>
      </c>
      <c r="AI158" s="231">
        <f>'CD R Desarrollo'!$I158</f>
        <v>0</v>
      </c>
      <c r="AJ158" s="200"/>
      <c r="AK158" s="185"/>
      <c r="AL158" s="232">
        <f>'CD R Desarrollo'!$L158</f>
        <v>0</v>
      </c>
      <c r="AM158" s="234">
        <v>1.0</v>
      </c>
      <c r="AN158" s="84">
        <f>'PL Cronograma detallado'!L158*AM158</f>
        <v>1.2</v>
      </c>
      <c r="AO158" s="234">
        <f>AN158/'PL Cronograma detallado'!M$238</f>
        <v>0.002035554349</v>
      </c>
      <c r="AP158" s="234">
        <f t="shared" si="289"/>
        <v>0.009855475641</v>
      </c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 t="shared" si="1"/>
        <v>2</v>
      </c>
      <c r="F159" s="80">
        <v>2.0</v>
      </c>
      <c r="G159" s="105">
        <f t="shared" si="2"/>
        <v>0.001722652885</v>
      </c>
      <c r="H159" s="47">
        <f t="shared" si="290"/>
        <v>0.5572782084</v>
      </c>
      <c r="I159" s="187">
        <f t="shared" si="282"/>
        <v>6</v>
      </c>
      <c r="J159" s="172">
        <f t="shared" si="291"/>
        <v>2087</v>
      </c>
      <c r="K159" s="115">
        <f t="shared" si="3"/>
        <v>0.7105890364</v>
      </c>
      <c r="L159" s="191">
        <f t="shared" si="283"/>
        <v>2.64</v>
      </c>
      <c r="M159" s="172">
        <f t="shared" si="292"/>
        <v>934.43</v>
      </c>
      <c r="N159" s="47">
        <f t="shared" si="4"/>
        <v>0.001722652885</v>
      </c>
      <c r="O159" s="47">
        <f t="shared" si="16"/>
        <v>0.5572782084</v>
      </c>
      <c r="P159" s="7"/>
      <c r="Q159" s="7"/>
      <c r="R159" s="7"/>
      <c r="S159" s="229">
        <f t="shared" si="284"/>
        <v>0</v>
      </c>
      <c r="T159" s="206"/>
      <c r="U159" s="195"/>
      <c r="V159" s="230">
        <f>Roles!$D$2</f>
        <v>0.61</v>
      </c>
      <c r="W159" s="230">
        <f t="shared" si="285"/>
        <v>0</v>
      </c>
      <c r="X159" s="229">
        <f t="shared" si="286"/>
        <v>1</v>
      </c>
      <c r="Y159" s="231">
        <f>'CD R Documentación'!$I159</f>
        <v>2</v>
      </c>
      <c r="Z159" s="195"/>
      <c r="AA159" s="230"/>
      <c r="AB159" s="232">
        <f>'CD R Documentación'!$L159</f>
        <v>0.88</v>
      </c>
      <c r="AC159" s="229">
        <f t="shared" si="287"/>
        <v>2</v>
      </c>
      <c r="AD159" s="231">
        <f>'CD R Investigación'!$I159</f>
        <v>4</v>
      </c>
      <c r="AE159" s="195"/>
      <c r="AF159" s="230"/>
      <c r="AG159" s="232">
        <f>'CD R Investigación'!$L159</f>
        <v>1.76</v>
      </c>
      <c r="AH159" s="229">
        <f t="shared" si="288"/>
        <v>0</v>
      </c>
      <c r="AI159" s="231">
        <f>'CD R Desarrollo'!$I159</f>
        <v>0</v>
      </c>
      <c r="AJ159" s="200"/>
      <c r="AK159" s="185"/>
      <c r="AL159" s="232">
        <f>'CD R Desarrollo'!$L159</f>
        <v>0</v>
      </c>
      <c r="AM159" s="234">
        <v>1.0</v>
      </c>
      <c r="AN159" s="84">
        <f>'PL Cronograma detallado'!L159*AM159</f>
        <v>1.14</v>
      </c>
      <c r="AO159" s="234">
        <f>AN159/'PL Cronograma detallado'!M$238</f>
        <v>0.001933776632</v>
      </c>
      <c r="AP159" s="234">
        <f t="shared" si="289"/>
        <v>0.01178925227</v>
      </c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 t="shared" si="1"/>
        <v>17</v>
      </c>
      <c r="F160" s="246">
        <f>SUM(F161:F165)</f>
        <v>17</v>
      </c>
      <c r="G160" s="105">
        <f t="shared" si="2"/>
        <v>0.01464254953</v>
      </c>
      <c r="H160" s="226">
        <f>H165</f>
        <v>0.571920758</v>
      </c>
      <c r="I160" s="247">
        <f>SUM(I161:I165)</f>
        <v>36</v>
      </c>
      <c r="J160" s="247">
        <f>J165</f>
        <v>2123</v>
      </c>
      <c r="K160" s="167">
        <f t="shared" si="3"/>
        <v>0.7228464419</v>
      </c>
      <c r="L160" s="247">
        <f>SUM(L161:L165)</f>
        <v>16.18</v>
      </c>
      <c r="M160" s="247">
        <f>M165</f>
        <v>950.61</v>
      </c>
      <c r="N160" s="47">
        <f t="shared" si="4"/>
        <v>0</v>
      </c>
      <c r="O160" s="47">
        <f t="shared" si="16"/>
        <v>0.5572782084</v>
      </c>
      <c r="P160" s="7"/>
      <c r="Q160" s="7"/>
      <c r="R160" s="7"/>
      <c r="S160" s="173"/>
      <c r="T160" s="174"/>
      <c r="U160" s="178"/>
      <c r="V160" s="178"/>
      <c r="W160" s="178"/>
      <c r="X160" s="173"/>
      <c r="Y160" s="231"/>
      <c r="Z160" s="178"/>
      <c r="AA160" s="178"/>
      <c r="AB160" s="232"/>
      <c r="AC160" s="173"/>
      <c r="AD160" s="231"/>
      <c r="AE160" s="178"/>
      <c r="AF160" s="178"/>
      <c r="AG160" s="232"/>
      <c r="AH160" s="173"/>
      <c r="AI160" s="231"/>
      <c r="AJ160" s="180"/>
      <c r="AK160" s="180"/>
      <c r="AL160" s="232"/>
      <c r="AM160" s="234"/>
      <c r="AN160" s="84"/>
      <c r="AO160" s="234"/>
      <c r="AP160" s="234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 t="shared" si="1"/>
        <v>2</v>
      </c>
      <c r="F161" s="80">
        <v>3.0</v>
      </c>
      <c r="G161" s="105">
        <f t="shared" si="2"/>
        <v>0.002583979328</v>
      </c>
      <c r="H161" s="47">
        <f>H159+G161</f>
        <v>0.5598621878</v>
      </c>
      <c r="I161" s="187">
        <f t="shared" ref="I161:I165" si="293">T161+Y161+AD161+AI161</f>
        <v>6</v>
      </c>
      <c r="J161" s="172">
        <f>J159+I161</f>
        <v>2093</v>
      </c>
      <c r="K161" s="115">
        <f t="shared" si="3"/>
        <v>0.7126319374</v>
      </c>
      <c r="L161" s="191">
        <f t="shared" ref="L161:L165" si="294">W161+AB161+AG161+AL161</f>
        <v>2.64</v>
      </c>
      <c r="M161" s="172">
        <f>M159+L161</f>
        <v>937.07</v>
      </c>
      <c r="N161" s="47">
        <f t="shared" si="4"/>
        <v>0.002583979328</v>
      </c>
      <c r="O161" s="47">
        <f t="shared" si="16"/>
        <v>0.5598621878</v>
      </c>
      <c r="P161" s="7"/>
      <c r="Q161" s="7"/>
      <c r="R161" s="7"/>
      <c r="S161" s="229">
        <f t="shared" ref="S161:S165" si="295">T161/$F161</f>
        <v>0</v>
      </c>
      <c r="T161" s="206"/>
      <c r="U161" s="195"/>
      <c r="V161" s="230">
        <f>Roles!$D$2</f>
        <v>0.61</v>
      </c>
      <c r="W161" s="230">
        <f t="shared" ref="W161:W165" si="296">V161*T161</f>
        <v>0</v>
      </c>
      <c r="X161" s="229">
        <f t="shared" ref="X161:X165" si="297">Y161/$F161</f>
        <v>0</v>
      </c>
      <c r="Y161" s="231">
        <f>'CD R Documentación'!$I161</f>
        <v>0</v>
      </c>
      <c r="Z161" s="195"/>
      <c r="AA161" s="230"/>
      <c r="AB161" s="232">
        <f>'CD R Documentación'!$L161</f>
        <v>0</v>
      </c>
      <c r="AC161" s="229">
        <f t="shared" ref="AC161:AC165" si="298">AD161/$F161</f>
        <v>2</v>
      </c>
      <c r="AD161" s="231">
        <f>'CD R Investigación'!$I161</f>
        <v>6</v>
      </c>
      <c r="AE161" s="195"/>
      <c r="AF161" s="230"/>
      <c r="AG161" s="232">
        <f>'CD R Investigación'!$L161</f>
        <v>2.64</v>
      </c>
      <c r="AH161" s="229">
        <f t="shared" ref="AH161:AH165" si="299">AI161/$F161</f>
        <v>0</v>
      </c>
      <c r="AI161" s="231">
        <f>'CD R Desarrollo'!$I161</f>
        <v>0</v>
      </c>
      <c r="AJ161" s="200"/>
      <c r="AK161" s="185"/>
      <c r="AL161" s="232">
        <f>'CD R Desarrollo'!$L161</f>
        <v>0</v>
      </c>
      <c r="AM161" s="234">
        <v>1.0</v>
      </c>
      <c r="AN161" s="84">
        <f>'PL Cronograma detallado'!L161*AM161</f>
        <v>1.2</v>
      </c>
      <c r="AO161" s="234">
        <f>AN161/'PL Cronograma detallado'!M$238</f>
        <v>0.002035554349</v>
      </c>
      <c r="AP161" s="234">
        <f t="shared" ref="AP161:AP165" si="300">AO161+AP160</f>
        <v>0.002035554349</v>
      </c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 t="shared" si="1"/>
        <v>3</v>
      </c>
      <c r="F162" s="80">
        <v>4.0</v>
      </c>
      <c r="G162" s="105">
        <f t="shared" si="2"/>
        <v>0.003445305771</v>
      </c>
      <c r="H162" s="47">
        <f t="shared" ref="H162:H165" si="301">H161+G162</f>
        <v>0.5633074935</v>
      </c>
      <c r="I162" s="187">
        <f t="shared" si="293"/>
        <v>8</v>
      </c>
      <c r="J162" s="172">
        <f t="shared" ref="J162:J165" si="302">J161+I162</f>
        <v>2101</v>
      </c>
      <c r="K162" s="115">
        <f t="shared" si="3"/>
        <v>0.7153558052</v>
      </c>
      <c r="L162" s="191">
        <f t="shared" si="294"/>
        <v>3.52</v>
      </c>
      <c r="M162" s="172">
        <f t="shared" ref="M162:M165" si="303">M161+L162</f>
        <v>940.59</v>
      </c>
      <c r="N162" s="47">
        <f t="shared" si="4"/>
        <v>0.003445305771</v>
      </c>
      <c r="O162" s="47">
        <f t="shared" si="16"/>
        <v>0.5633074935</v>
      </c>
      <c r="P162" s="7"/>
      <c r="Q162" s="7"/>
      <c r="R162" s="7"/>
      <c r="S162" s="229">
        <f t="shared" si="295"/>
        <v>0</v>
      </c>
      <c r="T162" s="206"/>
      <c r="U162" s="195"/>
      <c r="V162" s="230">
        <f>Roles!$D$2</f>
        <v>0.61</v>
      </c>
      <c r="W162" s="230">
        <f t="shared" si="296"/>
        <v>0</v>
      </c>
      <c r="X162" s="229">
        <f t="shared" si="297"/>
        <v>0</v>
      </c>
      <c r="Y162" s="231">
        <f>'CD R Documentación'!$I162</f>
        <v>0</v>
      </c>
      <c r="Z162" s="195"/>
      <c r="AA162" s="230"/>
      <c r="AB162" s="232">
        <f>'CD R Documentación'!$L162</f>
        <v>0</v>
      </c>
      <c r="AC162" s="229">
        <f t="shared" si="298"/>
        <v>2</v>
      </c>
      <c r="AD162" s="231">
        <f>'CD R Investigación'!$I162</f>
        <v>8</v>
      </c>
      <c r="AE162" s="195"/>
      <c r="AF162" s="230"/>
      <c r="AG162" s="232">
        <f>'CD R Investigación'!$L162</f>
        <v>3.52</v>
      </c>
      <c r="AH162" s="229">
        <f t="shared" si="299"/>
        <v>0</v>
      </c>
      <c r="AI162" s="231">
        <f>'CD R Desarrollo'!$I162</f>
        <v>0</v>
      </c>
      <c r="AJ162" s="200"/>
      <c r="AK162" s="185"/>
      <c r="AL162" s="232">
        <f>'CD R Desarrollo'!$L162</f>
        <v>0</v>
      </c>
      <c r="AM162" s="234">
        <v>1.0</v>
      </c>
      <c r="AN162" s="84">
        <f>'PL Cronograma detallado'!L162*AM162</f>
        <v>1.6</v>
      </c>
      <c r="AO162" s="234">
        <f>AN162/'PL Cronograma detallado'!M$238</f>
        <v>0.002714072466</v>
      </c>
      <c r="AP162" s="234">
        <f t="shared" si="300"/>
        <v>0.004749626815</v>
      </c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 t="shared" si="1"/>
        <v>2</v>
      </c>
      <c r="F163" s="80">
        <v>3.0</v>
      </c>
      <c r="G163" s="105">
        <f t="shared" si="2"/>
        <v>0.002583979328</v>
      </c>
      <c r="H163" s="47">
        <f t="shared" si="301"/>
        <v>0.5658914729</v>
      </c>
      <c r="I163" s="187">
        <f t="shared" si="293"/>
        <v>6</v>
      </c>
      <c r="J163" s="172">
        <f t="shared" si="302"/>
        <v>2107</v>
      </c>
      <c r="K163" s="115">
        <f t="shared" si="3"/>
        <v>0.7173987062</v>
      </c>
      <c r="L163" s="191">
        <f t="shared" si="294"/>
        <v>2.64</v>
      </c>
      <c r="M163" s="172">
        <f t="shared" si="303"/>
        <v>943.23</v>
      </c>
      <c r="N163" s="47">
        <f t="shared" si="4"/>
        <v>0.002583979328</v>
      </c>
      <c r="O163" s="47">
        <f t="shared" si="16"/>
        <v>0.5658914729</v>
      </c>
      <c r="P163" s="7"/>
      <c r="Q163" s="7"/>
      <c r="R163" s="7"/>
      <c r="S163" s="229">
        <f t="shared" si="295"/>
        <v>0</v>
      </c>
      <c r="T163" s="206"/>
      <c r="U163" s="195"/>
      <c r="V163" s="230">
        <f>Roles!$D$2</f>
        <v>0.61</v>
      </c>
      <c r="W163" s="230">
        <f t="shared" si="296"/>
        <v>0</v>
      </c>
      <c r="X163" s="229">
        <f t="shared" si="297"/>
        <v>0</v>
      </c>
      <c r="Y163" s="231">
        <f>'CD R Documentación'!$I163</f>
        <v>0</v>
      </c>
      <c r="Z163" s="195"/>
      <c r="AA163" s="230"/>
      <c r="AB163" s="232">
        <f>'CD R Documentación'!$L163</f>
        <v>0</v>
      </c>
      <c r="AC163" s="229">
        <f t="shared" si="298"/>
        <v>1.333333333</v>
      </c>
      <c r="AD163" s="231">
        <f>'CD R Investigación'!$I163</f>
        <v>4</v>
      </c>
      <c r="AE163" s="195"/>
      <c r="AF163" s="230"/>
      <c r="AG163" s="232">
        <f>'CD R Investigación'!$L163</f>
        <v>1.76</v>
      </c>
      <c r="AH163" s="229">
        <f t="shared" si="299"/>
        <v>0.6666666667</v>
      </c>
      <c r="AI163" s="231">
        <f>'CD R Desarrollo'!$I163</f>
        <v>2</v>
      </c>
      <c r="AJ163" s="200"/>
      <c r="AK163" s="185"/>
      <c r="AL163" s="232">
        <f>'CD R Desarrollo'!$L163</f>
        <v>0.88</v>
      </c>
      <c r="AM163" s="234">
        <v>1.0</v>
      </c>
      <c r="AN163" s="84">
        <f>'PL Cronograma detallado'!L163*AM163</f>
        <v>1.16</v>
      </c>
      <c r="AO163" s="234">
        <f>AN163/'PL Cronograma detallado'!M$238</f>
        <v>0.001967702538</v>
      </c>
      <c r="AP163" s="234">
        <f t="shared" si="300"/>
        <v>0.006717329353</v>
      </c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 t="shared" si="1"/>
        <v>3</v>
      </c>
      <c r="F164" s="80">
        <v>4.0</v>
      </c>
      <c r="G164" s="105">
        <f t="shared" si="2"/>
        <v>0.003445305771</v>
      </c>
      <c r="H164" s="47">
        <f t="shared" si="301"/>
        <v>0.5693367786</v>
      </c>
      <c r="I164" s="187">
        <f t="shared" si="293"/>
        <v>9</v>
      </c>
      <c r="J164" s="172">
        <f t="shared" si="302"/>
        <v>2116</v>
      </c>
      <c r="K164" s="115">
        <f t="shared" si="3"/>
        <v>0.7204630575</v>
      </c>
      <c r="L164" s="191">
        <f t="shared" si="294"/>
        <v>4.13</v>
      </c>
      <c r="M164" s="172">
        <f t="shared" si="303"/>
        <v>947.36</v>
      </c>
      <c r="N164" s="47">
        <f t="shared" si="4"/>
        <v>0.003445305771</v>
      </c>
      <c r="O164" s="47">
        <f t="shared" si="16"/>
        <v>0.5693367786</v>
      </c>
      <c r="P164" s="7"/>
      <c r="Q164" s="7"/>
      <c r="R164" s="7"/>
      <c r="S164" s="229">
        <f t="shared" si="295"/>
        <v>0.25</v>
      </c>
      <c r="T164" s="194">
        <v>1.0</v>
      </c>
      <c r="U164" s="195"/>
      <c r="V164" s="230">
        <f>Roles!$D$2</f>
        <v>0.61</v>
      </c>
      <c r="W164" s="230">
        <f t="shared" si="296"/>
        <v>0.61</v>
      </c>
      <c r="X164" s="229">
        <f t="shared" si="297"/>
        <v>0</v>
      </c>
      <c r="Y164" s="231">
        <f>'CD R Documentación'!$I164</f>
        <v>0</v>
      </c>
      <c r="Z164" s="195"/>
      <c r="AA164" s="230"/>
      <c r="AB164" s="232">
        <f>'CD R Documentación'!$L164</f>
        <v>0</v>
      </c>
      <c r="AC164" s="229">
        <f t="shared" si="298"/>
        <v>2</v>
      </c>
      <c r="AD164" s="231">
        <f>'CD R Investigación'!$I164</f>
        <v>8</v>
      </c>
      <c r="AE164" s="195"/>
      <c r="AF164" s="230"/>
      <c r="AG164" s="232">
        <f>'CD R Investigación'!$L164</f>
        <v>3.52</v>
      </c>
      <c r="AH164" s="229">
        <f t="shared" si="299"/>
        <v>0</v>
      </c>
      <c r="AI164" s="231">
        <f>'CD R Desarrollo'!$I164</f>
        <v>0</v>
      </c>
      <c r="AJ164" s="200"/>
      <c r="AK164" s="185"/>
      <c r="AL164" s="232">
        <f>'CD R Desarrollo'!$L164</f>
        <v>0</v>
      </c>
      <c r="AM164" s="234">
        <v>1.0</v>
      </c>
      <c r="AN164" s="84">
        <f>'PL Cronograma detallado'!L164*AM164</f>
        <v>2.21</v>
      </c>
      <c r="AO164" s="234">
        <f>AN164/'PL Cronograma detallado'!M$238</f>
        <v>0.003748812593</v>
      </c>
      <c r="AP164" s="234">
        <f t="shared" si="300"/>
        <v>0.01046614195</v>
      </c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 t="shared" si="1"/>
        <v>2</v>
      </c>
      <c r="F165" s="80">
        <v>3.0</v>
      </c>
      <c r="G165" s="105">
        <f t="shared" si="2"/>
        <v>0.002583979328</v>
      </c>
      <c r="H165" s="47">
        <f t="shared" si="301"/>
        <v>0.571920758</v>
      </c>
      <c r="I165" s="187">
        <f t="shared" si="293"/>
        <v>7</v>
      </c>
      <c r="J165" s="172">
        <f t="shared" si="302"/>
        <v>2123</v>
      </c>
      <c r="K165" s="115">
        <f t="shared" si="3"/>
        <v>0.7228464419</v>
      </c>
      <c r="L165" s="191">
        <f t="shared" si="294"/>
        <v>3.25</v>
      </c>
      <c r="M165" s="172">
        <f t="shared" si="303"/>
        <v>950.61</v>
      </c>
      <c r="N165" s="47">
        <f t="shared" si="4"/>
        <v>0.002583979328</v>
      </c>
      <c r="O165" s="47">
        <f t="shared" si="16"/>
        <v>0.571920758</v>
      </c>
      <c r="P165" s="7"/>
      <c r="Q165" s="7"/>
      <c r="R165" s="7"/>
      <c r="S165" s="229">
        <f t="shared" si="295"/>
        <v>0.3333333333</v>
      </c>
      <c r="T165" s="194">
        <v>1.0</v>
      </c>
      <c r="U165" s="195"/>
      <c r="V165" s="230">
        <f>Roles!$D$2</f>
        <v>0.61</v>
      </c>
      <c r="W165" s="230">
        <f t="shared" si="296"/>
        <v>0.61</v>
      </c>
      <c r="X165" s="229">
        <f t="shared" si="297"/>
        <v>0</v>
      </c>
      <c r="Y165" s="231">
        <f>'CD R Documentación'!$I165</f>
        <v>0</v>
      </c>
      <c r="Z165" s="195"/>
      <c r="AA165" s="230"/>
      <c r="AB165" s="232">
        <f>'CD R Documentación'!$L165</f>
        <v>0</v>
      </c>
      <c r="AC165" s="229">
        <f t="shared" si="298"/>
        <v>2</v>
      </c>
      <c r="AD165" s="231">
        <f>'CD R Investigación'!$I165</f>
        <v>6</v>
      </c>
      <c r="AE165" s="195"/>
      <c r="AF165" s="230"/>
      <c r="AG165" s="232">
        <f>'CD R Investigación'!$L165</f>
        <v>2.64</v>
      </c>
      <c r="AH165" s="229">
        <f t="shared" si="299"/>
        <v>0</v>
      </c>
      <c r="AI165" s="231">
        <f>'CD R Desarrollo'!$I165</f>
        <v>0</v>
      </c>
      <c r="AJ165" s="200"/>
      <c r="AK165" s="185"/>
      <c r="AL165" s="232">
        <f>'CD R Desarrollo'!$L165</f>
        <v>0</v>
      </c>
      <c r="AM165" s="234">
        <v>1.0</v>
      </c>
      <c r="AN165" s="84">
        <f>'PL Cronograma detallado'!L165*AM165</f>
        <v>1.81</v>
      </c>
      <c r="AO165" s="234">
        <f>AN165/'PL Cronograma detallado'!M$238</f>
        <v>0.003070294477</v>
      </c>
      <c r="AP165" s="234">
        <f t="shared" si="300"/>
        <v>0.01353643642</v>
      </c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 t="shared" si="1"/>
        <v>8</v>
      </c>
      <c r="F166" s="246">
        <f>SUM(F167:F169)</f>
        <v>61</v>
      </c>
      <c r="G166" s="105">
        <f t="shared" si="2"/>
        <v>0.05254091301</v>
      </c>
      <c r="H166" s="226">
        <f>H169</f>
        <v>0.624461671</v>
      </c>
      <c r="I166" s="247">
        <f>SUM(I167:I169)</f>
        <v>67</v>
      </c>
      <c r="J166" s="247">
        <f>J169</f>
        <v>2190</v>
      </c>
      <c r="K166" s="167">
        <f t="shared" si="3"/>
        <v>0.7456588355</v>
      </c>
      <c r="L166" s="247">
        <f>SUM(L167:L169)</f>
        <v>29.99</v>
      </c>
      <c r="M166" s="247">
        <f>M169</f>
        <v>980.6</v>
      </c>
      <c r="N166" s="47">
        <f t="shared" si="4"/>
        <v>0</v>
      </c>
      <c r="O166" s="47">
        <f t="shared" si="16"/>
        <v>0.571920758</v>
      </c>
      <c r="P166" s="7"/>
      <c r="Q166" s="7"/>
      <c r="R166" s="7"/>
      <c r="S166" s="264"/>
      <c r="T166" s="174"/>
      <c r="U166" s="178"/>
      <c r="V166" s="178"/>
      <c r="W166" s="178"/>
      <c r="X166" s="178"/>
      <c r="Y166" s="231"/>
      <c r="Z166" s="178"/>
      <c r="AA166" s="178"/>
      <c r="AB166" s="232"/>
      <c r="AC166" s="178"/>
      <c r="AD166" s="231"/>
      <c r="AE166" s="178"/>
      <c r="AF166" s="178"/>
      <c r="AG166" s="232"/>
      <c r="AH166" s="173"/>
      <c r="AI166" s="231"/>
      <c r="AJ166" s="180"/>
      <c r="AK166" s="180"/>
      <c r="AL166" s="232"/>
      <c r="AM166" s="234"/>
      <c r="AN166" s="84"/>
      <c r="AO166" s="234"/>
      <c r="AP166" s="234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 t="shared" si="1"/>
        <v>4</v>
      </c>
      <c r="F167" s="80">
        <v>30.0</v>
      </c>
      <c r="G167" s="105">
        <f t="shared" si="2"/>
        <v>0.02583979328</v>
      </c>
      <c r="H167" s="47">
        <f>H165+G167</f>
        <v>0.5977605512</v>
      </c>
      <c r="I167" s="187">
        <f t="shared" ref="I167:I169" si="304">T167+Y167+AD167+AI167</f>
        <v>32</v>
      </c>
      <c r="J167" s="172">
        <f>J165+I167</f>
        <v>2155</v>
      </c>
      <c r="K167" s="115">
        <f t="shared" si="3"/>
        <v>0.7337419135</v>
      </c>
      <c r="L167" s="191">
        <f t="shared" ref="L167:L169" si="305">W167+AB167+AG167+AL167</f>
        <v>14.25</v>
      </c>
      <c r="M167" s="172">
        <f>M165+L167</f>
        <v>964.86</v>
      </c>
      <c r="N167" s="47">
        <f t="shared" si="4"/>
        <v>0.02583979328</v>
      </c>
      <c r="O167" s="47">
        <f t="shared" si="16"/>
        <v>0.5977605512</v>
      </c>
      <c r="P167" s="7"/>
      <c r="Q167" s="7"/>
      <c r="R167" s="7"/>
      <c r="S167" s="229">
        <f t="shared" ref="S167:S169" si="306">T167/$F167</f>
        <v>0.03333333333</v>
      </c>
      <c r="T167" s="194">
        <v>1.0</v>
      </c>
      <c r="U167" s="195"/>
      <c r="V167" s="230">
        <f>Roles!$D$2</f>
        <v>0.61</v>
      </c>
      <c r="W167" s="230">
        <f t="shared" ref="W167:W169" si="307">V167*T167</f>
        <v>0.61</v>
      </c>
      <c r="X167" s="229">
        <f t="shared" ref="X167:X169" si="308">Y167/$F167</f>
        <v>0.03333333333</v>
      </c>
      <c r="Y167" s="231">
        <f>'CD R Documentación'!$I167</f>
        <v>1</v>
      </c>
      <c r="Z167" s="195"/>
      <c r="AA167" s="195"/>
      <c r="AB167" s="232">
        <f>'CD R Documentación'!$L167</f>
        <v>0.44</v>
      </c>
      <c r="AC167" s="229">
        <f t="shared" ref="AC167:AC169" si="309">AD167/$F167</f>
        <v>0</v>
      </c>
      <c r="AD167" s="231">
        <f>'CD R Investigación'!$I167</f>
        <v>0</v>
      </c>
      <c r="AE167" s="195"/>
      <c r="AF167" s="195"/>
      <c r="AG167" s="232">
        <f>'CD R Investigación'!$L167</f>
        <v>0</v>
      </c>
      <c r="AH167" s="229">
        <f t="shared" ref="AH167:AH169" si="310">AI167/$F167</f>
        <v>1</v>
      </c>
      <c r="AI167" s="231">
        <f>'CD R Desarrollo'!$I167</f>
        <v>30</v>
      </c>
      <c r="AJ167" s="200"/>
      <c r="AK167" s="200"/>
      <c r="AL167" s="232">
        <f>'CD R Desarrollo'!$L167</f>
        <v>13.2</v>
      </c>
      <c r="AM167" s="234">
        <v>1.0</v>
      </c>
      <c r="AN167" s="84">
        <f>'PL Cronograma detallado'!L167*AM167</f>
        <v>5.75</v>
      </c>
      <c r="AO167" s="234">
        <f>AN167/'PL Cronograma detallado'!M$238</f>
        <v>0.009753697924</v>
      </c>
      <c r="AP167" s="234">
        <f t="shared" ref="AP167:AP169" si="311">AO167+AP166</f>
        <v>0.009753697924</v>
      </c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 t="shared" si="1"/>
        <v>1</v>
      </c>
      <c r="F168" s="80">
        <v>1.0</v>
      </c>
      <c r="G168" s="105">
        <f t="shared" si="2"/>
        <v>0.0008613264427</v>
      </c>
      <c r="H168" s="47">
        <f t="shared" ref="H168:H169" si="312">H167+G168</f>
        <v>0.5986218777</v>
      </c>
      <c r="I168" s="187">
        <f t="shared" si="304"/>
        <v>4</v>
      </c>
      <c r="J168" s="172">
        <f t="shared" ref="J168:J169" si="313">J167+I168</f>
        <v>2159</v>
      </c>
      <c r="K168" s="115">
        <f t="shared" si="3"/>
        <v>0.7351038475</v>
      </c>
      <c r="L168" s="191">
        <f t="shared" si="305"/>
        <v>1.93</v>
      </c>
      <c r="M168" s="172">
        <f t="shared" ref="M168:M169" si="314">M167+L168</f>
        <v>966.79</v>
      </c>
      <c r="N168" s="47">
        <f t="shared" si="4"/>
        <v>0.0008613264427</v>
      </c>
      <c r="O168" s="47">
        <f t="shared" si="16"/>
        <v>0.5986218777</v>
      </c>
      <c r="P168" s="7"/>
      <c r="Q168" s="7"/>
      <c r="R168" s="7"/>
      <c r="S168" s="229">
        <f t="shared" si="306"/>
        <v>1</v>
      </c>
      <c r="T168" s="194">
        <v>1.0</v>
      </c>
      <c r="U168" s="195"/>
      <c r="V168" s="230">
        <f>Roles!$D$2</f>
        <v>0.61</v>
      </c>
      <c r="W168" s="230">
        <f t="shared" si="307"/>
        <v>0.61</v>
      </c>
      <c r="X168" s="229">
        <f t="shared" si="308"/>
        <v>1</v>
      </c>
      <c r="Y168" s="231">
        <f>'CD R Documentación'!$I168</f>
        <v>1</v>
      </c>
      <c r="Z168" s="195"/>
      <c r="AA168" s="195"/>
      <c r="AB168" s="232">
        <f>'CD R Documentación'!$L168</f>
        <v>0.44</v>
      </c>
      <c r="AC168" s="229">
        <f t="shared" si="309"/>
        <v>1</v>
      </c>
      <c r="AD168" s="231">
        <f>'CD R Investigación'!$I168</f>
        <v>1</v>
      </c>
      <c r="AE168" s="195"/>
      <c r="AF168" s="195"/>
      <c r="AG168" s="232">
        <f>'CD R Investigación'!$L168</f>
        <v>0.44</v>
      </c>
      <c r="AH168" s="229">
        <f t="shared" si="310"/>
        <v>1</v>
      </c>
      <c r="AI168" s="231">
        <f>'CD R Desarrollo'!$I168</f>
        <v>1</v>
      </c>
      <c r="AJ168" s="200"/>
      <c r="AK168" s="200"/>
      <c r="AL168" s="232">
        <f>'CD R Desarrollo'!$L168</f>
        <v>0.44</v>
      </c>
      <c r="AM168" s="234">
        <v>1.0</v>
      </c>
      <c r="AN168" s="84">
        <f>'PL Cronograma detallado'!L168*AM168</f>
        <v>1.93</v>
      </c>
      <c r="AO168" s="234">
        <f>AN168/'PL Cronograma detallado'!M$238</f>
        <v>0.003273849912</v>
      </c>
      <c r="AP168" s="234">
        <f t="shared" si="311"/>
        <v>0.01302754784</v>
      </c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 t="shared" si="1"/>
        <v>4</v>
      </c>
      <c r="F169" s="80">
        <v>30.0</v>
      </c>
      <c r="G169" s="105">
        <f t="shared" si="2"/>
        <v>0.02583979328</v>
      </c>
      <c r="H169" s="47">
        <f t="shared" si="312"/>
        <v>0.624461671</v>
      </c>
      <c r="I169" s="187">
        <f t="shared" si="304"/>
        <v>31</v>
      </c>
      <c r="J169" s="172">
        <f t="shared" si="313"/>
        <v>2190</v>
      </c>
      <c r="K169" s="115">
        <f t="shared" si="3"/>
        <v>0.7456588355</v>
      </c>
      <c r="L169" s="191">
        <f t="shared" si="305"/>
        <v>13.81</v>
      </c>
      <c r="M169" s="172">
        <f t="shared" si="314"/>
        <v>980.6</v>
      </c>
      <c r="N169" s="47">
        <f t="shared" si="4"/>
        <v>0.02583979328</v>
      </c>
      <c r="O169" s="47">
        <f t="shared" si="16"/>
        <v>0.624461671</v>
      </c>
      <c r="P169" s="7"/>
      <c r="Q169" s="7"/>
      <c r="R169" s="7"/>
      <c r="S169" s="229">
        <f t="shared" si="306"/>
        <v>0.03333333333</v>
      </c>
      <c r="T169" s="194">
        <v>1.0</v>
      </c>
      <c r="U169" s="195"/>
      <c r="V169" s="230">
        <f>Roles!$D$2</f>
        <v>0.61</v>
      </c>
      <c r="W169" s="230">
        <f t="shared" si="307"/>
        <v>0.61</v>
      </c>
      <c r="X169" s="229">
        <f t="shared" si="308"/>
        <v>0</v>
      </c>
      <c r="Y169" s="231">
        <f>'CD R Documentación'!$I169</f>
        <v>0</v>
      </c>
      <c r="Z169" s="195"/>
      <c r="AA169" s="195"/>
      <c r="AB169" s="232">
        <f>'CD R Documentación'!$L169</f>
        <v>0</v>
      </c>
      <c r="AC169" s="229">
        <f t="shared" si="309"/>
        <v>0</v>
      </c>
      <c r="AD169" s="231">
        <f>'CD R Investigación'!$I169</f>
        <v>0</v>
      </c>
      <c r="AE169" s="195"/>
      <c r="AF169" s="195"/>
      <c r="AG169" s="232">
        <f>'CD R Investigación'!$L169</f>
        <v>0</v>
      </c>
      <c r="AH169" s="229">
        <f t="shared" si="310"/>
        <v>1</v>
      </c>
      <c r="AI169" s="231">
        <f>'CD R Desarrollo'!$I169</f>
        <v>30</v>
      </c>
      <c r="AJ169" s="200"/>
      <c r="AK169" s="200"/>
      <c r="AL169" s="232">
        <f>'CD R Desarrollo'!$L169</f>
        <v>13.2</v>
      </c>
      <c r="AM169" s="234">
        <v>1.0</v>
      </c>
      <c r="AN169" s="84">
        <f>'PL Cronograma detallado'!L169*AM169</f>
        <v>5.31</v>
      </c>
      <c r="AO169" s="234">
        <f>AN169/'PL Cronograma detallado'!M$238</f>
        <v>0.009007327996</v>
      </c>
      <c r="AP169" s="234">
        <f t="shared" si="311"/>
        <v>0.02203487583</v>
      </c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 t="shared" si="1"/>
        <v>7</v>
      </c>
      <c r="F170" s="246">
        <f>SUM(F171:F173)</f>
        <v>51</v>
      </c>
      <c r="G170" s="105">
        <f t="shared" si="2"/>
        <v>0.04392764858</v>
      </c>
      <c r="H170" s="226">
        <f>H173</f>
        <v>0.6683893196</v>
      </c>
      <c r="I170" s="247">
        <f>SUM(I171:I173)</f>
        <v>60</v>
      </c>
      <c r="J170" s="247">
        <f>J173</f>
        <v>2250</v>
      </c>
      <c r="K170" s="167">
        <f t="shared" si="3"/>
        <v>0.7660878447</v>
      </c>
      <c r="L170" s="247">
        <f>SUM(L171:L173)</f>
        <v>26.91</v>
      </c>
      <c r="M170" s="247">
        <f>M173</f>
        <v>1007.51</v>
      </c>
      <c r="N170" s="47">
        <f t="shared" si="4"/>
        <v>0</v>
      </c>
      <c r="O170" s="47">
        <f t="shared" si="16"/>
        <v>0.624461671</v>
      </c>
      <c r="P170" s="7"/>
      <c r="Q170" s="7"/>
      <c r="R170" s="7"/>
      <c r="S170" s="264"/>
      <c r="T170" s="174"/>
      <c r="U170" s="178"/>
      <c r="V170" s="178"/>
      <c r="W170" s="178"/>
      <c r="X170" s="178"/>
      <c r="Y170" s="231"/>
      <c r="Z170" s="178"/>
      <c r="AA170" s="178"/>
      <c r="AB170" s="232"/>
      <c r="AC170" s="178"/>
      <c r="AD170" s="231"/>
      <c r="AE170" s="178"/>
      <c r="AF170" s="178"/>
      <c r="AG170" s="232"/>
      <c r="AH170" s="173"/>
      <c r="AI170" s="231"/>
      <c r="AJ170" s="180"/>
      <c r="AK170" s="180"/>
      <c r="AL170" s="232"/>
      <c r="AM170" s="234"/>
      <c r="AN170" s="84"/>
      <c r="AO170" s="234"/>
      <c r="AP170" s="234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 t="shared" si="1"/>
        <v>1</v>
      </c>
      <c r="F171" s="80">
        <v>1.0</v>
      </c>
      <c r="G171" s="105">
        <f t="shared" si="2"/>
        <v>0.0008613264427</v>
      </c>
      <c r="H171" s="47">
        <f>H169+G171</f>
        <v>0.6253229974</v>
      </c>
      <c r="I171" s="187">
        <f t="shared" ref="I171:I173" si="315">T171+Y171+AD171+AI171</f>
        <v>3</v>
      </c>
      <c r="J171" s="172">
        <f>J169+I171</f>
        <v>2193</v>
      </c>
      <c r="K171" s="115">
        <f t="shared" si="3"/>
        <v>0.746680286</v>
      </c>
      <c r="L171" s="191">
        <f t="shared" ref="L171:L173" si="316">W171+AB171+AG171+AL171</f>
        <v>1.49</v>
      </c>
      <c r="M171" s="172">
        <f>M169+L171</f>
        <v>982.09</v>
      </c>
      <c r="N171" s="47">
        <f t="shared" si="4"/>
        <v>0.0008613264427</v>
      </c>
      <c r="O171" s="47">
        <f t="shared" si="16"/>
        <v>0.6253229974</v>
      </c>
      <c r="P171" s="7"/>
      <c r="Q171" s="7"/>
      <c r="R171" s="7"/>
      <c r="S171" s="229">
        <f t="shared" ref="S171:S173" si="317">T171/$F171</f>
        <v>1</v>
      </c>
      <c r="T171" s="194">
        <v>1.0</v>
      </c>
      <c r="U171" s="195"/>
      <c r="V171" s="230">
        <f>Roles!$D$2</f>
        <v>0.61</v>
      </c>
      <c r="W171" s="230">
        <f t="shared" ref="W171:W173" si="318">V171*T171</f>
        <v>0.61</v>
      </c>
      <c r="X171" s="229">
        <f t="shared" ref="X171:X173" si="319">Y171/$F171</f>
        <v>0</v>
      </c>
      <c r="Y171" s="231">
        <f>'CD R Documentación'!$I171</f>
        <v>0</v>
      </c>
      <c r="Z171" s="195"/>
      <c r="AA171" s="195"/>
      <c r="AB171" s="232">
        <f>'CD R Documentación'!$L171</f>
        <v>0</v>
      </c>
      <c r="AC171" s="229">
        <f t="shared" ref="AC171:AC173" si="320">AD171/$F171</f>
        <v>1</v>
      </c>
      <c r="AD171" s="231">
        <f>'CD R Investigación'!$I171</f>
        <v>1</v>
      </c>
      <c r="AE171" s="195"/>
      <c r="AF171" s="195"/>
      <c r="AG171" s="232">
        <f>'CD R Investigación'!$L171</f>
        <v>0.44</v>
      </c>
      <c r="AH171" s="229">
        <f t="shared" ref="AH171:AH173" si="321">AI171/$F171</f>
        <v>1</v>
      </c>
      <c r="AI171" s="231">
        <f>'CD R Desarrollo'!$I171</f>
        <v>1</v>
      </c>
      <c r="AJ171" s="200"/>
      <c r="AK171" s="200"/>
      <c r="AL171" s="232">
        <f>'CD R Desarrollo'!$L171</f>
        <v>0.44</v>
      </c>
      <c r="AM171" s="234">
        <v>1.0</v>
      </c>
      <c r="AN171" s="84">
        <f>'PL Cronograma detallado'!L171*AM171</f>
        <v>1.49</v>
      </c>
      <c r="AO171" s="234">
        <f>AN171/'PL Cronograma detallado'!M$238</f>
        <v>0.002527479984</v>
      </c>
      <c r="AP171" s="234">
        <f t="shared" ref="AP171:AP173" si="322">AO171+AP170</f>
        <v>0.002527479984</v>
      </c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 t="shared" si="1"/>
        <v>4</v>
      </c>
      <c r="F172" s="80">
        <v>25.0</v>
      </c>
      <c r="G172" s="105">
        <f t="shared" si="2"/>
        <v>0.02153316107</v>
      </c>
      <c r="H172" s="47">
        <f t="shared" ref="H172:H173" si="323">H171+G172</f>
        <v>0.6468561585</v>
      </c>
      <c r="I172" s="187">
        <f t="shared" si="315"/>
        <v>29</v>
      </c>
      <c r="J172" s="172">
        <f t="shared" ref="J172:J173" si="324">J171+I172</f>
        <v>2222</v>
      </c>
      <c r="K172" s="115">
        <f t="shared" si="3"/>
        <v>0.7565543071</v>
      </c>
      <c r="L172" s="191">
        <f t="shared" si="316"/>
        <v>12.93</v>
      </c>
      <c r="M172" s="172">
        <f t="shared" ref="M172:M173" si="325">M171+L172</f>
        <v>995.02</v>
      </c>
      <c r="N172" s="47">
        <f t="shared" si="4"/>
        <v>0.02153316107</v>
      </c>
      <c r="O172" s="47">
        <f t="shared" si="16"/>
        <v>0.6468561585</v>
      </c>
      <c r="P172" s="7"/>
      <c r="Q172" s="7"/>
      <c r="R172" s="7"/>
      <c r="S172" s="229">
        <f t="shared" si="317"/>
        <v>0.04</v>
      </c>
      <c r="T172" s="194">
        <v>1.0</v>
      </c>
      <c r="U172" s="195"/>
      <c r="V172" s="230">
        <f>Roles!$D$2</f>
        <v>0.61</v>
      </c>
      <c r="W172" s="230">
        <f t="shared" si="318"/>
        <v>0.61</v>
      </c>
      <c r="X172" s="229">
        <f t="shared" si="319"/>
        <v>0</v>
      </c>
      <c r="Y172" s="231">
        <f>'CD R Documentación'!$I172</f>
        <v>0</v>
      </c>
      <c r="Z172" s="195"/>
      <c r="AA172" s="195"/>
      <c r="AB172" s="232">
        <f>'CD R Documentación'!$L172</f>
        <v>0</v>
      </c>
      <c r="AC172" s="229">
        <f t="shared" si="320"/>
        <v>0</v>
      </c>
      <c r="AD172" s="231">
        <f>'CD R Investigación'!$I172</f>
        <v>0</v>
      </c>
      <c r="AE172" s="195"/>
      <c r="AF172" s="195"/>
      <c r="AG172" s="232">
        <f>'CD R Investigación'!$L172</f>
        <v>0</v>
      </c>
      <c r="AH172" s="229">
        <f t="shared" si="321"/>
        <v>1.12</v>
      </c>
      <c r="AI172" s="231">
        <f>'CD R Desarrollo'!$I172</f>
        <v>28</v>
      </c>
      <c r="AJ172" s="200"/>
      <c r="AK172" s="200"/>
      <c r="AL172" s="232">
        <f>'CD R Desarrollo'!$L172</f>
        <v>12.32</v>
      </c>
      <c r="AM172" s="234">
        <v>1.0</v>
      </c>
      <c r="AN172" s="84">
        <f>'PL Cronograma detallado'!L172*AM172</f>
        <v>5.11</v>
      </c>
      <c r="AO172" s="234">
        <f>AN172/'PL Cronograma detallado'!M$238</f>
        <v>0.008668068937</v>
      </c>
      <c r="AP172" s="234">
        <f t="shared" si="322"/>
        <v>0.01119554892</v>
      </c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 t="shared" si="1"/>
        <v>3</v>
      </c>
      <c r="F173" s="80">
        <v>25.0</v>
      </c>
      <c r="G173" s="105">
        <f t="shared" si="2"/>
        <v>0.02153316107</v>
      </c>
      <c r="H173" s="47">
        <f t="shared" si="323"/>
        <v>0.6683893196</v>
      </c>
      <c r="I173" s="187">
        <f t="shared" si="315"/>
        <v>28</v>
      </c>
      <c r="J173" s="172">
        <f t="shared" si="324"/>
        <v>2250</v>
      </c>
      <c r="K173" s="115">
        <f t="shared" si="3"/>
        <v>0.7660878447</v>
      </c>
      <c r="L173" s="191">
        <f t="shared" si="316"/>
        <v>12.49</v>
      </c>
      <c r="M173" s="172">
        <f t="shared" si="325"/>
        <v>1007.51</v>
      </c>
      <c r="N173" s="47">
        <f t="shared" si="4"/>
        <v>0.02153316107</v>
      </c>
      <c r="O173" s="47">
        <f t="shared" si="16"/>
        <v>0.6683893196</v>
      </c>
      <c r="P173" s="7"/>
      <c r="Q173" s="7"/>
      <c r="R173" s="7"/>
      <c r="S173" s="229">
        <f t="shared" si="317"/>
        <v>0.04</v>
      </c>
      <c r="T173" s="194">
        <v>1.0</v>
      </c>
      <c r="U173" s="195"/>
      <c r="V173" s="230">
        <f>Roles!$D$2</f>
        <v>0.61</v>
      </c>
      <c r="W173" s="230">
        <f t="shared" si="318"/>
        <v>0.61</v>
      </c>
      <c r="X173" s="229">
        <f t="shared" si="319"/>
        <v>0</v>
      </c>
      <c r="Y173" s="231">
        <f>'CD R Documentación'!$I173</f>
        <v>0</v>
      </c>
      <c r="Z173" s="195"/>
      <c r="AA173" s="195"/>
      <c r="AB173" s="232">
        <f>'CD R Documentación'!$L173</f>
        <v>0</v>
      </c>
      <c r="AC173" s="229">
        <f t="shared" si="320"/>
        <v>0</v>
      </c>
      <c r="AD173" s="231">
        <f>'CD R Investigación'!$I173</f>
        <v>0</v>
      </c>
      <c r="AE173" s="195"/>
      <c r="AF173" s="195"/>
      <c r="AG173" s="232">
        <f>'CD R Investigación'!$L173</f>
        <v>0</v>
      </c>
      <c r="AH173" s="229">
        <f t="shared" si="321"/>
        <v>1.08</v>
      </c>
      <c r="AI173" s="231">
        <f>'CD R Desarrollo'!$I173</f>
        <v>27</v>
      </c>
      <c r="AJ173" s="195"/>
      <c r="AK173" s="200"/>
      <c r="AL173" s="232">
        <f>'CD R Desarrollo'!$L173</f>
        <v>11.88</v>
      </c>
      <c r="AM173" s="234">
        <v>1.0</v>
      </c>
      <c r="AN173" s="84">
        <f>'PL Cronograma detallado'!L173*AM173</f>
        <v>5.01</v>
      </c>
      <c r="AO173" s="234">
        <f>AN173/'PL Cronograma detallado'!M$238</f>
        <v>0.008498439408</v>
      </c>
      <c r="AP173" s="234">
        <f t="shared" si="322"/>
        <v>0.01969398833</v>
      </c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 t="shared" si="1"/>
        <v>4</v>
      </c>
      <c r="F174" s="246">
        <f>SUM(F175:F178)</f>
        <v>28</v>
      </c>
      <c r="G174" s="105">
        <f t="shared" si="2"/>
        <v>0.0241171404</v>
      </c>
      <c r="H174" s="226">
        <f>H178</f>
        <v>0.6925064599</v>
      </c>
      <c r="I174" s="247">
        <f>SUM(I175:I178)</f>
        <v>68</v>
      </c>
      <c r="J174" s="247">
        <f>J178</f>
        <v>2318</v>
      </c>
      <c r="K174" s="167">
        <f t="shared" si="3"/>
        <v>0.7892407218</v>
      </c>
      <c r="L174" s="247">
        <f>SUM(L175:L178)</f>
        <v>30.26</v>
      </c>
      <c r="M174" s="247">
        <f>M178</f>
        <v>1037.77</v>
      </c>
      <c r="N174" s="47">
        <f t="shared" si="4"/>
        <v>0</v>
      </c>
      <c r="O174" s="47">
        <f t="shared" si="16"/>
        <v>0.6683893196</v>
      </c>
      <c r="P174" s="7"/>
      <c r="Q174" s="7"/>
      <c r="R174" s="7"/>
      <c r="S174" s="264"/>
      <c r="T174" s="174"/>
      <c r="U174" s="178"/>
      <c r="V174" s="178"/>
      <c r="W174" s="178"/>
      <c r="X174" s="178"/>
      <c r="Y174" s="231"/>
      <c r="Z174" s="178"/>
      <c r="AA174" s="178"/>
      <c r="AB174" s="232"/>
      <c r="AC174" s="178"/>
      <c r="AD174" s="231"/>
      <c r="AE174" s="178"/>
      <c r="AF174" s="178"/>
      <c r="AG174" s="232"/>
      <c r="AH174" s="178"/>
      <c r="AI174" s="231"/>
      <c r="AJ174" s="178"/>
      <c r="AK174" s="180"/>
      <c r="AL174" s="232"/>
      <c r="AM174" s="234"/>
      <c r="AN174" s="84"/>
      <c r="AO174" s="234"/>
      <c r="AP174" s="234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 t="shared" si="1"/>
        <v>1</v>
      </c>
      <c r="F175" s="80">
        <v>1.0</v>
      </c>
      <c r="G175" s="105">
        <f t="shared" si="2"/>
        <v>0.0008613264427</v>
      </c>
      <c r="H175" s="47">
        <f>H173+G175</f>
        <v>0.669250646</v>
      </c>
      <c r="I175" s="187">
        <f t="shared" ref="I175:I178" si="326">T175+Y175+AD175+AI175</f>
        <v>33</v>
      </c>
      <c r="J175" s="172">
        <f>J173+I175</f>
        <v>2283</v>
      </c>
      <c r="K175" s="115">
        <f t="shared" si="3"/>
        <v>0.7773237998</v>
      </c>
      <c r="L175" s="191">
        <f t="shared" ref="L175:L178" si="327">W175+AB175+AG175+AL175</f>
        <v>14.69</v>
      </c>
      <c r="M175" s="172">
        <f>M173+L175</f>
        <v>1022.2</v>
      </c>
      <c r="N175" s="47">
        <f t="shared" si="4"/>
        <v>0.0008613264427</v>
      </c>
      <c r="O175" s="47">
        <f t="shared" si="16"/>
        <v>0.669250646</v>
      </c>
      <c r="P175" s="7"/>
      <c r="Q175" s="7"/>
      <c r="R175" s="7"/>
      <c r="S175" s="229">
        <f t="shared" ref="S175:S178" si="328">T175/$F175</f>
        <v>1</v>
      </c>
      <c r="T175" s="194">
        <v>1.0</v>
      </c>
      <c r="U175" s="195"/>
      <c r="V175" s="230">
        <f>Roles!$D$2</f>
        <v>0.61</v>
      </c>
      <c r="W175" s="230">
        <f t="shared" ref="W175:W178" si="329">V175*T175</f>
        <v>0.61</v>
      </c>
      <c r="X175" s="229">
        <f t="shared" ref="X175:X178" si="330">Y175/$F175</f>
        <v>30</v>
      </c>
      <c r="Y175" s="231">
        <f>'CD R Documentación'!$I175</f>
        <v>30</v>
      </c>
      <c r="Z175" s="195"/>
      <c r="AA175" s="195"/>
      <c r="AB175" s="232">
        <f>'CD R Documentación'!$L175</f>
        <v>13.2</v>
      </c>
      <c r="AC175" s="229">
        <f t="shared" ref="AC175:AC178" si="331">AD175/$F175</f>
        <v>1</v>
      </c>
      <c r="AD175" s="231">
        <f>'CD R Investigación'!$I175</f>
        <v>1</v>
      </c>
      <c r="AE175" s="195"/>
      <c r="AF175" s="195"/>
      <c r="AG175" s="232">
        <f>'CD R Investigación'!$L175</f>
        <v>0.44</v>
      </c>
      <c r="AH175" s="229">
        <f t="shared" ref="AH175:AH178" si="332">AI175/$F175</f>
        <v>1</v>
      </c>
      <c r="AI175" s="231">
        <f>'CD R Desarrollo'!$I175</f>
        <v>1</v>
      </c>
      <c r="AJ175" s="200"/>
      <c r="AK175" s="200"/>
      <c r="AL175" s="232">
        <f>'CD R Desarrollo'!$L175</f>
        <v>0.44</v>
      </c>
      <c r="AM175" s="234">
        <v>1.0</v>
      </c>
      <c r="AN175" s="84">
        <f>'PL Cronograma detallado'!L175*AM175</f>
        <v>5.94</v>
      </c>
      <c r="AO175" s="234">
        <f>AN175/'PL Cronograma detallado'!M$238</f>
        <v>0.01007599403</v>
      </c>
      <c r="AP175" s="234">
        <f t="shared" ref="AP175:AP178" si="333">AO175+AP174</f>
        <v>0.01007599403</v>
      </c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 t="shared" si="1"/>
        <v>2</v>
      </c>
      <c r="F176" s="80">
        <v>15.0</v>
      </c>
      <c r="G176" s="105">
        <f t="shared" si="2"/>
        <v>0.01291989664</v>
      </c>
      <c r="H176" s="47">
        <f t="shared" ref="H176:H178" si="334">H175+G176</f>
        <v>0.6821705426</v>
      </c>
      <c r="I176" s="187">
        <f t="shared" si="326"/>
        <v>19</v>
      </c>
      <c r="J176" s="172">
        <f t="shared" ref="J176:J178" si="335">J175+I176</f>
        <v>2302</v>
      </c>
      <c r="K176" s="115">
        <f t="shared" si="3"/>
        <v>0.783792986</v>
      </c>
      <c r="L176" s="191">
        <f t="shared" si="327"/>
        <v>8.53</v>
      </c>
      <c r="M176" s="172">
        <f t="shared" ref="M176:M178" si="336">M175+L176</f>
        <v>1030.73</v>
      </c>
      <c r="N176" s="47">
        <f t="shared" si="4"/>
        <v>0.01291989664</v>
      </c>
      <c r="O176" s="47">
        <f t="shared" si="16"/>
        <v>0.6821705426</v>
      </c>
      <c r="P176" s="7"/>
      <c r="Q176" s="7"/>
      <c r="R176" s="7"/>
      <c r="S176" s="229">
        <f t="shared" si="328"/>
        <v>0.06666666667</v>
      </c>
      <c r="T176" s="194">
        <v>1.0</v>
      </c>
      <c r="U176" s="195"/>
      <c r="V176" s="230">
        <f>Roles!$D$2</f>
        <v>0.61</v>
      </c>
      <c r="W176" s="230">
        <f t="shared" si="329"/>
        <v>0.61</v>
      </c>
      <c r="X176" s="229">
        <f t="shared" si="330"/>
        <v>0</v>
      </c>
      <c r="Y176" s="231">
        <f>'CD R Documentación'!$I176</f>
        <v>0</v>
      </c>
      <c r="Z176" s="195"/>
      <c r="AA176" s="195"/>
      <c r="AB176" s="232">
        <f>'CD R Documentación'!$L176</f>
        <v>0</v>
      </c>
      <c r="AC176" s="229">
        <f t="shared" si="331"/>
        <v>0</v>
      </c>
      <c r="AD176" s="231">
        <f>'CD R Investigación'!$I176</f>
        <v>0</v>
      </c>
      <c r="AE176" s="195"/>
      <c r="AF176" s="195"/>
      <c r="AG176" s="232">
        <f>'CD R Investigación'!$L176</f>
        <v>0</v>
      </c>
      <c r="AH176" s="229">
        <f t="shared" si="332"/>
        <v>1.2</v>
      </c>
      <c r="AI176" s="231">
        <f>'CD R Desarrollo'!$I176</f>
        <v>18</v>
      </c>
      <c r="AJ176" s="200"/>
      <c r="AK176" s="200"/>
      <c r="AL176" s="232">
        <f>'CD R Desarrollo'!$L176</f>
        <v>7.92</v>
      </c>
      <c r="AM176" s="234">
        <v>1.0</v>
      </c>
      <c r="AN176" s="84">
        <f>'PL Cronograma detallado'!L176*AM176</f>
        <v>3.43</v>
      </c>
      <c r="AO176" s="234">
        <f>AN176/'PL Cronograma detallado'!M$238</f>
        <v>0.005818292848</v>
      </c>
      <c r="AP176" s="234">
        <f t="shared" si="333"/>
        <v>0.01589428688</v>
      </c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 t="shared" si="1"/>
        <v>2</v>
      </c>
      <c r="F177" s="80">
        <v>2.0</v>
      </c>
      <c r="G177" s="105">
        <f t="shared" si="2"/>
        <v>0.001722652885</v>
      </c>
      <c r="H177" s="47">
        <f t="shared" si="334"/>
        <v>0.6838931955</v>
      </c>
      <c r="I177" s="187">
        <f t="shared" si="326"/>
        <v>4</v>
      </c>
      <c r="J177" s="172">
        <f t="shared" si="335"/>
        <v>2306</v>
      </c>
      <c r="K177" s="115">
        <f t="shared" si="3"/>
        <v>0.78515492</v>
      </c>
      <c r="L177" s="191">
        <f t="shared" si="327"/>
        <v>1.76</v>
      </c>
      <c r="M177" s="172">
        <f t="shared" si="336"/>
        <v>1032.49</v>
      </c>
      <c r="N177" s="47">
        <f t="shared" si="4"/>
        <v>0.001722652885</v>
      </c>
      <c r="O177" s="47">
        <f t="shared" si="16"/>
        <v>0.6838931955</v>
      </c>
      <c r="P177" s="7"/>
      <c r="Q177" s="7"/>
      <c r="R177" s="7"/>
      <c r="S177" s="229">
        <f t="shared" si="328"/>
        <v>0</v>
      </c>
      <c r="T177" s="206"/>
      <c r="U177" s="195"/>
      <c r="V177" s="230">
        <f>Roles!$D$2</f>
        <v>0.61</v>
      </c>
      <c r="W177" s="230">
        <f t="shared" si="329"/>
        <v>0</v>
      </c>
      <c r="X177" s="229">
        <f t="shared" si="330"/>
        <v>2</v>
      </c>
      <c r="Y177" s="231">
        <f>'CD R Documentación'!$I177</f>
        <v>4</v>
      </c>
      <c r="Z177" s="195"/>
      <c r="AA177" s="230"/>
      <c r="AB177" s="232">
        <f>'CD R Documentación'!$L177</f>
        <v>1.76</v>
      </c>
      <c r="AC177" s="229">
        <f t="shared" si="331"/>
        <v>0</v>
      </c>
      <c r="AD177" s="231">
        <f>'CD R Investigación'!$I177</f>
        <v>0</v>
      </c>
      <c r="AE177" s="195"/>
      <c r="AF177" s="230"/>
      <c r="AG177" s="232">
        <f>'CD R Investigación'!$L177</f>
        <v>0</v>
      </c>
      <c r="AH177" s="229">
        <f t="shared" si="332"/>
        <v>0</v>
      </c>
      <c r="AI177" s="231">
        <f>'CD R Desarrollo'!$I177</f>
        <v>0</v>
      </c>
      <c r="AJ177" s="200"/>
      <c r="AK177" s="185"/>
      <c r="AL177" s="232">
        <f>'CD R Desarrollo'!$L177</f>
        <v>0</v>
      </c>
      <c r="AM177" s="234">
        <v>1.0</v>
      </c>
      <c r="AN177" s="84">
        <f>'PL Cronograma detallado'!L177*AM177</f>
        <v>0.68</v>
      </c>
      <c r="AO177" s="234">
        <f>AN177/'PL Cronograma detallado'!M$238</f>
        <v>0.001153480798</v>
      </c>
      <c r="AP177" s="234">
        <f t="shared" si="333"/>
        <v>0.01704776768</v>
      </c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 t="shared" si="1"/>
        <v>2</v>
      </c>
      <c r="F178" s="80">
        <v>10.0</v>
      </c>
      <c r="G178" s="105">
        <f t="shared" si="2"/>
        <v>0.008613264427</v>
      </c>
      <c r="H178" s="47">
        <f t="shared" si="334"/>
        <v>0.6925064599</v>
      </c>
      <c r="I178" s="187">
        <f t="shared" si="326"/>
        <v>12</v>
      </c>
      <c r="J178" s="172">
        <f t="shared" si="335"/>
        <v>2318</v>
      </c>
      <c r="K178" s="115">
        <f t="shared" si="3"/>
        <v>0.7892407218</v>
      </c>
      <c r="L178" s="191">
        <f t="shared" si="327"/>
        <v>5.28</v>
      </c>
      <c r="M178" s="172">
        <f t="shared" si="336"/>
        <v>1037.77</v>
      </c>
      <c r="N178" s="47">
        <f t="shared" si="4"/>
        <v>0.008613264427</v>
      </c>
      <c r="O178" s="47">
        <f t="shared" si="16"/>
        <v>0.6925064599</v>
      </c>
      <c r="P178" s="7"/>
      <c r="Q178" s="7"/>
      <c r="R178" s="7"/>
      <c r="S178" s="229">
        <f t="shared" si="328"/>
        <v>0</v>
      </c>
      <c r="T178" s="206"/>
      <c r="U178" s="195"/>
      <c r="V178" s="230">
        <f>Roles!$D$2</f>
        <v>0.61</v>
      </c>
      <c r="W178" s="230">
        <f t="shared" si="329"/>
        <v>0</v>
      </c>
      <c r="X178" s="229">
        <f t="shared" si="330"/>
        <v>0</v>
      </c>
      <c r="Y178" s="231">
        <f>'CD R Documentación'!$I178</f>
        <v>0</v>
      </c>
      <c r="Z178" s="195"/>
      <c r="AA178" s="195"/>
      <c r="AB178" s="232">
        <f>'CD R Documentación'!$L178</f>
        <v>0</v>
      </c>
      <c r="AC178" s="229">
        <f t="shared" si="331"/>
        <v>0</v>
      </c>
      <c r="AD178" s="231">
        <f>'CD R Investigación'!$I178</f>
        <v>0</v>
      </c>
      <c r="AE178" s="195"/>
      <c r="AF178" s="195"/>
      <c r="AG178" s="232">
        <f>'CD R Investigación'!$L178</f>
        <v>0</v>
      </c>
      <c r="AH178" s="229">
        <f t="shared" si="332"/>
        <v>1.2</v>
      </c>
      <c r="AI178" s="231">
        <f>'CD R Desarrollo'!$I178</f>
        <v>12</v>
      </c>
      <c r="AJ178" s="200"/>
      <c r="AK178" s="200"/>
      <c r="AL178" s="232">
        <f>'CD R Desarrollo'!$L178</f>
        <v>5.28</v>
      </c>
      <c r="AM178" s="234">
        <v>1.0</v>
      </c>
      <c r="AN178" s="84">
        <f>'PL Cronograma detallado'!L178*AM178</f>
        <v>1.88</v>
      </c>
      <c r="AO178" s="234">
        <f>AN178/'PL Cronograma detallado'!M$238</f>
        <v>0.003189035147</v>
      </c>
      <c r="AP178" s="234">
        <f t="shared" si="333"/>
        <v>0.02023680282</v>
      </c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 t="shared" si="1"/>
        <v>4</v>
      </c>
      <c r="F179" s="246">
        <f>SUM(F180:F184)</f>
        <v>29</v>
      </c>
      <c r="G179" s="105">
        <f t="shared" si="2"/>
        <v>0.02497846684</v>
      </c>
      <c r="H179" s="226">
        <f>H184</f>
        <v>0.7174849268</v>
      </c>
      <c r="I179" s="247">
        <f>SUM(I180:I184)</f>
        <v>66</v>
      </c>
      <c r="J179" s="247">
        <f>J184</f>
        <v>2384</v>
      </c>
      <c r="K179" s="167">
        <f t="shared" si="3"/>
        <v>0.8117126319</v>
      </c>
      <c r="L179" s="247">
        <f>SUM(L180:L184)</f>
        <v>29.89</v>
      </c>
      <c r="M179" s="247">
        <f>M184</f>
        <v>1067.66</v>
      </c>
      <c r="N179" s="47">
        <f t="shared" si="4"/>
        <v>0</v>
      </c>
      <c r="O179" s="47">
        <f t="shared" si="16"/>
        <v>0.6925064599</v>
      </c>
      <c r="P179" s="7"/>
      <c r="Q179" s="7"/>
      <c r="R179" s="7"/>
      <c r="S179" s="264"/>
      <c r="T179" s="174"/>
      <c r="U179" s="178"/>
      <c r="V179" s="178"/>
      <c r="W179" s="178"/>
      <c r="X179" s="178"/>
      <c r="Y179" s="231"/>
      <c r="Z179" s="178"/>
      <c r="AA179" s="178"/>
      <c r="AB179" s="232"/>
      <c r="AC179" s="178"/>
      <c r="AD179" s="231"/>
      <c r="AE179" s="178"/>
      <c r="AF179" s="178"/>
      <c r="AG179" s="232"/>
      <c r="AH179" s="178"/>
      <c r="AI179" s="231"/>
      <c r="AJ179" s="178"/>
      <c r="AK179" s="180"/>
      <c r="AL179" s="232"/>
      <c r="AM179" s="234"/>
      <c r="AN179" s="84"/>
      <c r="AO179" s="234"/>
      <c r="AP179" s="234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 t="shared" si="1"/>
        <v>3</v>
      </c>
      <c r="F180" s="80">
        <v>4.0</v>
      </c>
      <c r="G180" s="105">
        <f t="shared" si="2"/>
        <v>0.003445305771</v>
      </c>
      <c r="H180" s="47">
        <f>H178+G180</f>
        <v>0.6959517657</v>
      </c>
      <c r="I180" s="187">
        <f t="shared" ref="I180:I184" si="337">T180+Y180+AD180+AI180</f>
        <v>11</v>
      </c>
      <c r="J180" s="172">
        <f>J178+I180</f>
        <v>2329</v>
      </c>
      <c r="K180" s="115">
        <f t="shared" si="3"/>
        <v>0.7929860402</v>
      </c>
      <c r="L180" s="191">
        <f t="shared" ref="L180:L184" si="338">W180+AB180+AG180+AL180</f>
        <v>5.01</v>
      </c>
      <c r="M180" s="172">
        <f>M178+L180</f>
        <v>1042.78</v>
      </c>
      <c r="N180" s="47">
        <f t="shared" si="4"/>
        <v>0.003445305771</v>
      </c>
      <c r="O180" s="47">
        <f t="shared" si="16"/>
        <v>0.6959517657</v>
      </c>
      <c r="P180" s="7"/>
      <c r="Q180" s="7"/>
      <c r="R180" s="7"/>
      <c r="S180" s="229">
        <f t="shared" ref="S180:S184" si="339">T180/$F180</f>
        <v>0.25</v>
      </c>
      <c r="T180" s="194">
        <v>1.0</v>
      </c>
      <c r="U180" s="195"/>
      <c r="V180" s="230">
        <f>Roles!$D$2</f>
        <v>0.61</v>
      </c>
      <c r="W180" s="230">
        <f t="shared" ref="W180:W184" si="340">V180*T180</f>
        <v>0.61</v>
      </c>
      <c r="X180" s="229">
        <f t="shared" ref="X180:X184" si="341">Y180/$F180</f>
        <v>1.5</v>
      </c>
      <c r="Y180" s="231">
        <f>'CD R Documentación'!$I180</f>
        <v>6</v>
      </c>
      <c r="Z180" s="195"/>
      <c r="AA180" s="230"/>
      <c r="AB180" s="232">
        <f>'CD R Documentación'!$L180</f>
        <v>2.64</v>
      </c>
      <c r="AC180" s="229">
        <f t="shared" ref="AC180:AC184" si="342">AD180/$F180</f>
        <v>1</v>
      </c>
      <c r="AD180" s="231">
        <f>'CD R Investigación'!$I180</f>
        <v>4</v>
      </c>
      <c r="AE180" s="195"/>
      <c r="AF180" s="230"/>
      <c r="AG180" s="232">
        <f>'CD R Investigación'!$L180</f>
        <v>1.76</v>
      </c>
      <c r="AH180" s="229">
        <f t="shared" ref="AH180:AH184" si="343">AI180/$F180</f>
        <v>0</v>
      </c>
      <c r="AI180" s="231">
        <f>'CD R Desarrollo'!$I180</f>
        <v>0</v>
      </c>
      <c r="AJ180" s="200"/>
      <c r="AK180" s="185"/>
      <c r="AL180" s="232">
        <f>'CD R Desarrollo'!$L180</f>
        <v>0</v>
      </c>
      <c r="AM180" s="234">
        <v>1.0</v>
      </c>
      <c r="AN180" s="84">
        <f>'PL Cronograma detallado'!L180*AM180</f>
        <v>2.43</v>
      </c>
      <c r="AO180" s="234">
        <f>AN180/'PL Cronograma detallado'!M$238</f>
        <v>0.004121997557</v>
      </c>
      <c r="AP180" s="234">
        <f t="shared" ref="AP180:AP184" si="344">AO180+AP179</f>
        <v>0.004121997557</v>
      </c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 t="shared" si="1"/>
        <v>2</v>
      </c>
      <c r="F181" s="80">
        <v>10.0</v>
      </c>
      <c r="G181" s="105">
        <f t="shared" si="2"/>
        <v>0.008613264427</v>
      </c>
      <c r="H181" s="47">
        <f t="shared" ref="H181:H185" si="345">H180+G181</f>
        <v>0.7045650301</v>
      </c>
      <c r="I181" s="187">
        <f t="shared" si="337"/>
        <v>31</v>
      </c>
      <c r="J181" s="172">
        <f t="shared" ref="J181:J185" si="346">J180+I181</f>
        <v>2360</v>
      </c>
      <c r="K181" s="115">
        <f t="shared" si="3"/>
        <v>0.8035410283</v>
      </c>
      <c r="L181" s="191">
        <f t="shared" si="338"/>
        <v>13.81</v>
      </c>
      <c r="M181" s="172">
        <f t="shared" ref="M181:M185" si="347">M180+L181</f>
        <v>1056.59</v>
      </c>
      <c r="N181" s="47">
        <f t="shared" si="4"/>
        <v>0.008613264427</v>
      </c>
      <c r="O181" s="47">
        <f t="shared" si="16"/>
        <v>0.7045650301</v>
      </c>
      <c r="P181" s="7"/>
      <c r="Q181" s="7"/>
      <c r="R181" s="7"/>
      <c r="S181" s="229">
        <f t="shared" si="339"/>
        <v>0.1</v>
      </c>
      <c r="T181" s="194">
        <v>1.0</v>
      </c>
      <c r="U181" s="195"/>
      <c r="V181" s="230">
        <f>Roles!$D$2</f>
        <v>0.61</v>
      </c>
      <c r="W181" s="230">
        <f t="shared" si="340"/>
        <v>0.61</v>
      </c>
      <c r="X181" s="229">
        <f t="shared" si="341"/>
        <v>3</v>
      </c>
      <c r="Y181" s="231">
        <f>'CD R Documentación'!$I181</f>
        <v>30</v>
      </c>
      <c r="Z181" s="195"/>
      <c r="AA181" s="195"/>
      <c r="AB181" s="232">
        <f>'CD R Documentación'!$L181</f>
        <v>13.2</v>
      </c>
      <c r="AC181" s="229">
        <f t="shared" si="342"/>
        <v>0</v>
      </c>
      <c r="AD181" s="231">
        <f>'CD R Investigación'!$I181</f>
        <v>0</v>
      </c>
      <c r="AE181" s="195"/>
      <c r="AF181" s="195"/>
      <c r="AG181" s="232">
        <f>'CD R Investigación'!$L181</f>
        <v>0</v>
      </c>
      <c r="AH181" s="229">
        <f t="shared" si="343"/>
        <v>0</v>
      </c>
      <c r="AI181" s="231">
        <f>'CD R Desarrollo'!$I181</f>
        <v>0</v>
      </c>
      <c r="AJ181" s="200"/>
      <c r="AK181" s="200"/>
      <c r="AL181" s="232">
        <f>'CD R Desarrollo'!$L181</f>
        <v>0</v>
      </c>
      <c r="AM181" s="234">
        <v>1.0</v>
      </c>
      <c r="AN181" s="84">
        <f>'PL Cronograma detallado'!L181*AM181</f>
        <v>5.06</v>
      </c>
      <c r="AO181" s="234">
        <f>AN181/'PL Cronograma detallado'!M$238</f>
        <v>0.008583254173</v>
      </c>
      <c r="AP181" s="234">
        <f t="shared" si="344"/>
        <v>0.01270525173</v>
      </c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 t="shared" si="1"/>
        <v>2</v>
      </c>
      <c r="F182" s="80">
        <v>3.0</v>
      </c>
      <c r="G182" s="105">
        <f t="shared" si="2"/>
        <v>0.002583979328</v>
      </c>
      <c r="H182" s="47">
        <f t="shared" si="345"/>
        <v>0.7071490095</v>
      </c>
      <c r="I182" s="187">
        <f t="shared" si="337"/>
        <v>7</v>
      </c>
      <c r="J182" s="172">
        <f t="shared" si="346"/>
        <v>2367</v>
      </c>
      <c r="K182" s="115">
        <f t="shared" si="3"/>
        <v>0.8059244127</v>
      </c>
      <c r="L182" s="191">
        <f t="shared" si="338"/>
        <v>3.25</v>
      </c>
      <c r="M182" s="172">
        <f t="shared" si="347"/>
        <v>1059.84</v>
      </c>
      <c r="N182" s="47">
        <f t="shared" si="4"/>
        <v>0.002583979328</v>
      </c>
      <c r="O182" s="47">
        <f t="shared" si="16"/>
        <v>0.7071490095</v>
      </c>
      <c r="P182" s="7"/>
      <c r="Q182" s="7"/>
      <c r="R182" s="7"/>
      <c r="S182" s="229">
        <f t="shared" si="339"/>
        <v>0.3333333333</v>
      </c>
      <c r="T182" s="194">
        <v>1.0</v>
      </c>
      <c r="U182" s="195"/>
      <c r="V182" s="230">
        <f>Roles!$D$2</f>
        <v>0.61</v>
      </c>
      <c r="W182" s="230">
        <f t="shared" si="340"/>
        <v>0.61</v>
      </c>
      <c r="X182" s="229">
        <f t="shared" si="341"/>
        <v>2</v>
      </c>
      <c r="Y182" s="231">
        <f>'CD R Documentación'!$I182</f>
        <v>6</v>
      </c>
      <c r="Z182" s="195"/>
      <c r="AA182" s="230"/>
      <c r="AB182" s="232">
        <f>'CD R Documentación'!$L182</f>
        <v>2.64</v>
      </c>
      <c r="AC182" s="229">
        <f t="shared" si="342"/>
        <v>0</v>
      </c>
      <c r="AD182" s="231">
        <f>'CD R Investigación'!$I182</f>
        <v>0</v>
      </c>
      <c r="AE182" s="195"/>
      <c r="AF182" s="230"/>
      <c r="AG182" s="232">
        <f>'CD R Investigación'!$L182</f>
        <v>0</v>
      </c>
      <c r="AH182" s="229">
        <f t="shared" si="343"/>
        <v>0</v>
      </c>
      <c r="AI182" s="231">
        <f>'CD R Desarrollo'!$I182</f>
        <v>0</v>
      </c>
      <c r="AJ182" s="200"/>
      <c r="AK182" s="185"/>
      <c r="AL182" s="232">
        <f>'CD R Desarrollo'!$L182</f>
        <v>0</v>
      </c>
      <c r="AM182" s="234">
        <v>1.0</v>
      </c>
      <c r="AN182" s="84">
        <f>'PL Cronograma detallado'!L182*AM182</f>
        <v>1.63</v>
      </c>
      <c r="AO182" s="234">
        <f>AN182/'PL Cronograma detallado'!M$238</f>
        <v>0.002764961324</v>
      </c>
      <c r="AP182" s="234">
        <f t="shared" si="344"/>
        <v>0.01547021305</v>
      </c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 t="shared" si="1"/>
        <v>1</v>
      </c>
      <c r="F183" s="80">
        <v>2.0</v>
      </c>
      <c r="G183" s="105">
        <f t="shared" si="2"/>
        <v>0.001722652885</v>
      </c>
      <c r="H183" s="47">
        <f t="shared" si="345"/>
        <v>0.7088716624</v>
      </c>
      <c r="I183" s="187">
        <f t="shared" si="337"/>
        <v>4</v>
      </c>
      <c r="J183" s="172">
        <f t="shared" si="346"/>
        <v>2371</v>
      </c>
      <c r="K183" s="115">
        <f t="shared" si="3"/>
        <v>0.8072863466</v>
      </c>
      <c r="L183" s="191">
        <f t="shared" si="338"/>
        <v>1.93</v>
      </c>
      <c r="M183" s="172">
        <f t="shared" si="347"/>
        <v>1061.77</v>
      </c>
      <c r="N183" s="47">
        <f t="shared" si="4"/>
        <v>0.001722652885</v>
      </c>
      <c r="O183" s="47">
        <f t="shared" si="16"/>
        <v>0.7088716624</v>
      </c>
      <c r="P183" s="7"/>
      <c r="Q183" s="7"/>
      <c r="R183" s="7"/>
      <c r="S183" s="229">
        <f t="shared" si="339"/>
        <v>0.5</v>
      </c>
      <c r="T183" s="194">
        <v>1.0</v>
      </c>
      <c r="U183" s="195"/>
      <c r="V183" s="230">
        <f>Roles!$D$2</f>
        <v>0.61</v>
      </c>
      <c r="W183" s="230">
        <f t="shared" si="340"/>
        <v>0.61</v>
      </c>
      <c r="X183" s="229">
        <f t="shared" si="341"/>
        <v>1.5</v>
      </c>
      <c r="Y183" s="231">
        <f>'CD R Documentación'!$I183</f>
        <v>3</v>
      </c>
      <c r="Z183" s="195"/>
      <c r="AA183" s="230"/>
      <c r="AB183" s="232">
        <f>'CD R Documentación'!$L183</f>
        <v>1.32</v>
      </c>
      <c r="AC183" s="229">
        <f t="shared" si="342"/>
        <v>0</v>
      </c>
      <c r="AD183" s="231">
        <f>'CD R Investigación'!$I183</f>
        <v>0</v>
      </c>
      <c r="AE183" s="195"/>
      <c r="AF183" s="230"/>
      <c r="AG183" s="232">
        <f>'CD R Investigación'!$L183</f>
        <v>0</v>
      </c>
      <c r="AH183" s="229">
        <f t="shared" si="343"/>
        <v>0</v>
      </c>
      <c r="AI183" s="231">
        <f>'CD R Desarrollo'!$I183</f>
        <v>0</v>
      </c>
      <c r="AJ183" s="200"/>
      <c r="AK183" s="185"/>
      <c r="AL183" s="232">
        <f>'CD R Desarrollo'!$L183</f>
        <v>0</v>
      </c>
      <c r="AM183" s="234">
        <v>1.0</v>
      </c>
      <c r="AN183" s="84">
        <f>'PL Cronograma detallado'!L183*AM183</f>
        <v>1.12</v>
      </c>
      <c r="AO183" s="234">
        <f>AN183/'PL Cronograma detallado'!M$238</f>
        <v>0.001899850726</v>
      </c>
      <c r="AP183" s="234">
        <f t="shared" si="344"/>
        <v>0.01737006378</v>
      </c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 t="shared" si="1"/>
        <v>1</v>
      </c>
      <c r="F184" s="80">
        <v>10.0</v>
      </c>
      <c r="G184" s="105">
        <f t="shared" si="2"/>
        <v>0.008613264427</v>
      </c>
      <c r="H184" s="47">
        <f t="shared" si="345"/>
        <v>0.7174849268</v>
      </c>
      <c r="I184" s="187">
        <f t="shared" si="337"/>
        <v>13</v>
      </c>
      <c r="J184" s="172">
        <f t="shared" si="346"/>
        <v>2384</v>
      </c>
      <c r="K184" s="115">
        <f t="shared" si="3"/>
        <v>0.8117126319</v>
      </c>
      <c r="L184" s="191">
        <f t="shared" si="338"/>
        <v>5.89</v>
      </c>
      <c r="M184" s="172">
        <f t="shared" si="347"/>
        <v>1067.66</v>
      </c>
      <c r="N184" s="47">
        <f t="shared" si="4"/>
        <v>0.008613264427</v>
      </c>
      <c r="O184" s="47">
        <f t="shared" si="16"/>
        <v>0.7174849268</v>
      </c>
      <c r="P184" s="7"/>
      <c r="Q184" s="7"/>
      <c r="R184" s="7"/>
      <c r="S184" s="229">
        <f t="shared" si="339"/>
        <v>0.1</v>
      </c>
      <c r="T184" s="194">
        <v>1.0</v>
      </c>
      <c r="U184" s="195"/>
      <c r="V184" s="230">
        <f>Roles!$D$2</f>
        <v>0.61</v>
      </c>
      <c r="W184" s="230">
        <f t="shared" si="340"/>
        <v>0.61</v>
      </c>
      <c r="X184" s="229">
        <f t="shared" si="341"/>
        <v>0</v>
      </c>
      <c r="Y184" s="231">
        <f>'CD R Documentación'!$I184</f>
        <v>0</v>
      </c>
      <c r="Z184" s="195"/>
      <c r="AA184" s="195"/>
      <c r="AB184" s="232">
        <f>'CD R Documentación'!$L184</f>
        <v>0</v>
      </c>
      <c r="AC184" s="229">
        <f t="shared" si="342"/>
        <v>0</v>
      </c>
      <c r="AD184" s="231">
        <f>'CD R Investigación'!$I184</f>
        <v>0</v>
      </c>
      <c r="AE184" s="195"/>
      <c r="AF184" s="195"/>
      <c r="AG184" s="232">
        <f>'CD R Investigación'!$L184</f>
        <v>0</v>
      </c>
      <c r="AH184" s="229">
        <f t="shared" si="343"/>
        <v>1.2</v>
      </c>
      <c r="AI184" s="231">
        <f>'CD R Desarrollo'!$I184</f>
        <v>12</v>
      </c>
      <c r="AJ184" s="200"/>
      <c r="AK184" s="200"/>
      <c r="AL184" s="232">
        <f>'CD R Desarrollo'!$L184</f>
        <v>5.28</v>
      </c>
      <c r="AM184" s="234">
        <v>1.0</v>
      </c>
      <c r="AN184" s="84">
        <f>'PL Cronograma detallado'!L184*AM184</f>
        <v>2.49</v>
      </c>
      <c r="AO184" s="234">
        <f>AN184/'PL Cronograma detallado'!M$238</f>
        <v>0.004223775275</v>
      </c>
      <c r="AP184" s="234">
        <f t="shared" si="344"/>
        <v>0.02159383906</v>
      </c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 t="shared" si="1"/>
        <v>1</v>
      </c>
      <c r="F185" s="136">
        <v>0.0</v>
      </c>
      <c r="G185" s="105">
        <f t="shared" si="2"/>
        <v>0</v>
      </c>
      <c r="H185" s="115">
        <f t="shared" si="345"/>
        <v>0.7174849268</v>
      </c>
      <c r="I185" s="110">
        <f>F185</f>
        <v>0</v>
      </c>
      <c r="J185" s="110">
        <f t="shared" si="346"/>
        <v>2384</v>
      </c>
      <c r="K185" s="115">
        <f t="shared" si="3"/>
        <v>0.8117126319</v>
      </c>
      <c r="L185" s="110">
        <v>0.0</v>
      </c>
      <c r="M185" s="110">
        <f t="shared" si="347"/>
        <v>1067.66</v>
      </c>
      <c r="N185" s="47">
        <f t="shared" si="4"/>
        <v>0</v>
      </c>
      <c r="O185" s="47">
        <f t="shared" si="16"/>
        <v>0.7174849268</v>
      </c>
      <c r="P185" s="7"/>
      <c r="Q185" s="7"/>
      <c r="R185" s="7"/>
      <c r="S185" s="289"/>
      <c r="T185" s="118"/>
      <c r="U185" s="119"/>
      <c r="V185" s="119"/>
      <c r="W185" s="119"/>
      <c r="X185" s="119"/>
      <c r="Y185" s="231"/>
      <c r="Z185" s="119"/>
      <c r="AA185" s="119"/>
      <c r="AB185" s="232"/>
      <c r="AC185" s="119"/>
      <c r="AD185" s="231"/>
      <c r="AE185" s="119"/>
      <c r="AF185" s="119"/>
      <c r="AG185" s="232"/>
      <c r="AH185" s="119"/>
      <c r="AI185" s="231"/>
      <c r="AJ185" s="119"/>
      <c r="AK185" s="235"/>
      <c r="AL185" s="232"/>
      <c r="AM185" s="234"/>
      <c r="AN185" s="84"/>
      <c r="AO185" s="234"/>
      <c r="AP185" s="234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 t="shared" si="1"/>
        <v>21</v>
      </c>
      <c r="F186" s="240">
        <f>F187+F194+F198+F202+F206</f>
        <v>209</v>
      </c>
      <c r="G186" s="105">
        <f t="shared" si="2"/>
        <v>0.1800172265</v>
      </c>
      <c r="H186" s="224">
        <f>H211</f>
        <v>0.8975021533</v>
      </c>
      <c r="I186" s="241">
        <f>I187+I194+I198+I202+I206</f>
        <v>318</v>
      </c>
      <c r="J186" s="241">
        <f>J211</f>
        <v>2702</v>
      </c>
      <c r="K186" s="138">
        <f t="shared" si="3"/>
        <v>0.9199863807</v>
      </c>
      <c r="L186" s="241">
        <f>L187+L194+L198+L202+L206</f>
        <v>143.49</v>
      </c>
      <c r="M186" s="241">
        <f>M211</f>
        <v>1211.15</v>
      </c>
      <c r="N186" s="47">
        <f t="shared" si="4"/>
        <v>0</v>
      </c>
      <c r="O186" s="47">
        <f t="shared" si="16"/>
        <v>0.7174849268</v>
      </c>
      <c r="P186" s="7"/>
      <c r="Q186" s="7"/>
      <c r="R186" s="7"/>
      <c r="S186" s="294"/>
      <c r="T186" s="144"/>
      <c r="U186" s="149"/>
      <c r="V186" s="149"/>
      <c r="W186" s="149"/>
      <c r="X186" s="149"/>
      <c r="Y186" s="231"/>
      <c r="Z186" s="149"/>
      <c r="AA186" s="149"/>
      <c r="AB186" s="232"/>
      <c r="AC186" s="149"/>
      <c r="AD186" s="231"/>
      <c r="AE186" s="149"/>
      <c r="AF186" s="149"/>
      <c r="AG186" s="232"/>
      <c r="AH186" s="142"/>
      <c r="AI186" s="231"/>
      <c r="AJ186" s="150"/>
      <c r="AK186" s="150"/>
      <c r="AL186" s="232"/>
      <c r="AM186" s="234"/>
      <c r="AN186" s="84"/>
      <c r="AO186" s="234"/>
      <c r="AP186" s="234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 t="shared" si="1"/>
        <v>14</v>
      </c>
      <c r="F187" s="246">
        <f>SUM(F188:F193)</f>
        <v>19</v>
      </c>
      <c r="G187" s="105">
        <f t="shared" si="2"/>
        <v>0.01636520241</v>
      </c>
      <c r="H187" s="226">
        <f>H193</f>
        <v>0.7338501292</v>
      </c>
      <c r="I187" s="247">
        <f>SUM(I188:I193)</f>
        <v>40</v>
      </c>
      <c r="J187" s="247">
        <f>J193</f>
        <v>2424</v>
      </c>
      <c r="K187" s="167">
        <f t="shared" si="3"/>
        <v>0.8253319714</v>
      </c>
      <c r="L187" s="247">
        <f>SUM(L188:L193)</f>
        <v>17.94</v>
      </c>
      <c r="M187" s="247">
        <f>M193</f>
        <v>1085.6</v>
      </c>
      <c r="N187" s="47">
        <f t="shared" si="4"/>
        <v>0</v>
      </c>
      <c r="O187" s="47">
        <f t="shared" si="16"/>
        <v>0.7174849268</v>
      </c>
      <c r="P187" s="7"/>
      <c r="Q187" s="7"/>
      <c r="R187" s="7"/>
      <c r="S187" s="173"/>
      <c r="T187" s="174"/>
      <c r="U187" s="178"/>
      <c r="V187" s="178"/>
      <c r="W187" s="178"/>
      <c r="X187" s="173"/>
      <c r="Y187" s="231"/>
      <c r="Z187" s="178"/>
      <c r="AA187" s="178"/>
      <c r="AB187" s="232"/>
      <c r="AC187" s="173"/>
      <c r="AD187" s="231"/>
      <c r="AE187" s="178"/>
      <c r="AF187" s="178"/>
      <c r="AG187" s="232"/>
      <c r="AH187" s="173"/>
      <c r="AI187" s="231"/>
      <c r="AJ187" s="180"/>
      <c r="AK187" s="180"/>
      <c r="AL187" s="232"/>
      <c r="AM187" s="234"/>
      <c r="AN187" s="84"/>
      <c r="AO187" s="234"/>
      <c r="AP187" s="234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 t="shared" si="1"/>
        <v>2</v>
      </c>
      <c r="F188" s="80">
        <v>3.0</v>
      </c>
      <c r="G188" s="105">
        <f t="shared" si="2"/>
        <v>0.002583979328</v>
      </c>
      <c r="H188" s="47">
        <f>H185+G188</f>
        <v>0.7200689061</v>
      </c>
      <c r="I188" s="187">
        <f t="shared" ref="I188:I193" si="348">T188+Y188+AD188+AI188</f>
        <v>6</v>
      </c>
      <c r="J188" s="172">
        <f>J185+I188</f>
        <v>2390</v>
      </c>
      <c r="K188" s="115">
        <f t="shared" si="3"/>
        <v>0.8137555329</v>
      </c>
      <c r="L188" s="191">
        <f t="shared" ref="L188:L193" si="349">W188+AB188+AG188+AL188</f>
        <v>2.64</v>
      </c>
      <c r="M188" s="172">
        <f>M185+L188</f>
        <v>1070.3</v>
      </c>
      <c r="N188" s="47">
        <f t="shared" si="4"/>
        <v>0.002583979328</v>
      </c>
      <c r="O188" s="47">
        <f t="shared" si="16"/>
        <v>0.7200689061</v>
      </c>
      <c r="P188" s="7"/>
      <c r="Q188" s="7"/>
      <c r="R188" s="7"/>
      <c r="S188" s="229">
        <f t="shared" ref="S188:S193" si="350">T188/$F188</f>
        <v>0</v>
      </c>
      <c r="T188" s="206"/>
      <c r="U188" s="195"/>
      <c r="V188" s="230">
        <f>Roles!$D$2</f>
        <v>0.61</v>
      </c>
      <c r="W188" s="230">
        <f t="shared" ref="W188:W193" si="351">V188*T188</f>
        <v>0</v>
      </c>
      <c r="X188" s="229">
        <f t="shared" ref="X188:X193" si="352">Y188/$F188</f>
        <v>0</v>
      </c>
      <c r="Y188" s="231">
        <f>'CD R Documentación'!$I188</f>
        <v>0</v>
      </c>
      <c r="Z188" s="195"/>
      <c r="AA188" s="230"/>
      <c r="AB188" s="232">
        <f>'CD R Documentación'!$L188</f>
        <v>0</v>
      </c>
      <c r="AC188" s="229">
        <f t="shared" ref="AC188:AC193" si="353">AD188/$F188</f>
        <v>2</v>
      </c>
      <c r="AD188" s="231">
        <f>'CD R Investigación'!$I188</f>
        <v>6</v>
      </c>
      <c r="AE188" s="195"/>
      <c r="AF188" s="230"/>
      <c r="AG188" s="232">
        <f>'CD R Investigación'!$L188</f>
        <v>2.64</v>
      </c>
      <c r="AH188" s="229">
        <f t="shared" ref="AH188:AH193" si="354">AI188/$F188</f>
        <v>0</v>
      </c>
      <c r="AI188" s="231">
        <f>'CD R Desarrollo'!$I188</f>
        <v>0</v>
      </c>
      <c r="AJ188" s="200"/>
      <c r="AK188" s="185"/>
      <c r="AL188" s="232">
        <f>'CD R Desarrollo'!$L188</f>
        <v>0</v>
      </c>
      <c r="AM188" s="234">
        <v>1.0</v>
      </c>
      <c r="AN188" s="84">
        <f>'PL Cronograma detallado'!L188*AM188</f>
        <v>1.2</v>
      </c>
      <c r="AO188" s="234">
        <f>AN188/'PL Cronograma detallado'!M$238</f>
        <v>0.002035554349</v>
      </c>
      <c r="AP188" s="234">
        <f t="shared" ref="AP188:AP193" si="355">AO188+AP187</f>
        <v>0.002035554349</v>
      </c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 t="shared" si="1"/>
        <v>3</v>
      </c>
      <c r="F189" s="80">
        <v>4.0</v>
      </c>
      <c r="G189" s="105">
        <f t="shared" si="2"/>
        <v>0.003445305771</v>
      </c>
      <c r="H189" s="47">
        <f t="shared" ref="H189:H193" si="356">H188+G189</f>
        <v>0.7235142119</v>
      </c>
      <c r="I189" s="187">
        <f t="shared" si="348"/>
        <v>8</v>
      </c>
      <c r="J189" s="172">
        <f t="shared" ref="J189:J193" si="357">J188+I189</f>
        <v>2398</v>
      </c>
      <c r="K189" s="115">
        <f t="shared" si="3"/>
        <v>0.8164794007</v>
      </c>
      <c r="L189" s="191">
        <f t="shared" si="349"/>
        <v>3.52</v>
      </c>
      <c r="M189" s="172">
        <f t="shared" ref="M189:M193" si="358">M188+L189</f>
        <v>1073.82</v>
      </c>
      <c r="N189" s="47">
        <f t="shared" si="4"/>
        <v>0.003445305771</v>
      </c>
      <c r="O189" s="47">
        <f t="shared" si="16"/>
        <v>0.7235142119</v>
      </c>
      <c r="P189" s="7"/>
      <c r="Q189" s="7"/>
      <c r="R189" s="7"/>
      <c r="S189" s="229">
        <f t="shared" si="350"/>
        <v>0</v>
      </c>
      <c r="T189" s="206"/>
      <c r="U189" s="195"/>
      <c r="V189" s="230">
        <f>Roles!$D$2</f>
        <v>0.61</v>
      </c>
      <c r="W189" s="230">
        <f t="shared" si="351"/>
        <v>0</v>
      </c>
      <c r="X189" s="229">
        <f t="shared" si="352"/>
        <v>0</v>
      </c>
      <c r="Y189" s="231">
        <f>'CD R Documentación'!$I189</f>
        <v>0</v>
      </c>
      <c r="Z189" s="195"/>
      <c r="AA189" s="230"/>
      <c r="AB189" s="232">
        <f>'CD R Documentación'!$L189</f>
        <v>0</v>
      </c>
      <c r="AC189" s="229">
        <f t="shared" si="353"/>
        <v>1</v>
      </c>
      <c r="AD189" s="231">
        <f>'CD R Investigación'!$I189</f>
        <v>4</v>
      </c>
      <c r="AE189" s="195"/>
      <c r="AF189" s="230"/>
      <c r="AG189" s="232">
        <f>'CD R Investigación'!$L189</f>
        <v>1.76</v>
      </c>
      <c r="AH189" s="229">
        <f t="shared" si="354"/>
        <v>1</v>
      </c>
      <c r="AI189" s="231">
        <f>'CD R Desarrollo'!$I189</f>
        <v>4</v>
      </c>
      <c r="AJ189" s="200"/>
      <c r="AK189" s="185"/>
      <c r="AL189" s="232">
        <f>'CD R Desarrollo'!$L189</f>
        <v>1.76</v>
      </c>
      <c r="AM189" s="234">
        <v>1.0</v>
      </c>
      <c r="AN189" s="84">
        <f>'PL Cronograma detallado'!L189*AM189</f>
        <v>1.52</v>
      </c>
      <c r="AO189" s="234">
        <f>AN189/'PL Cronograma detallado'!M$238</f>
        <v>0.002578368842</v>
      </c>
      <c r="AP189" s="234">
        <f t="shared" si="355"/>
        <v>0.004613923192</v>
      </c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 t="shared" si="1"/>
        <v>2</v>
      </c>
      <c r="F190" s="80">
        <v>3.0</v>
      </c>
      <c r="G190" s="105">
        <f t="shared" si="2"/>
        <v>0.002583979328</v>
      </c>
      <c r="H190" s="47">
        <f t="shared" si="356"/>
        <v>0.7260981912</v>
      </c>
      <c r="I190" s="187">
        <f t="shared" si="348"/>
        <v>7</v>
      </c>
      <c r="J190" s="172">
        <f t="shared" si="357"/>
        <v>2405</v>
      </c>
      <c r="K190" s="115">
        <f t="shared" si="3"/>
        <v>0.8188627852</v>
      </c>
      <c r="L190" s="191">
        <f t="shared" si="349"/>
        <v>3.25</v>
      </c>
      <c r="M190" s="172">
        <f t="shared" si="358"/>
        <v>1077.07</v>
      </c>
      <c r="N190" s="47">
        <f t="shared" si="4"/>
        <v>0.002583979328</v>
      </c>
      <c r="O190" s="47">
        <f t="shared" si="16"/>
        <v>0.7260981912</v>
      </c>
      <c r="P190" s="7"/>
      <c r="Q190" s="7"/>
      <c r="R190" s="7"/>
      <c r="S190" s="229">
        <f t="shared" si="350"/>
        <v>0.3333333333</v>
      </c>
      <c r="T190" s="194">
        <v>1.0</v>
      </c>
      <c r="U190" s="195"/>
      <c r="V190" s="230">
        <f>Roles!$D$2</f>
        <v>0.61</v>
      </c>
      <c r="W190" s="230">
        <f t="shared" si="351"/>
        <v>0.61</v>
      </c>
      <c r="X190" s="229">
        <f t="shared" si="352"/>
        <v>0</v>
      </c>
      <c r="Y190" s="231">
        <f>'CD R Documentación'!$I190</f>
        <v>0</v>
      </c>
      <c r="Z190" s="195"/>
      <c r="AA190" s="230"/>
      <c r="AB190" s="232">
        <f>'CD R Documentación'!$L190</f>
        <v>0</v>
      </c>
      <c r="AC190" s="229">
        <f t="shared" si="353"/>
        <v>2</v>
      </c>
      <c r="AD190" s="231">
        <f>'CD R Investigación'!$I190</f>
        <v>6</v>
      </c>
      <c r="AE190" s="195"/>
      <c r="AF190" s="230"/>
      <c r="AG190" s="232">
        <f>'CD R Investigación'!$L190</f>
        <v>2.64</v>
      </c>
      <c r="AH190" s="229">
        <f t="shared" si="354"/>
        <v>0</v>
      </c>
      <c r="AI190" s="231">
        <f>'CD R Desarrollo'!$I190</f>
        <v>0</v>
      </c>
      <c r="AJ190" s="200"/>
      <c r="AK190" s="185"/>
      <c r="AL190" s="232">
        <f>'CD R Desarrollo'!$L190</f>
        <v>0</v>
      </c>
      <c r="AM190" s="234">
        <v>1.0</v>
      </c>
      <c r="AN190" s="84">
        <f>'PL Cronograma detallado'!L190*AM190</f>
        <v>1.81</v>
      </c>
      <c r="AO190" s="234">
        <f>AN190/'PL Cronograma detallado'!M$238</f>
        <v>0.003070294477</v>
      </c>
      <c r="AP190" s="234">
        <f t="shared" si="355"/>
        <v>0.007684217669</v>
      </c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 t="shared" si="1"/>
        <v>2</v>
      </c>
      <c r="F191" s="80">
        <v>3.0</v>
      </c>
      <c r="G191" s="105">
        <f t="shared" si="2"/>
        <v>0.002583979328</v>
      </c>
      <c r="H191" s="47">
        <f t="shared" si="356"/>
        <v>0.7286821705</v>
      </c>
      <c r="I191" s="187">
        <f t="shared" si="348"/>
        <v>6</v>
      </c>
      <c r="J191" s="172">
        <f t="shared" si="357"/>
        <v>2411</v>
      </c>
      <c r="K191" s="115">
        <f t="shared" si="3"/>
        <v>0.8209056861</v>
      </c>
      <c r="L191" s="191">
        <f t="shared" si="349"/>
        <v>2.64</v>
      </c>
      <c r="M191" s="172">
        <f t="shared" si="358"/>
        <v>1079.71</v>
      </c>
      <c r="N191" s="47">
        <f t="shared" si="4"/>
        <v>0.002583979328</v>
      </c>
      <c r="O191" s="47">
        <f t="shared" si="16"/>
        <v>0.7286821705</v>
      </c>
      <c r="P191" s="7"/>
      <c r="Q191" s="7"/>
      <c r="R191" s="7"/>
      <c r="S191" s="229">
        <f t="shared" si="350"/>
        <v>0</v>
      </c>
      <c r="T191" s="206"/>
      <c r="U191" s="195"/>
      <c r="V191" s="230">
        <f>Roles!$D$2</f>
        <v>0.61</v>
      </c>
      <c r="W191" s="230">
        <f t="shared" si="351"/>
        <v>0</v>
      </c>
      <c r="X191" s="229">
        <f t="shared" si="352"/>
        <v>0</v>
      </c>
      <c r="Y191" s="231">
        <f>'CD R Documentación'!$I191</f>
        <v>0</v>
      </c>
      <c r="Z191" s="195"/>
      <c r="AA191" s="230"/>
      <c r="AB191" s="232">
        <f>'CD R Documentación'!$L191</f>
        <v>0</v>
      </c>
      <c r="AC191" s="229">
        <f t="shared" si="353"/>
        <v>2</v>
      </c>
      <c r="AD191" s="231">
        <f>'CD R Investigación'!$I191</f>
        <v>6</v>
      </c>
      <c r="AE191" s="195"/>
      <c r="AF191" s="230"/>
      <c r="AG191" s="232">
        <f>'CD R Investigación'!$L191</f>
        <v>2.64</v>
      </c>
      <c r="AH191" s="229">
        <f t="shared" si="354"/>
        <v>0</v>
      </c>
      <c r="AI191" s="231">
        <f>'CD R Desarrollo'!$I191</f>
        <v>0</v>
      </c>
      <c r="AJ191" s="200"/>
      <c r="AK191" s="185"/>
      <c r="AL191" s="232">
        <f>'CD R Desarrollo'!$L191</f>
        <v>0</v>
      </c>
      <c r="AM191" s="234">
        <v>1.0</v>
      </c>
      <c r="AN191" s="84">
        <f>'PL Cronograma detallado'!L191*AM191</f>
        <v>1.2</v>
      </c>
      <c r="AO191" s="234">
        <f>AN191/'PL Cronograma detallado'!M$238</f>
        <v>0.002035554349</v>
      </c>
      <c r="AP191" s="234">
        <f t="shared" si="355"/>
        <v>0.009719772018</v>
      </c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 t="shared" si="1"/>
        <v>2</v>
      </c>
      <c r="F192" s="80">
        <v>3.0</v>
      </c>
      <c r="G192" s="105">
        <f t="shared" si="2"/>
        <v>0.002583979328</v>
      </c>
      <c r="H192" s="47">
        <f t="shared" si="356"/>
        <v>0.7312661499</v>
      </c>
      <c r="I192" s="187">
        <f t="shared" si="348"/>
        <v>6</v>
      </c>
      <c r="J192" s="172">
        <f t="shared" si="357"/>
        <v>2417</v>
      </c>
      <c r="K192" s="115">
        <f t="shared" si="3"/>
        <v>0.822948587</v>
      </c>
      <c r="L192" s="191">
        <f t="shared" si="349"/>
        <v>2.64</v>
      </c>
      <c r="M192" s="172">
        <f t="shared" si="358"/>
        <v>1082.35</v>
      </c>
      <c r="N192" s="47">
        <f t="shared" si="4"/>
        <v>0.002583979328</v>
      </c>
      <c r="O192" s="47">
        <f t="shared" si="16"/>
        <v>0.7312661499</v>
      </c>
      <c r="P192" s="7"/>
      <c r="Q192" s="7"/>
      <c r="R192" s="7"/>
      <c r="S192" s="229">
        <f t="shared" si="350"/>
        <v>0</v>
      </c>
      <c r="T192" s="206"/>
      <c r="U192" s="195"/>
      <c r="V192" s="230">
        <f>Roles!$D$2</f>
        <v>0.61</v>
      </c>
      <c r="W192" s="230">
        <f t="shared" si="351"/>
        <v>0</v>
      </c>
      <c r="X192" s="229">
        <f t="shared" si="352"/>
        <v>0</v>
      </c>
      <c r="Y192" s="231">
        <f>'CD R Documentación'!$I192</f>
        <v>0</v>
      </c>
      <c r="Z192" s="195"/>
      <c r="AA192" s="230"/>
      <c r="AB192" s="232">
        <f>'CD R Documentación'!$L192</f>
        <v>0</v>
      </c>
      <c r="AC192" s="229">
        <f t="shared" si="353"/>
        <v>2</v>
      </c>
      <c r="AD192" s="231">
        <f>'CD R Investigación'!$I192</f>
        <v>6</v>
      </c>
      <c r="AE192" s="195"/>
      <c r="AF192" s="230"/>
      <c r="AG192" s="232">
        <f>'CD R Investigación'!$L192</f>
        <v>2.64</v>
      </c>
      <c r="AH192" s="229">
        <f t="shared" si="354"/>
        <v>0</v>
      </c>
      <c r="AI192" s="231">
        <f>'CD R Desarrollo'!$I192</f>
        <v>0</v>
      </c>
      <c r="AJ192" s="200"/>
      <c r="AK192" s="185"/>
      <c r="AL192" s="232">
        <f>'CD R Desarrollo'!$L192</f>
        <v>0</v>
      </c>
      <c r="AM192" s="234">
        <v>1.0</v>
      </c>
      <c r="AN192" s="84">
        <f>'PL Cronograma detallado'!L192*AM192</f>
        <v>1.2</v>
      </c>
      <c r="AO192" s="234">
        <f>AN192/'PL Cronograma detallado'!M$238</f>
        <v>0.002035554349</v>
      </c>
      <c r="AP192" s="234">
        <f t="shared" si="355"/>
        <v>0.01175532637</v>
      </c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 t="shared" si="1"/>
        <v>2</v>
      </c>
      <c r="F193" s="80">
        <v>3.0</v>
      </c>
      <c r="G193" s="105">
        <f t="shared" si="2"/>
        <v>0.002583979328</v>
      </c>
      <c r="H193" s="47">
        <f t="shared" si="356"/>
        <v>0.7338501292</v>
      </c>
      <c r="I193" s="187">
        <f t="shared" si="348"/>
        <v>7</v>
      </c>
      <c r="J193" s="172">
        <f t="shared" si="357"/>
        <v>2424</v>
      </c>
      <c r="K193" s="115">
        <f t="shared" si="3"/>
        <v>0.8253319714</v>
      </c>
      <c r="L193" s="191">
        <f t="shared" si="349"/>
        <v>3.25</v>
      </c>
      <c r="M193" s="172">
        <f t="shared" si="358"/>
        <v>1085.6</v>
      </c>
      <c r="N193" s="47">
        <f t="shared" si="4"/>
        <v>0.002583979328</v>
      </c>
      <c r="O193" s="47">
        <f t="shared" si="16"/>
        <v>0.7338501292</v>
      </c>
      <c r="P193" s="7"/>
      <c r="Q193" s="7"/>
      <c r="R193" s="7"/>
      <c r="S193" s="229">
        <f t="shared" si="350"/>
        <v>0.3333333333</v>
      </c>
      <c r="T193" s="194">
        <v>1.0</v>
      </c>
      <c r="U193" s="195"/>
      <c r="V193" s="230">
        <f>Roles!$D$2</f>
        <v>0.61</v>
      </c>
      <c r="W193" s="230">
        <f t="shared" si="351"/>
        <v>0.61</v>
      </c>
      <c r="X193" s="229">
        <f t="shared" si="352"/>
        <v>0.6666666667</v>
      </c>
      <c r="Y193" s="231">
        <f>'CD R Documentación'!$I193</f>
        <v>2</v>
      </c>
      <c r="Z193" s="195"/>
      <c r="AA193" s="230"/>
      <c r="AB193" s="232">
        <f>'CD R Documentación'!$L193</f>
        <v>0.88</v>
      </c>
      <c r="AC193" s="229">
        <f t="shared" si="353"/>
        <v>1.333333333</v>
      </c>
      <c r="AD193" s="231">
        <f>'CD R Investigación'!$I193</f>
        <v>4</v>
      </c>
      <c r="AE193" s="195"/>
      <c r="AF193" s="230"/>
      <c r="AG193" s="232">
        <f>'CD R Investigación'!$L193</f>
        <v>1.76</v>
      </c>
      <c r="AH193" s="229">
        <f t="shared" si="354"/>
        <v>0</v>
      </c>
      <c r="AI193" s="231">
        <f>'CD R Desarrollo'!$I193</f>
        <v>0</v>
      </c>
      <c r="AJ193" s="200"/>
      <c r="AK193" s="185"/>
      <c r="AL193" s="232">
        <f>'CD R Desarrollo'!$L193</f>
        <v>0</v>
      </c>
      <c r="AM193" s="234">
        <v>1.0</v>
      </c>
      <c r="AN193" s="84">
        <f>'PL Cronograma detallado'!L193*AM193</f>
        <v>1.75</v>
      </c>
      <c r="AO193" s="234">
        <f>AN193/'PL Cronograma detallado'!M$238</f>
        <v>0.002968516759</v>
      </c>
      <c r="AP193" s="234">
        <f t="shared" si="355"/>
        <v>0.01472384313</v>
      </c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 t="shared" si="1"/>
        <v>8</v>
      </c>
      <c r="F194" s="246">
        <f>SUM(F195:F197)</f>
        <v>71</v>
      </c>
      <c r="G194" s="105">
        <f t="shared" si="2"/>
        <v>0.06115417743</v>
      </c>
      <c r="H194" s="226">
        <f>H197</f>
        <v>0.7950043066</v>
      </c>
      <c r="I194" s="247">
        <f>SUM(I195:I197)</f>
        <v>80</v>
      </c>
      <c r="J194" s="247">
        <f>J197</f>
        <v>2504</v>
      </c>
      <c r="K194" s="167">
        <f t="shared" si="3"/>
        <v>0.8525706503</v>
      </c>
      <c r="L194" s="247">
        <f>SUM(L195:L197)</f>
        <v>36.05</v>
      </c>
      <c r="M194" s="247">
        <f>M197</f>
        <v>1121.65</v>
      </c>
      <c r="N194" s="47">
        <f t="shared" si="4"/>
        <v>0</v>
      </c>
      <c r="O194" s="47">
        <f t="shared" si="16"/>
        <v>0.7338501292</v>
      </c>
      <c r="P194" s="7"/>
      <c r="Q194" s="7"/>
      <c r="R194" s="7"/>
      <c r="S194" s="264"/>
      <c r="T194" s="174"/>
      <c r="U194" s="178"/>
      <c r="V194" s="178"/>
      <c r="W194" s="178"/>
      <c r="X194" s="178"/>
      <c r="Y194" s="231"/>
      <c r="Z194" s="178"/>
      <c r="AA194" s="178"/>
      <c r="AB194" s="232"/>
      <c r="AC194" s="178"/>
      <c r="AD194" s="231"/>
      <c r="AE194" s="178"/>
      <c r="AF194" s="178"/>
      <c r="AG194" s="232"/>
      <c r="AH194" s="173"/>
      <c r="AI194" s="231"/>
      <c r="AJ194" s="180"/>
      <c r="AK194" s="180"/>
      <c r="AL194" s="232"/>
      <c r="AM194" s="234"/>
      <c r="AN194" s="84"/>
      <c r="AO194" s="234"/>
      <c r="AP194" s="234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 t="shared" si="1"/>
        <v>4</v>
      </c>
      <c r="F195" s="80">
        <v>35.0</v>
      </c>
      <c r="G195" s="105">
        <f t="shared" si="2"/>
        <v>0.0301464255</v>
      </c>
      <c r="H195" s="47">
        <f>H193+G195</f>
        <v>0.7639965547</v>
      </c>
      <c r="I195" s="187">
        <f t="shared" ref="I195:I197" si="359">T195+Y195+AD195+AI195</f>
        <v>38</v>
      </c>
      <c r="J195" s="172">
        <f>J193+I195</f>
        <v>2462</v>
      </c>
      <c r="K195" s="115">
        <f t="shared" si="3"/>
        <v>0.8382703439</v>
      </c>
      <c r="L195" s="191">
        <f t="shared" ref="L195:L197" si="360">W195+AB195+AG195+AL195</f>
        <v>17.06</v>
      </c>
      <c r="M195" s="172">
        <f>M193+L195</f>
        <v>1102.66</v>
      </c>
      <c r="N195" s="47">
        <f t="shared" si="4"/>
        <v>0.0301464255</v>
      </c>
      <c r="O195" s="47">
        <f t="shared" si="16"/>
        <v>0.7639965547</v>
      </c>
      <c r="P195" s="7"/>
      <c r="Q195" s="7"/>
      <c r="R195" s="7"/>
      <c r="S195" s="229">
        <f t="shared" ref="S195:S197" si="361">T195/$F195</f>
        <v>0.05714285714</v>
      </c>
      <c r="T195" s="194">
        <v>2.0</v>
      </c>
      <c r="U195" s="195"/>
      <c r="V195" s="230">
        <f>Roles!$D$2</f>
        <v>0.61</v>
      </c>
      <c r="W195" s="230">
        <f t="shared" ref="W195:W197" si="362">V195*T195</f>
        <v>1.22</v>
      </c>
      <c r="X195" s="229">
        <f t="shared" ref="X195:X197" si="363">Y195/$F195</f>
        <v>0</v>
      </c>
      <c r="Y195" s="231">
        <f>'CD R Documentación'!$I195</f>
        <v>0</v>
      </c>
      <c r="Z195" s="195"/>
      <c r="AA195" s="195"/>
      <c r="AB195" s="232">
        <f>'CD R Documentación'!$L195</f>
        <v>0</v>
      </c>
      <c r="AC195" s="229">
        <f t="shared" ref="AC195:AC197" si="364">AD195/$F195</f>
        <v>0</v>
      </c>
      <c r="AD195" s="231">
        <f>'CD R Investigación'!$I195</f>
        <v>0</v>
      </c>
      <c r="AE195" s="195"/>
      <c r="AF195" s="195"/>
      <c r="AG195" s="232">
        <f>'CD R Investigación'!$L195</f>
        <v>0</v>
      </c>
      <c r="AH195" s="229">
        <f t="shared" ref="AH195:AH197" si="365">AI195/$F195</f>
        <v>1.028571429</v>
      </c>
      <c r="AI195" s="231">
        <f>'CD R Desarrollo'!$I195</f>
        <v>36</v>
      </c>
      <c r="AJ195" s="200"/>
      <c r="AK195" s="200"/>
      <c r="AL195" s="232">
        <f>'CD R Desarrollo'!$L195</f>
        <v>15.84</v>
      </c>
      <c r="AM195" s="234">
        <v>1.0</v>
      </c>
      <c r="AN195" s="84">
        <f>'PL Cronograma detallado'!L195*AM195</f>
        <v>6.86</v>
      </c>
      <c r="AO195" s="234">
        <f>AN195/'PL Cronograma detallado'!M$238</f>
        <v>0.0116365857</v>
      </c>
      <c r="AP195" s="234">
        <f t="shared" ref="AP195:AP197" si="366">AO195+AP194</f>
        <v>0.0116365857</v>
      </c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 t="shared" si="1"/>
        <v>1</v>
      </c>
      <c r="F196" s="80">
        <v>1.0</v>
      </c>
      <c r="G196" s="105">
        <f t="shared" si="2"/>
        <v>0.0008613264427</v>
      </c>
      <c r="H196" s="186">
        <f t="shared" ref="H196:H197" si="367">H195+G196</f>
        <v>0.7648578811</v>
      </c>
      <c r="I196" s="187">
        <f t="shared" si="359"/>
        <v>4</v>
      </c>
      <c r="J196" s="233">
        <f t="shared" ref="J196:J197" si="368">J195+I196</f>
        <v>2466</v>
      </c>
      <c r="K196" s="340">
        <f t="shared" si="3"/>
        <v>0.8396322778</v>
      </c>
      <c r="L196" s="191">
        <f t="shared" si="360"/>
        <v>1.93</v>
      </c>
      <c r="M196" s="233">
        <f t="shared" ref="M196:M197" si="369">M195+L196</f>
        <v>1104.59</v>
      </c>
      <c r="N196" s="47">
        <f t="shared" si="4"/>
        <v>0.0008613264427</v>
      </c>
      <c r="O196" s="47">
        <f t="shared" si="16"/>
        <v>0.7648578811</v>
      </c>
      <c r="P196" s="7"/>
      <c r="Q196" s="7"/>
      <c r="R196" s="7"/>
      <c r="S196" s="229">
        <f t="shared" si="361"/>
        <v>1</v>
      </c>
      <c r="T196" s="194">
        <v>1.0</v>
      </c>
      <c r="U196" s="195"/>
      <c r="V196" s="230">
        <f>Roles!$D$2</f>
        <v>0.61</v>
      </c>
      <c r="W196" s="230">
        <f t="shared" si="362"/>
        <v>0.61</v>
      </c>
      <c r="X196" s="229">
        <f t="shared" si="363"/>
        <v>1</v>
      </c>
      <c r="Y196" s="231">
        <f>'CD R Documentación'!$I196</f>
        <v>1</v>
      </c>
      <c r="Z196" s="195"/>
      <c r="AA196" s="195"/>
      <c r="AB196" s="232">
        <f>'CD R Documentación'!$L196</f>
        <v>0.44</v>
      </c>
      <c r="AC196" s="229">
        <f t="shared" si="364"/>
        <v>1</v>
      </c>
      <c r="AD196" s="231">
        <f>'CD R Investigación'!$I196</f>
        <v>1</v>
      </c>
      <c r="AE196" s="195"/>
      <c r="AF196" s="195"/>
      <c r="AG196" s="232">
        <f>'CD R Investigación'!$L196</f>
        <v>0.44</v>
      </c>
      <c r="AH196" s="229">
        <f t="shared" si="365"/>
        <v>1</v>
      </c>
      <c r="AI196" s="231">
        <f>'CD R Desarrollo'!$I196</f>
        <v>1</v>
      </c>
      <c r="AJ196" s="200"/>
      <c r="AK196" s="200"/>
      <c r="AL196" s="232">
        <f>'CD R Desarrollo'!$L196</f>
        <v>0.44</v>
      </c>
      <c r="AM196" s="234">
        <v>1.0</v>
      </c>
      <c r="AN196" s="84">
        <f>'PL Cronograma detallado'!L196*AM196</f>
        <v>1.93</v>
      </c>
      <c r="AO196" s="234">
        <f>AN196/'PL Cronograma detallado'!M$238</f>
        <v>0.003273849912</v>
      </c>
      <c r="AP196" s="234">
        <f t="shared" si="366"/>
        <v>0.01491043561</v>
      </c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 t="shared" si="1"/>
        <v>4</v>
      </c>
      <c r="F197" s="80">
        <v>35.0</v>
      </c>
      <c r="G197" s="105">
        <f t="shared" si="2"/>
        <v>0.0301464255</v>
      </c>
      <c r="H197" s="186">
        <f t="shared" si="367"/>
        <v>0.7950043066</v>
      </c>
      <c r="I197" s="187">
        <f t="shared" si="359"/>
        <v>38</v>
      </c>
      <c r="J197" s="233">
        <f t="shared" si="368"/>
        <v>2504</v>
      </c>
      <c r="K197" s="340">
        <f t="shared" si="3"/>
        <v>0.8525706503</v>
      </c>
      <c r="L197" s="191">
        <f t="shared" si="360"/>
        <v>17.06</v>
      </c>
      <c r="M197" s="233">
        <f t="shared" si="369"/>
        <v>1121.65</v>
      </c>
      <c r="N197" s="47">
        <f t="shared" si="4"/>
        <v>0.0301464255</v>
      </c>
      <c r="O197" s="47">
        <f t="shared" si="16"/>
        <v>0.7950043066</v>
      </c>
      <c r="P197" s="7"/>
      <c r="Q197" s="7"/>
      <c r="R197" s="7"/>
      <c r="S197" s="229">
        <f t="shared" si="361"/>
        <v>0.05714285714</v>
      </c>
      <c r="T197" s="194">
        <v>2.0</v>
      </c>
      <c r="U197" s="195"/>
      <c r="V197" s="230">
        <f>Roles!$D$2</f>
        <v>0.61</v>
      </c>
      <c r="W197" s="230">
        <f t="shared" si="362"/>
        <v>1.22</v>
      </c>
      <c r="X197" s="229">
        <f t="shared" si="363"/>
        <v>0</v>
      </c>
      <c r="Y197" s="231">
        <f>'CD R Documentación'!$I197</f>
        <v>0</v>
      </c>
      <c r="Z197" s="195"/>
      <c r="AA197" s="195"/>
      <c r="AB197" s="232">
        <f>'CD R Documentación'!$L197</f>
        <v>0</v>
      </c>
      <c r="AC197" s="229">
        <f t="shared" si="364"/>
        <v>0</v>
      </c>
      <c r="AD197" s="231">
        <f>'CD R Investigación'!$I197</f>
        <v>0</v>
      </c>
      <c r="AE197" s="195"/>
      <c r="AF197" s="195"/>
      <c r="AG197" s="232">
        <f>'CD R Investigación'!$L197</f>
        <v>0</v>
      </c>
      <c r="AH197" s="229">
        <f t="shared" si="365"/>
        <v>1.028571429</v>
      </c>
      <c r="AI197" s="231">
        <f>'CD R Desarrollo'!$I197</f>
        <v>36</v>
      </c>
      <c r="AJ197" s="200"/>
      <c r="AK197" s="200"/>
      <c r="AL197" s="232">
        <f>'CD R Desarrollo'!$L197</f>
        <v>15.84</v>
      </c>
      <c r="AM197" s="234">
        <v>1.0</v>
      </c>
      <c r="AN197" s="84">
        <f>'PL Cronograma detallado'!L197*AM197</f>
        <v>6.86</v>
      </c>
      <c r="AO197" s="234">
        <f>AN197/'PL Cronograma detallado'!M$238</f>
        <v>0.0116365857</v>
      </c>
      <c r="AP197" s="234">
        <f t="shared" si="366"/>
        <v>0.02654702131</v>
      </c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 t="shared" si="1"/>
        <v>7</v>
      </c>
      <c r="F198" s="246">
        <f>SUM(F199:F201)</f>
        <v>61</v>
      </c>
      <c r="G198" s="105">
        <f t="shared" si="2"/>
        <v>0.05254091301</v>
      </c>
      <c r="H198" s="226">
        <f>H201</f>
        <v>0.8475452196</v>
      </c>
      <c r="I198" s="247">
        <f>SUM(I199:I201)</f>
        <v>80</v>
      </c>
      <c r="J198" s="247">
        <f>J201</f>
        <v>2584</v>
      </c>
      <c r="K198" s="167">
        <f t="shared" si="3"/>
        <v>0.8798093292</v>
      </c>
      <c r="L198" s="247">
        <f>SUM(L199:L201)</f>
        <v>36.05</v>
      </c>
      <c r="M198" s="247">
        <f>M201</f>
        <v>1157.7</v>
      </c>
      <c r="N198" s="47">
        <f t="shared" si="4"/>
        <v>0</v>
      </c>
      <c r="O198" s="47">
        <f t="shared" si="16"/>
        <v>0.7950043066</v>
      </c>
      <c r="P198" s="7"/>
      <c r="Q198" s="7"/>
      <c r="R198" s="7"/>
      <c r="S198" s="264"/>
      <c r="T198" s="174"/>
      <c r="U198" s="178"/>
      <c r="V198" s="178"/>
      <c r="W198" s="178"/>
      <c r="X198" s="178"/>
      <c r="Y198" s="231"/>
      <c r="Z198" s="178"/>
      <c r="AA198" s="178"/>
      <c r="AB198" s="232"/>
      <c r="AC198" s="178"/>
      <c r="AD198" s="231"/>
      <c r="AE198" s="178"/>
      <c r="AF198" s="178"/>
      <c r="AG198" s="232"/>
      <c r="AH198" s="173"/>
      <c r="AI198" s="231"/>
      <c r="AJ198" s="180"/>
      <c r="AK198" s="180"/>
      <c r="AL198" s="232"/>
      <c r="AM198" s="234"/>
      <c r="AN198" s="84"/>
      <c r="AO198" s="234"/>
      <c r="AP198" s="234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 t="shared" si="1"/>
        <v>1</v>
      </c>
      <c r="F199" s="80">
        <v>1.0</v>
      </c>
      <c r="G199" s="105">
        <f t="shared" si="2"/>
        <v>0.0008613264427</v>
      </c>
      <c r="H199" s="47">
        <f>H197+G199</f>
        <v>0.7958656331</v>
      </c>
      <c r="I199" s="187">
        <f t="shared" ref="I199:I201" si="370">T199+Y199+AD199+AI199</f>
        <v>4</v>
      </c>
      <c r="J199" s="172">
        <f>J197+I199</f>
        <v>2508</v>
      </c>
      <c r="K199" s="115">
        <f t="shared" si="3"/>
        <v>0.8539325843</v>
      </c>
      <c r="L199" s="191">
        <f t="shared" ref="L199:L201" si="371">W199+AB199+AG199+AL199</f>
        <v>1.93</v>
      </c>
      <c r="M199" s="172">
        <f>M197+L199</f>
        <v>1123.58</v>
      </c>
      <c r="N199" s="47">
        <f t="shared" si="4"/>
        <v>0.0008613264427</v>
      </c>
      <c r="O199" s="47">
        <f t="shared" si="16"/>
        <v>0.7958656331</v>
      </c>
      <c r="P199" s="7"/>
      <c r="Q199" s="7"/>
      <c r="R199" s="7"/>
      <c r="S199" s="229">
        <f t="shared" ref="S199:S201" si="372">T199/$F199</f>
        <v>1</v>
      </c>
      <c r="T199" s="194">
        <v>1.0</v>
      </c>
      <c r="U199" s="195"/>
      <c r="V199" s="230">
        <f>Roles!$D$2</f>
        <v>0.61</v>
      </c>
      <c r="W199" s="230">
        <f t="shared" ref="W199:W201" si="373">V199*T199</f>
        <v>0.61</v>
      </c>
      <c r="X199" s="229">
        <f t="shared" ref="X199:X201" si="374">Y199/$F199</f>
        <v>1</v>
      </c>
      <c r="Y199" s="231">
        <f>'CD R Documentación'!$I199</f>
        <v>1</v>
      </c>
      <c r="Z199" s="195"/>
      <c r="AA199" s="195"/>
      <c r="AB199" s="232">
        <f>'CD R Documentación'!$L199</f>
        <v>0.44</v>
      </c>
      <c r="AC199" s="229">
        <f t="shared" ref="AC199:AC201" si="375">AD199/$F199</f>
        <v>1</v>
      </c>
      <c r="AD199" s="231">
        <f>'CD R Investigación'!$I199</f>
        <v>1</v>
      </c>
      <c r="AE199" s="195"/>
      <c r="AF199" s="195"/>
      <c r="AG199" s="232">
        <f>'CD R Investigación'!$L199</f>
        <v>0.44</v>
      </c>
      <c r="AH199" s="229">
        <f t="shared" ref="AH199:AH201" si="376">AI199/$F199</f>
        <v>1</v>
      </c>
      <c r="AI199" s="231">
        <f>'CD R Desarrollo'!$I199</f>
        <v>1</v>
      </c>
      <c r="AJ199" s="200"/>
      <c r="AK199" s="200"/>
      <c r="AL199" s="232">
        <f>'CD R Desarrollo'!$L199</f>
        <v>0.44</v>
      </c>
      <c r="AM199" s="234">
        <v>1.0</v>
      </c>
      <c r="AN199" s="84">
        <f>'PL Cronograma detallado'!L199*AM199</f>
        <v>1.93</v>
      </c>
      <c r="AO199" s="234">
        <f>AN199/'PL Cronograma detallado'!M$238</f>
        <v>0.003273849912</v>
      </c>
      <c r="AP199" s="234">
        <f t="shared" ref="AP199:AP201" si="377">AO199+AP198</f>
        <v>0.003273849912</v>
      </c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 t="shared" si="1"/>
        <v>4</v>
      </c>
      <c r="F200" s="80">
        <v>30.0</v>
      </c>
      <c r="G200" s="105">
        <f t="shared" si="2"/>
        <v>0.02583979328</v>
      </c>
      <c r="H200" s="186">
        <f t="shared" ref="H200:H201" si="378">H199+G200</f>
        <v>0.8217054264</v>
      </c>
      <c r="I200" s="187">
        <f t="shared" si="370"/>
        <v>38</v>
      </c>
      <c r="J200" s="233">
        <f t="shared" ref="J200:J201" si="379">J199+I200</f>
        <v>2546</v>
      </c>
      <c r="K200" s="340">
        <f t="shared" si="3"/>
        <v>0.8668709568</v>
      </c>
      <c r="L200" s="191">
        <f t="shared" si="371"/>
        <v>17.06</v>
      </c>
      <c r="M200" s="233">
        <f t="shared" ref="M200:M201" si="380">M199+L200</f>
        <v>1140.64</v>
      </c>
      <c r="N200" s="47">
        <f t="shared" si="4"/>
        <v>0.02583979328</v>
      </c>
      <c r="O200" s="47">
        <f t="shared" si="16"/>
        <v>0.8217054264</v>
      </c>
      <c r="P200" s="7"/>
      <c r="Q200" s="7"/>
      <c r="R200" s="7"/>
      <c r="S200" s="229">
        <f t="shared" si="372"/>
        <v>0.06666666667</v>
      </c>
      <c r="T200" s="194">
        <v>2.0</v>
      </c>
      <c r="U200" s="195"/>
      <c r="V200" s="230">
        <f>Roles!$D$2</f>
        <v>0.61</v>
      </c>
      <c r="W200" s="230">
        <f t="shared" si="373"/>
        <v>1.22</v>
      </c>
      <c r="X200" s="229">
        <f t="shared" si="374"/>
        <v>0</v>
      </c>
      <c r="Y200" s="231">
        <f>'CD R Documentación'!$I200</f>
        <v>0</v>
      </c>
      <c r="Z200" s="195"/>
      <c r="AA200" s="195"/>
      <c r="AB200" s="232">
        <f>'CD R Documentación'!$L200</f>
        <v>0</v>
      </c>
      <c r="AC200" s="229">
        <f t="shared" si="375"/>
        <v>0</v>
      </c>
      <c r="AD200" s="231">
        <f>'CD R Investigación'!$I200</f>
        <v>0</v>
      </c>
      <c r="AE200" s="195"/>
      <c r="AF200" s="195"/>
      <c r="AG200" s="232">
        <f>'CD R Investigación'!$L200</f>
        <v>0</v>
      </c>
      <c r="AH200" s="229">
        <f t="shared" si="376"/>
        <v>1.2</v>
      </c>
      <c r="AI200" s="231">
        <f>'CD R Desarrollo'!$I200</f>
        <v>36</v>
      </c>
      <c r="AJ200" s="200"/>
      <c r="AK200" s="200"/>
      <c r="AL200" s="232">
        <f>'CD R Desarrollo'!$L200</f>
        <v>15.84</v>
      </c>
      <c r="AM200" s="234">
        <v>1.0</v>
      </c>
      <c r="AN200" s="84">
        <f>'PL Cronograma detallado'!L200*AM200</f>
        <v>6.86</v>
      </c>
      <c r="AO200" s="234">
        <f>AN200/'PL Cronograma detallado'!M$238</f>
        <v>0.0116365857</v>
      </c>
      <c r="AP200" s="234">
        <f t="shared" si="377"/>
        <v>0.01491043561</v>
      </c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 t="shared" si="1"/>
        <v>3</v>
      </c>
      <c r="F201" s="80">
        <v>30.0</v>
      </c>
      <c r="G201" s="105">
        <f t="shared" si="2"/>
        <v>0.02583979328</v>
      </c>
      <c r="H201" s="186">
        <f t="shared" si="378"/>
        <v>0.8475452196</v>
      </c>
      <c r="I201" s="187">
        <f t="shared" si="370"/>
        <v>38</v>
      </c>
      <c r="J201" s="233">
        <f t="shared" si="379"/>
        <v>2584</v>
      </c>
      <c r="K201" s="340">
        <f t="shared" si="3"/>
        <v>0.8798093292</v>
      </c>
      <c r="L201" s="191">
        <f t="shared" si="371"/>
        <v>17.06</v>
      </c>
      <c r="M201" s="233">
        <f t="shared" si="380"/>
        <v>1157.7</v>
      </c>
      <c r="N201" s="47">
        <f t="shared" si="4"/>
        <v>0.02583979328</v>
      </c>
      <c r="O201" s="47">
        <f t="shared" si="16"/>
        <v>0.8475452196</v>
      </c>
      <c r="P201" s="7"/>
      <c r="Q201" s="7"/>
      <c r="R201" s="7"/>
      <c r="S201" s="229">
        <f t="shared" si="372"/>
        <v>0.06666666667</v>
      </c>
      <c r="T201" s="194">
        <v>2.0</v>
      </c>
      <c r="U201" s="195"/>
      <c r="V201" s="230">
        <f>Roles!$D$2</f>
        <v>0.61</v>
      </c>
      <c r="W201" s="230">
        <f t="shared" si="373"/>
        <v>1.22</v>
      </c>
      <c r="X201" s="229">
        <f t="shared" si="374"/>
        <v>0</v>
      </c>
      <c r="Y201" s="231">
        <f>'CD R Documentación'!$I201</f>
        <v>0</v>
      </c>
      <c r="Z201" s="195"/>
      <c r="AA201" s="195"/>
      <c r="AB201" s="232">
        <f>'CD R Documentación'!$L201</f>
        <v>0</v>
      </c>
      <c r="AC201" s="229">
        <f t="shared" si="375"/>
        <v>0</v>
      </c>
      <c r="AD201" s="231">
        <f>'CD R Investigación'!$I201</f>
        <v>0</v>
      </c>
      <c r="AE201" s="195"/>
      <c r="AF201" s="195"/>
      <c r="AG201" s="232">
        <f>'CD R Investigación'!$L201</f>
        <v>0</v>
      </c>
      <c r="AH201" s="229">
        <f t="shared" si="376"/>
        <v>1.2</v>
      </c>
      <c r="AI201" s="231">
        <f>'CD R Desarrollo'!$I201</f>
        <v>36</v>
      </c>
      <c r="AJ201" s="195"/>
      <c r="AK201" s="200"/>
      <c r="AL201" s="232">
        <f>'CD R Desarrollo'!$L201</f>
        <v>15.84</v>
      </c>
      <c r="AM201" s="234">
        <v>1.0</v>
      </c>
      <c r="AN201" s="84">
        <f>'PL Cronograma detallado'!L201*AM201</f>
        <v>6.86</v>
      </c>
      <c r="AO201" s="234">
        <f>AN201/'PL Cronograma detallado'!M$238</f>
        <v>0.0116365857</v>
      </c>
      <c r="AP201" s="234">
        <f t="shared" si="377"/>
        <v>0.02654702131</v>
      </c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 t="shared" si="1"/>
        <v>3</v>
      </c>
      <c r="F202" s="246">
        <f>SUM(F203:F205)</f>
        <v>31</v>
      </c>
      <c r="G202" s="105">
        <f t="shared" si="2"/>
        <v>0.02670111972</v>
      </c>
      <c r="H202" s="226">
        <f>H205</f>
        <v>0.8742463394</v>
      </c>
      <c r="I202" s="247">
        <f>SUM(I203:I205)</f>
        <v>43</v>
      </c>
      <c r="J202" s="247">
        <f>J205</f>
        <v>2627</v>
      </c>
      <c r="K202" s="167">
        <f t="shared" si="3"/>
        <v>0.8944501192</v>
      </c>
      <c r="L202" s="247">
        <f>SUM(L203:L205)</f>
        <v>19.6</v>
      </c>
      <c r="M202" s="247">
        <f>M205</f>
        <v>1177.3</v>
      </c>
      <c r="N202" s="47">
        <f t="shared" si="4"/>
        <v>0</v>
      </c>
      <c r="O202" s="47">
        <f t="shared" si="16"/>
        <v>0.8475452196</v>
      </c>
      <c r="P202" s="7"/>
      <c r="Q202" s="7"/>
      <c r="R202" s="7"/>
      <c r="S202" s="264"/>
      <c r="T202" s="174"/>
      <c r="U202" s="178"/>
      <c r="V202" s="178"/>
      <c r="W202" s="178"/>
      <c r="X202" s="178"/>
      <c r="Y202" s="231"/>
      <c r="Z202" s="178"/>
      <c r="AA202" s="178"/>
      <c r="AB202" s="232"/>
      <c r="AC202" s="178"/>
      <c r="AD202" s="231"/>
      <c r="AE202" s="178"/>
      <c r="AF202" s="178"/>
      <c r="AG202" s="232"/>
      <c r="AH202" s="173"/>
      <c r="AI202" s="231"/>
      <c r="AJ202" s="180"/>
      <c r="AK202" s="180"/>
      <c r="AL202" s="232"/>
      <c r="AM202" s="234"/>
      <c r="AN202" s="84"/>
      <c r="AO202" s="234"/>
      <c r="AP202" s="234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 t="shared" si="1"/>
        <v>1</v>
      </c>
      <c r="F203" s="80">
        <v>1.0</v>
      </c>
      <c r="G203" s="105">
        <f t="shared" si="2"/>
        <v>0.0008613264427</v>
      </c>
      <c r="H203" s="47">
        <f>H201+G203</f>
        <v>0.8484065461</v>
      </c>
      <c r="I203" s="187">
        <f t="shared" ref="I203:I205" si="381">T203+Y203+AD203+AI203</f>
        <v>4</v>
      </c>
      <c r="J203" s="172">
        <f>J201+I203</f>
        <v>2588</v>
      </c>
      <c r="K203" s="115">
        <f t="shared" si="3"/>
        <v>0.8811712632</v>
      </c>
      <c r="L203" s="191">
        <f t="shared" ref="L203:L205" si="382">W203+AB203+AG203+AL203</f>
        <v>1.93</v>
      </c>
      <c r="M203" s="172">
        <f>M201+L203</f>
        <v>1159.63</v>
      </c>
      <c r="N203" s="47">
        <f t="shared" si="4"/>
        <v>0.0008613264427</v>
      </c>
      <c r="O203" s="47">
        <f t="shared" si="16"/>
        <v>0.8484065461</v>
      </c>
      <c r="P203" s="7"/>
      <c r="Q203" s="7"/>
      <c r="R203" s="7"/>
      <c r="S203" s="229">
        <f t="shared" ref="S203:S205" si="383">T203/$F203</f>
        <v>1</v>
      </c>
      <c r="T203" s="194">
        <v>1.0</v>
      </c>
      <c r="U203" s="195"/>
      <c r="V203" s="230">
        <f>Roles!$D$2</f>
        <v>0.61</v>
      </c>
      <c r="W203" s="230">
        <f t="shared" ref="W203:W205" si="384">V203*T203</f>
        <v>0.61</v>
      </c>
      <c r="X203" s="229">
        <f t="shared" ref="X203:X205" si="385">Y203/$F203</f>
        <v>1</v>
      </c>
      <c r="Y203" s="231">
        <f>'CD R Documentación'!$I203</f>
        <v>1</v>
      </c>
      <c r="Z203" s="195"/>
      <c r="AA203" s="195"/>
      <c r="AB203" s="232">
        <f>'CD R Documentación'!$L203</f>
        <v>0.44</v>
      </c>
      <c r="AC203" s="229">
        <f t="shared" ref="AC203:AC205" si="386">AD203/$F203</f>
        <v>1</v>
      </c>
      <c r="AD203" s="231">
        <f>'CD R Investigación'!$I203</f>
        <v>1</v>
      </c>
      <c r="AE203" s="195"/>
      <c r="AF203" s="195"/>
      <c r="AG203" s="232">
        <f>'CD R Investigación'!$L203</f>
        <v>0.44</v>
      </c>
      <c r="AH203" s="229">
        <f t="shared" ref="AH203:AH205" si="387">AI203/$F203</f>
        <v>1</v>
      </c>
      <c r="AI203" s="231">
        <f>'CD R Desarrollo'!$I203</f>
        <v>1</v>
      </c>
      <c r="AJ203" s="200"/>
      <c r="AK203" s="200"/>
      <c r="AL203" s="232">
        <f>'CD R Desarrollo'!$L203</f>
        <v>0.44</v>
      </c>
      <c r="AM203" s="234">
        <v>1.0</v>
      </c>
      <c r="AN203" s="84">
        <f>'PL Cronograma detallado'!L203*AM203</f>
        <v>1.93</v>
      </c>
      <c r="AO203" s="234">
        <f>AN203/'PL Cronograma detallado'!M$238</f>
        <v>0.003273849912</v>
      </c>
      <c r="AP203" s="234">
        <f t="shared" ref="AP203:AP205" si="388">AO203+AP202</f>
        <v>0.003273849912</v>
      </c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 t="shared" si="1"/>
        <v>2</v>
      </c>
      <c r="F204" s="80">
        <v>20.0</v>
      </c>
      <c r="G204" s="105">
        <f t="shared" si="2"/>
        <v>0.01722652885</v>
      </c>
      <c r="H204" s="186">
        <f t="shared" ref="H204:H205" si="389">H203+G204</f>
        <v>0.8656330749</v>
      </c>
      <c r="I204" s="187">
        <f t="shared" si="381"/>
        <v>26</v>
      </c>
      <c r="J204" s="233">
        <f t="shared" ref="J204:J205" si="390">J203+I204</f>
        <v>2614</v>
      </c>
      <c r="K204" s="340">
        <f t="shared" si="3"/>
        <v>0.8900238338</v>
      </c>
      <c r="L204" s="191">
        <f t="shared" si="382"/>
        <v>11.78</v>
      </c>
      <c r="M204" s="233">
        <f t="shared" ref="M204:M205" si="391">M203+L204</f>
        <v>1171.41</v>
      </c>
      <c r="N204" s="47">
        <f t="shared" si="4"/>
        <v>0.01722652885</v>
      </c>
      <c r="O204" s="47">
        <f t="shared" si="16"/>
        <v>0.8656330749</v>
      </c>
      <c r="P204" s="7"/>
      <c r="Q204" s="7"/>
      <c r="R204" s="7"/>
      <c r="S204" s="229">
        <f t="shared" si="383"/>
        <v>0.1</v>
      </c>
      <c r="T204" s="194">
        <v>2.0</v>
      </c>
      <c r="U204" s="195"/>
      <c r="V204" s="230">
        <f>Roles!$D$2</f>
        <v>0.61</v>
      </c>
      <c r="W204" s="230">
        <f t="shared" si="384"/>
        <v>1.22</v>
      </c>
      <c r="X204" s="229">
        <f t="shared" si="385"/>
        <v>0</v>
      </c>
      <c r="Y204" s="231">
        <f>'CD R Documentación'!$I204</f>
        <v>0</v>
      </c>
      <c r="Z204" s="195"/>
      <c r="AA204" s="195"/>
      <c r="AB204" s="232">
        <f>'CD R Documentación'!$L204</f>
        <v>0</v>
      </c>
      <c r="AC204" s="229">
        <f t="shared" si="386"/>
        <v>0</v>
      </c>
      <c r="AD204" s="231">
        <f>'CD R Investigación'!$I204</f>
        <v>0</v>
      </c>
      <c r="AE204" s="195"/>
      <c r="AF204" s="195"/>
      <c r="AG204" s="232">
        <f>'CD R Investigación'!$L204</f>
        <v>0</v>
      </c>
      <c r="AH204" s="229">
        <f t="shared" si="387"/>
        <v>1.2</v>
      </c>
      <c r="AI204" s="231">
        <f>'CD R Desarrollo'!$I204</f>
        <v>24</v>
      </c>
      <c r="AJ204" s="200"/>
      <c r="AK204" s="200"/>
      <c r="AL204" s="232">
        <f>'CD R Desarrollo'!$L204</f>
        <v>10.56</v>
      </c>
      <c r="AM204" s="234">
        <v>1.0</v>
      </c>
      <c r="AN204" s="84">
        <f>'PL Cronograma detallado'!L204*AM204</f>
        <v>4.98</v>
      </c>
      <c r="AO204" s="234">
        <f>AN204/'PL Cronograma detallado'!M$238</f>
        <v>0.00844755055</v>
      </c>
      <c r="AP204" s="234">
        <f t="shared" si="388"/>
        <v>0.01172140046</v>
      </c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 t="shared" si="1"/>
        <v>1</v>
      </c>
      <c r="F205" s="80">
        <v>10.0</v>
      </c>
      <c r="G205" s="105">
        <f t="shared" si="2"/>
        <v>0.008613264427</v>
      </c>
      <c r="H205" s="186">
        <f t="shared" si="389"/>
        <v>0.8742463394</v>
      </c>
      <c r="I205" s="187">
        <f t="shared" si="381"/>
        <v>13</v>
      </c>
      <c r="J205" s="233">
        <f t="shared" si="390"/>
        <v>2627</v>
      </c>
      <c r="K205" s="340">
        <f t="shared" si="3"/>
        <v>0.8944501192</v>
      </c>
      <c r="L205" s="191">
        <f t="shared" si="382"/>
        <v>5.89</v>
      </c>
      <c r="M205" s="233">
        <f t="shared" si="391"/>
        <v>1177.3</v>
      </c>
      <c r="N205" s="47">
        <f t="shared" si="4"/>
        <v>0.008613264427</v>
      </c>
      <c r="O205" s="47">
        <f t="shared" si="16"/>
        <v>0.8742463394</v>
      </c>
      <c r="P205" s="7"/>
      <c r="Q205" s="7"/>
      <c r="R205" s="7"/>
      <c r="S205" s="229">
        <f t="shared" si="383"/>
        <v>0.1</v>
      </c>
      <c r="T205" s="194">
        <v>1.0</v>
      </c>
      <c r="U205" s="195"/>
      <c r="V205" s="230">
        <f>Roles!$D$2</f>
        <v>0.61</v>
      </c>
      <c r="W205" s="230">
        <f t="shared" si="384"/>
        <v>0.61</v>
      </c>
      <c r="X205" s="229">
        <f t="shared" si="385"/>
        <v>0</v>
      </c>
      <c r="Y205" s="231">
        <f>'CD R Documentación'!$I205</f>
        <v>0</v>
      </c>
      <c r="Z205" s="195"/>
      <c r="AA205" s="195"/>
      <c r="AB205" s="232">
        <f>'CD R Documentación'!$L205</f>
        <v>0</v>
      </c>
      <c r="AC205" s="229">
        <f t="shared" si="386"/>
        <v>0</v>
      </c>
      <c r="AD205" s="231">
        <f>'CD R Investigación'!$I205</f>
        <v>0</v>
      </c>
      <c r="AE205" s="195"/>
      <c r="AF205" s="195"/>
      <c r="AG205" s="232">
        <f>'CD R Investigación'!$L205</f>
        <v>0</v>
      </c>
      <c r="AH205" s="229">
        <f t="shared" si="387"/>
        <v>1.2</v>
      </c>
      <c r="AI205" s="231">
        <f>'CD R Desarrollo'!$I205</f>
        <v>12</v>
      </c>
      <c r="AJ205" s="200"/>
      <c r="AK205" s="200"/>
      <c r="AL205" s="232">
        <f>'CD R Desarrollo'!$L205</f>
        <v>5.28</v>
      </c>
      <c r="AM205" s="234">
        <v>1.0</v>
      </c>
      <c r="AN205" s="84">
        <f>'PL Cronograma detallado'!L205*AM205</f>
        <v>2.49</v>
      </c>
      <c r="AO205" s="234">
        <f>AN205/'PL Cronograma detallado'!M$238</f>
        <v>0.004223775275</v>
      </c>
      <c r="AP205" s="234">
        <f t="shared" si="388"/>
        <v>0.01594517574</v>
      </c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 t="shared" si="1"/>
        <v>3</v>
      </c>
      <c r="F206" s="246">
        <f>SUM(F207:F211)</f>
        <v>27</v>
      </c>
      <c r="G206" s="105">
        <f t="shared" si="2"/>
        <v>0.02325581395</v>
      </c>
      <c r="H206" s="226">
        <f>H211</f>
        <v>0.8975021533</v>
      </c>
      <c r="I206" s="247">
        <f>SUM(I207:I211)</f>
        <v>75</v>
      </c>
      <c r="J206" s="247">
        <f>J211</f>
        <v>2702</v>
      </c>
      <c r="K206" s="167">
        <f t="shared" si="3"/>
        <v>0.9199863807</v>
      </c>
      <c r="L206" s="247">
        <f>SUM(L207:L211)</f>
        <v>33.85</v>
      </c>
      <c r="M206" s="247">
        <f>M211</f>
        <v>1211.15</v>
      </c>
      <c r="N206" s="47">
        <f t="shared" si="4"/>
        <v>0</v>
      </c>
      <c r="O206" s="47">
        <f t="shared" si="16"/>
        <v>0.8742463394</v>
      </c>
      <c r="P206" s="7"/>
      <c r="Q206" s="7"/>
      <c r="R206" s="7"/>
      <c r="S206" s="264"/>
      <c r="T206" s="174"/>
      <c r="U206" s="178"/>
      <c r="V206" s="178"/>
      <c r="W206" s="178"/>
      <c r="X206" s="178"/>
      <c r="Y206" s="231"/>
      <c r="Z206" s="178"/>
      <c r="AA206" s="178"/>
      <c r="AB206" s="232"/>
      <c r="AC206" s="178"/>
      <c r="AD206" s="231"/>
      <c r="AE206" s="178"/>
      <c r="AF206" s="178"/>
      <c r="AG206" s="232"/>
      <c r="AH206" s="173"/>
      <c r="AI206" s="231"/>
      <c r="AJ206" s="180"/>
      <c r="AK206" s="180"/>
      <c r="AL206" s="232"/>
      <c r="AM206" s="234"/>
      <c r="AN206" s="84"/>
      <c r="AO206" s="234"/>
      <c r="AP206" s="234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 t="shared" si="1"/>
        <v>2</v>
      </c>
      <c r="F207" s="80">
        <v>10.0</v>
      </c>
      <c r="G207" s="105">
        <f t="shared" si="2"/>
        <v>0.008613264427</v>
      </c>
      <c r="H207" s="47">
        <f>H205+G207</f>
        <v>0.8828596038</v>
      </c>
      <c r="I207" s="187">
        <f t="shared" ref="I207:I211" si="392">T207+Y207+AD207+AI207</f>
        <v>13</v>
      </c>
      <c r="J207" s="172">
        <f>J205+I207</f>
        <v>2640</v>
      </c>
      <c r="K207" s="115">
        <f t="shared" si="3"/>
        <v>0.8988764045</v>
      </c>
      <c r="L207" s="191">
        <f t="shared" ref="L207:L211" si="393">W207+AB207+AG207+AL207</f>
        <v>5.89</v>
      </c>
      <c r="M207" s="172">
        <f>M205+L207</f>
        <v>1183.19</v>
      </c>
      <c r="N207" s="47">
        <f t="shared" si="4"/>
        <v>0.008613264427</v>
      </c>
      <c r="O207" s="47">
        <f t="shared" si="16"/>
        <v>0.8828596038</v>
      </c>
      <c r="P207" s="7"/>
      <c r="Q207" s="7"/>
      <c r="R207" s="7"/>
      <c r="S207" s="229">
        <f t="shared" ref="S207:S211" si="394">T207/$F207</f>
        <v>0.1</v>
      </c>
      <c r="T207" s="194">
        <v>1.0</v>
      </c>
      <c r="U207" s="195"/>
      <c r="V207" s="230">
        <f>Roles!$D$2</f>
        <v>0.61</v>
      </c>
      <c r="W207" s="230">
        <f t="shared" ref="W207:W211" si="395">V207*T207</f>
        <v>0.61</v>
      </c>
      <c r="X207" s="229">
        <f t="shared" ref="X207:X211" si="396">Y207/$F207</f>
        <v>0</v>
      </c>
      <c r="Y207" s="231">
        <f>'CD R Documentación'!$I207</f>
        <v>0</v>
      </c>
      <c r="Z207" s="195"/>
      <c r="AA207" s="195"/>
      <c r="AB207" s="232">
        <f>'CD R Documentación'!$L207</f>
        <v>0</v>
      </c>
      <c r="AC207" s="229">
        <f t="shared" ref="AC207:AC211" si="397">AD207/$F207</f>
        <v>0</v>
      </c>
      <c r="AD207" s="231">
        <f>'CD R Investigación'!$I207</f>
        <v>0</v>
      </c>
      <c r="AE207" s="195"/>
      <c r="AF207" s="195"/>
      <c r="AG207" s="232">
        <f>'CD R Investigación'!$L207</f>
        <v>0</v>
      </c>
      <c r="AH207" s="229">
        <f t="shared" ref="AH207:AH211" si="398">AI207/$F207</f>
        <v>1.2</v>
      </c>
      <c r="AI207" s="231">
        <f>'CD R Desarrollo'!$I207</f>
        <v>12</v>
      </c>
      <c r="AJ207" s="200"/>
      <c r="AK207" s="200"/>
      <c r="AL207" s="232">
        <f>'CD R Desarrollo'!$L207</f>
        <v>5.28</v>
      </c>
      <c r="AM207" s="234">
        <v>1.0</v>
      </c>
      <c r="AN207" s="84">
        <f>'PL Cronograma detallado'!L207*AM207</f>
        <v>2.49</v>
      </c>
      <c r="AO207" s="234">
        <f>AN207/'PL Cronograma detallado'!M$238</f>
        <v>0.004223775275</v>
      </c>
      <c r="AP207" s="234">
        <f t="shared" ref="AP207:AP211" si="399">AO207+AP206</f>
        <v>0.004223775275</v>
      </c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 t="shared" si="1"/>
        <v>2</v>
      </c>
      <c r="F208" s="80">
        <v>3.0</v>
      </c>
      <c r="G208" s="105">
        <f t="shared" si="2"/>
        <v>0.002583979328</v>
      </c>
      <c r="H208" s="47">
        <f t="shared" ref="H208:H212" si="400">H207+G208</f>
        <v>0.8854435831</v>
      </c>
      <c r="I208" s="187">
        <f t="shared" si="392"/>
        <v>9</v>
      </c>
      <c r="J208" s="172">
        <f t="shared" ref="J208:J212" si="401">J207+I208</f>
        <v>2649</v>
      </c>
      <c r="K208" s="115">
        <f t="shared" si="3"/>
        <v>0.9019407559</v>
      </c>
      <c r="L208" s="191">
        <f t="shared" si="393"/>
        <v>4.13</v>
      </c>
      <c r="M208" s="172">
        <f t="shared" ref="M208:M212" si="402">M207+L208</f>
        <v>1187.32</v>
      </c>
      <c r="N208" s="47">
        <f t="shared" si="4"/>
        <v>0.002583979328</v>
      </c>
      <c r="O208" s="47">
        <f t="shared" si="16"/>
        <v>0.8854435831</v>
      </c>
      <c r="P208" s="7"/>
      <c r="Q208" s="7"/>
      <c r="R208" s="7"/>
      <c r="S208" s="229">
        <f t="shared" si="394"/>
        <v>0.3333333333</v>
      </c>
      <c r="T208" s="194">
        <v>1.0</v>
      </c>
      <c r="U208" s="195"/>
      <c r="V208" s="230">
        <f>Roles!$D$2</f>
        <v>0.61</v>
      </c>
      <c r="W208" s="230">
        <f t="shared" si="395"/>
        <v>0.61</v>
      </c>
      <c r="X208" s="229">
        <f t="shared" si="396"/>
        <v>0.6666666667</v>
      </c>
      <c r="Y208" s="231">
        <f>'CD R Documentación'!$I208</f>
        <v>2</v>
      </c>
      <c r="Z208" s="195"/>
      <c r="AA208" s="230"/>
      <c r="AB208" s="232">
        <f>'CD R Documentación'!$L208</f>
        <v>0.88</v>
      </c>
      <c r="AC208" s="229">
        <f t="shared" si="397"/>
        <v>0</v>
      </c>
      <c r="AD208" s="231">
        <f>'CD R Investigación'!$I208</f>
        <v>0</v>
      </c>
      <c r="AE208" s="195"/>
      <c r="AF208" s="230"/>
      <c r="AG208" s="232">
        <f>'CD R Investigación'!$L208</f>
        <v>0</v>
      </c>
      <c r="AH208" s="229">
        <f t="shared" si="398"/>
        <v>2</v>
      </c>
      <c r="AI208" s="231">
        <f>'CD R Desarrollo'!$I208</f>
        <v>6</v>
      </c>
      <c r="AJ208" s="200"/>
      <c r="AK208" s="185"/>
      <c r="AL208" s="232">
        <f>'CD R Desarrollo'!$L208</f>
        <v>2.64</v>
      </c>
      <c r="AM208" s="234">
        <v>1.0</v>
      </c>
      <c r="AN208" s="84">
        <f>'PL Cronograma detallado'!L208*AM208</f>
        <v>2.03</v>
      </c>
      <c r="AO208" s="234">
        <f>AN208/'PL Cronograma detallado'!M$238</f>
        <v>0.003443479441</v>
      </c>
      <c r="AP208" s="234">
        <f t="shared" si="399"/>
        <v>0.007667254716</v>
      </c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 t="shared" si="1"/>
        <v>1</v>
      </c>
      <c r="F209" s="80">
        <v>2.0</v>
      </c>
      <c r="G209" s="105">
        <f t="shared" si="2"/>
        <v>0.001722652885</v>
      </c>
      <c r="H209" s="47">
        <f t="shared" si="400"/>
        <v>0.887166236</v>
      </c>
      <c r="I209" s="187">
        <f t="shared" si="392"/>
        <v>4</v>
      </c>
      <c r="J209" s="172">
        <f t="shared" si="401"/>
        <v>2653</v>
      </c>
      <c r="K209" s="115">
        <f t="shared" si="3"/>
        <v>0.9033026898</v>
      </c>
      <c r="L209" s="191">
        <f t="shared" si="393"/>
        <v>1.93</v>
      </c>
      <c r="M209" s="172">
        <f t="shared" si="402"/>
        <v>1189.25</v>
      </c>
      <c r="N209" s="47">
        <f t="shared" si="4"/>
        <v>0.001722652885</v>
      </c>
      <c r="O209" s="47">
        <f t="shared" si="16"/>
        <v>0.887166236</v>
      </c>
      <c r="P209" s="7"/>
      <c r="Q209" s="7"/>
      <c r="R209" s="7"/>
      <c r="S209" s="229">
        <f t="shared" si="394"/>
        <v>0.5</v>
      </c>
      <c r="T209" s="194">
        <v>1.0</v>
      </c>
      <c r="U209" s="195"/>
      <c r="V209" s="230">
        <f>Roles!$D$2</f>
        <v>0.61</v>
      </c>
      <c r="W209" s="230">
        <f t="shared" si="395"/>
        <v>0.61</v>
      </c>
      <c r="X209" s="229">
        <f t="shared" si="396"/>
        <v>1.5</v>
      </c>
      <c r="Y209" s="231">
        <f>'CD R Documentación'!$I209</f>
        <v>3</v>
      </c>
      <c r="Z209" s="195"/>
      <c r="AA209" s="230"/>
      <c r="AB209" s="232">
        <f>'CD R Documentación'!$L209</f>
        <v>1.32</v>
      </c>
      <c r="AC209" s="229">
        <f t="shared" si="397"/>
        <v>0</v>
      </c>
      <c r="AD209" s="231">
        <f>'CD R Investigación'!$I209</f>
        <v>0</v>
      </c>
      <c r="AE209" s="195"/>
      <c r="AF209" s="230"/>
      <c r="AG209" s="232">
        <f>'CD R Investigación'!$L209</f>
        <v>0</v>
      </c>
      <c r="AH209" s="229">
        <f t="shared" si="398"/>
        <v>0</v>
      </c>
      <c r="AI209" s="231">
        <f>'CD R Desarrollo'!$I209</f>
        <v>0</v>
      </c>
      <c r="AJ209" s="200"/>
      <c r="AK209" s="185"/>
      <c r="AL209" s="232">
        <f>'CD R Desarrollo'!$L209</f>
        <v>0</v>
      </c>
      <c r="AM209" s="234">
        <v>1.0</v>
      </c>
      <c r="AN209" s="84">
        <f>'PL Cronograma detallado'!L209*AM209</f>
        <v>1.12</v>
      </c>
      <c r="AO209" s="234">
        <f>AN209/'PL Cronograma detallado'!M$238</f>
        <v>0.001899850726</v>
      </c>
      <c r="AP209" s="234">
        <f t="shared" si="399"/>
        <v>0.009567105442</v>
      </c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 t="shared" si="1"/>
        <v>1</v>
      </c>
      <c r="F210" s="80">
        <v>10.0</v>
      </c>
      <c r="G210" s="105">
        <f t="shared" si="2"/>
        <v>0.008613264427</v>
      </c>
      <c r="H210" s="47">
        <f t="shared" si="400"/>
        <v>0.8957795004</v>
      </c>
      <c r="I210" s="187">
        <f t="shared" si="392"/>
        <v>44</v>
      </c>
      <c r="J210" s="351">
        <f t="shared" si="401"/>
        <v>2697</v>
      </c>
      <c r="K210" s="352">
        <f t="shared" si="3"/>
        <v>0.9182839632</v>
      </c>
      <c r="L210" s="191">
        <f t="shared" si="393"/>
        <v>19.53</v>
      </c>
      <c r="M210" s="351">
        <f t="shared" si="402"/>
        <v>1208.78</v>
      </c>
      <c r="N210" s="47">
        <f t="shared" si="4"/>
        <v>0.008613264427</v>
      </c>
      <c r="O210" s="47">
        <f t="shared" si="16"/>
        <v>0.8957795004</v>
      </c>
      <c r="P210" s="7"/>
      <c r="Q210" s="7"/>
      <c r="R210" s="7"/>
      <c r="S210" s="229">
        <f t="shared" si="394"/>
        <v>0.1</v>
      </c>
      <c r="T210" s="194">
        <v>1.0</v>
      </c>
      <c r="U210" s="195"/>
      <c r="V210" s="230">
        <f>Roles!$D$2</f>
        <v>0.61</v>
      </c>
      <c r="W210" s="230">
        <f t="shared" si="395"/>
        <v>0.61</v>
      </c>
      <c r="X210" s="229">
        <f t="shared" si="396"/>
        <v>4.2</v>
      </c>
      <c r="Y210" s="231">
        <f>'CD R Documentación'!$I210</f>
        <v>42</v>
      </c>
      <c r="Z210" s="195"/>
      <c r="AA210" s="195"/>
      <c r="AB210" s="232">
        <f>'CD R Documentación'!$L210</f>
        <v>18.48</v>
      </c>
      <c r="AC210" s="229">
        <f t="shared" si="397"/>
        <v>0</v>
      </c>
      <c r="AD210" s="231">
        <f>'CD R Investigación'!$I210</f>
        <v>0</v>
      </c>
      <c r="AE210" s="195"/>
      <c r="AF210" s="195"/>
      <c r="AG210" s="232">
        <f>'CD R Investigación'!$L210</f>
        <v>0</v>
      </c>
      <c r="AH210" s="229">
        <f t="shared" si="398"/>
        <v>0.1</v>
      </c>
      <c r="AI210" s="231">
        <f>'CD R Desarrollo'!$I210</f>
        <v>1</v>
      </c>
      <c r="AJ210" s="200"/>
      <c r="AK210" s="200"/>
      <c r="AL210" s="232">
        <f>'CD R Desarrollo'!$L210</f>
        <v>0.44</v>
      </c>
      <c r="AM210" s="234">
        <v>1.0</v>
      </c>
      <c r="AN210" s="84">
        <f>'PL Cronograma detallado'!L210*AM210</f>
        <v>7.28</v>
      </c>
      <c r="AO210" s="234">
        <f>AN210/'PL Cronograma detallado'!M$238</f>
        <v>0.01234902972</v>
      </c>
      <c r="AP210" s="234">
        <f t="shared" si="399"/>
        <v>0.02191613516</v>
      </c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 t="shared" si="1"/>
        <v>1</v>
      </c>
      <c r="F211" s="80">
        <v>2.0</v>
      </c>
      <c r="G211" s="105">
        <f t="shared" si="2"/>
        <v>0.001722652885</v>
      </c>
      <c r="H211" s="47">
        <f t="shared" si="400"/>
        <v>0.8975021533</v>
      </c>
      <c r="I211" s="187">
        <f t="shared" si="392"/>
        <v>5</v>
      </c>
      <c r="J211" s="172">
        <f t="shared" si="401"/>
        <v>2702</v>
      </c>
      <c r="K211" s="115">
        <f t="shared" si="3"/>
        <v>0.9199863807</v>
      </c>
      <c r="L211" s="191">
        <f t="shared" si="393"/>
        <v>2.37</v>
      </c>
      <c r="M211" s="172">
        <f t="shared" si="402"/>
        <v>1211.15</v>
      </c>
      <c r="N211" s="47">
        <f t="shared" si="4"/>
        <v>0.001722652885</v>
      </c>
      <c r="O211" s="47">
        <f t="shared" si="16"/>
        <v>0.8975021533</v>
      </c>
      <c r="P211" s="7"/>
      <c r="Q211" s="7"/>
      <c r="R211" s="7"/>
      <c r="S211" s="229">
        <f t="shared" si="394"/>
        <v>0.5</v>
      </c>
      <c r="T211" s="194">
        <v>1.0</v>
      </c>
      <c r="U211" s="195"/>
      <c r="V211" s="230">
        <f>Roles!$D$2</f>
        <v>0.61</v>
      </c>
      <c r="W211" s="230">
        <f t="shared" si="395"/>
        <v>0.61</v>
      </c>
      <c r="X211" s="229">
        <f t="shared" si="396"/>
        <v>2</v>
      </c>
      <c r="Y211" s="231">
        <f>'CD R Documentación'!$I211</f>
        <v>4</v>
      </c>
      <c r="Z211" s="195"/>
      <c r="AA211" s="230"/>
      <c r="AB211" s="232">
        <f>'CD R Documentación'!$L211</f>
        <v>1.76</v>
      </c>
      <c r="AC211" s="229">
        <f t="shared" si="397"/>
        <v>0</v>
      </c>
      <c r="AD211" s="231">
        <f>'CD R Investigación'!$I211</f>
        <v>0</v>
      </c>
      <c r="AE211" s="195"/>
      <c r="AF211" s="230"/>
      <c r="AG211" s="232">
        <f>'CD R Investigación'!$L211</f>
        <v>0</v>
      </c>
      <c r="AH211" s="229">
        <f t="shared" si="398"/>
        <v>0</v>
      </c>
      <c r="AI211" s="231">
        <f>'CD R Desarrollo'!$I211</f>
        <v>0</v>
      </c>
      <c r="AJ211" s="200"/>
      <c r="AK211" s="185"/>
      <c r="AL211" s="232">
        <f>'CD R Desarrollo'!$L211</f>
        <v>0</v>
      </c>
      <c r="AM211" s="234">
        <v>1.0</v>
      </c>
      <c r="AN211" s="84">
        <f>'PL Cronograma detallado'!L211*AM211</f>
        <v>1.29</v>
      </c>
      <c r="AO211" s="234">
        <f>AN211/'PL Cronograma detallado'!M$238</f>
        <v>0.002188220925</v>
      </c>
      <c r="AP211" s="234">
        <f t="shared" si="399"/>
        <v>0.02410435609</v>
      </c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 t="shared" si="1"/>
        <v>1</v>
      </c>
      <c r="F212" s="136">
        <v>0.0</v>
      </c>
      <c r="G212" s="105">
        <f t="shared" si="2"/>
        <v>0</v>
      </c>
      <c r="H212" s="115">
        <f t="shared" si="400"/>
        <v>0.8975021533</v>
      </c>
      <c r="I212" s="110">
        <f>F212</f>
        <v>0</v>
      </c>
      <c r="J212" s="110">
        <f t="shared" si="401"/>
        <v>2702</v>
      </c>
      <c r="K212" s="115">
        <f t="shared" si="3"/>
        <v>0.9199863807</v>
      </c>
      <c r="L212" s="110">
        <v>0.0</v>
      </c>
      <c r="M212" s="110">
        <f t="shared" si="402"/>
        <v>1211.15</v>
      </c>
      <c r="N212" s="47">
        <f t="shared" si="4"/>
        <v>0</v>
      </c>
      <c r="O212" s="47">
        <f t="shared" si="16"/>
        <v>0.8975021533</v>
      </c>
      <c r="P212" s="7"/>
      <c r="Q212" s="7"/>
      <c r="R212" s="7"/>
      <c r="S212" s="289"/>
      <c r="T212" s="118"/>
      <c r="U212" s="119"/>
      <c r="V212" s="119"/>
      <c r="W212" s="119"/>
      <c r="X212" s="119"/>
      <c r="Y212" s="231"/>
      <c r="Z212" s="119"/>
      <c r="AA212" s="119"/>
      <c r="AB212" s="232"/>
      <c r="AC212" s="119"/>
      <c r="AD212" s="231"/>
      <c r="AE212" s="119"/>
      <c r="AF212" s="119"/>
      <c r="AG212" s="232"/>
      <c r="AH212" s="116"/>
      <c r="AI212" s="231"/>
      <c r="AJ212" s="235"/>
      <c r="AK212" s="235"/>
      <c r="AL212" s="232"/>
      <c r="AM212" s="234"/>
      <c r="AN212" s="84"/>
      <c r="AO212" s="234"/>
      <c r="AP212" s="234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 t="shared" si="1"/>
        <v>15</v>
      </c>
      <c r="F213" s="240">
        <f>F214+F218+F223+F229+F232</f>
        <v>119</v>
      </c>
      <c r="G213" s="105">
        <f t="shared" si="2"/>
        <v>0.1024978467</v>
      </c>
      <c r="H213" s="224">
        <f>H237</f>
        <v>1</v>
      </c>
      <c r="I213" s="241">
        <f>I214+I218+I223+I229+I232</f>
        <v>235</v>
      </c>
      <c r="J213" s="241">
        <f>J237</f>
        <v>2937</v>
      </c>
      <c r="K213" s="138">
        <f t="shared" si="3"/>
        <v>1</v>
      </c>
      <c r="L213" s="241">
        <f>L214+L218+L223+L229+L232</f>
        <v>106.97</v>
      </c>
      <c r="M213" s="241">
        <f>M237</f>
        <v>1318.12</v>
      </c>
      <c r="N213" s="47">
        <f t="shared" si="4"/>
        <v>0</v>
      </c>
      <c r="O213" s="47">
        <f t="shared" si="16"/>
        <v>0.8975021533</v>
      </c>
      <c r="P213" s="7"/>
      <c r="Q213" s="7"/>
      <c r="R213" s="7"/>
      <c r="S213" s="294"/>
      <c r="T213" s="144"/>
      <c r="U213" s="149"/>
      <c r="V213" s="149"/>
      <c r="W213" s="149"/>
      <c r="X213" s="149"/>
      <c r="Y213" s="231"/>
      <c r="Z213" s="149"/>
      <c r="AA213" s="149"/>
      <c r="AB213" s="232"/>
      <c r="AC213" s="149"/>
      <c r="AD213" s="231"/>
      <c r="AE213" s="149"/>
      <c r="AF213" s="149"/>
      <c r="AG213" s="232"/>
      <c r="AH213" s="142"/>
      <c r="AI213" s="231"/>
      <c r="AJ213" s="150"/>
      <c r="AK213" s="150"/>
      <c r="AL213" s="232"/>
      <c r="AM213" s="234"/>
      <c r="AN213" s="84"/>
      <c r="AO213" s="234"/>
      <c r="AP213" s="234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 t="shared" si="1"/>
        <v>6</v>
      </c>
      <c r="F214" s="246">
        <f>SUM(F215:F217)</f>
        <v>31</v>
      </c>
      <c r="G214" s="105">
        <f t="shared" si="2"/>
        <v>0.02670111972</v>
      </c>
      <c r="H214" s="226">
        <f>H217</f>
        <v>0.924203273</v>
      </c>
      <c r="I214" s="247">
        <f>SUM(I215:I217)</f>
        <v>48</v>
      </c>
      <c r="J214" s="247">
        <f>J217</f>
        <v>2750</v>
      </c>
      <c r="K214" s="167">
        <f t="shared" si="3"/>
        <v>0.936329588</v>
      </c>
      <c r="L214" s="247">
        <f>SUM(L215:L217)</f>
        <v>21.63</v>
      </c>
      <c r="M214" s="247">
        <f>M217</f>
        <v>1232.78</v>
      </c>
      <c r="N214" s="47">
        <f t="shared" si="4"/>
        <v>0</v>
      </c>
      <c r="O214" s="47">
        <f t="shared" si="16"/>
        <v>0.8975021533</v>
      </c>
      <c r="P214" s="7"/>
      <c r="Q214" s="7"/>
      <c r="R214" s="7"/>
      <c r="S214" s="264"/>
      <c r="T214" s="174"/>
      <c r="U214" s="178"/>
      <c r="V214" s="178"/>
      <c r="W214" s="178"/>
      <c r="X214" s="178"/>
      <c r="Y214" s="231"/>
      <c r="Z214" s="178"/>
      <c r="AA214" s="178"/>
      <c r="AB214" s="232"/>
      <c r="AC214" s="178"/>
      <c r="AD214" s="231"/>
      <c r="AE214" s="178"/>
      <c r="AF214" s="178"/>
      <c r="AG214" s="232"/>
      <c r="AH214" s="173"/>
      <c r="AI214" s="231"/>
      <c r="AJ214" s="180"/>
      <c r="AK214" s="180"/>
      <c r="AL214" s="232"/>
      <c r="AM214" s="234"/>
      <c r="AN214" s="84"/>
      <c r="AO214" s="234"/>
      <c r="AP214" s="234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 t="shared" si="1"/>
        <v>3</v>
      </c>
      <c r="F215" s="80">
        <v>15.0</v>
      </c>
      <c r="G215" s="105">
        <f t="shared" si="2"/>
        <v>0.01291989664</v>
      </c>
      <c r="H215" s="353">
        <f>H212+G215</f>
        <v>0.91042205</v>
      </c>
      <c r="I215" s="187">
        <f t="shared" ref="I215:I217" si="403">T215+Y215+AD215+AI215</f>
        <v>25</v>
      </c>
      <c r="J215" s="351">
        <f>J212+I215</f>
        <v>2727</v>
      </c>
      <c r="K215" s="352">
        <f t="shared" si="3"/>
        <v>0.9284984678</v>
      </c>
      <c r="L215" s="191">
        <f t="shared" ref="L215:L217" si="404">W215+AB215+AG215+AL215</f>
        <v>11.17</v>
      </c>
      <c r="M215" s="351">
        <f>M212+L215</f>
        <v>1222.32</v>
      </c>
      <c r="N215" s="47">
        <f t="shared" si="4"/>
        <v>0.01291989664</v>
      </c>
      <c r="O215" s="47">
        <f t="shared" si="16"/>
        <v>0.91042205</v>
      </c>
      <c r="P215" s="7"/>
      <c r="Q215" s="7"/>
      <c r="R215" s="7"/>
      <c r="S215" s="229">
        <f t="shared" ref="S215:S217" si="405">T215/$F215</f>
        <v>0.06666666667</v>
      </c>
      <c r="T215" s="194">
        <v>1.0</v>
      </c>
      <c r="U215" s="195"/>
      <c r="V215" s="230">
        <f>Roles!$D$2</f>
        <v>0.61</v>
      </c>
      <c r="W215" s="230">
        <f t="shared" ref="W215:W217" si="406">V215*T215</f>
        <v>0.61</v>
      </c>
      <c r="X215" s="229">
        <f t="shared" ref="X215:X217" si="407">Y215/$F215</f>
        <v>0</v>
      </c>
      <c r="Y215" s="231">
        <f>'CD R Documentación'!$I215</f>
        <v>0</v>
      </c>
      <c r="Z215" s="195"/>
      <c r="AA215" s="230"/>
      <c r="AB215" s="232">
        <f>'CD R Documentación'!$L215</f>
        <v>0</v>
      </c>
      <c r="AC215" s="229">
        <f t="shared" ref="AC215:AC217" si="408">AD215/$F215</f>
        <v>0.4</v>
      </c>
      <c r="AD215" s="231">
        <f>'CD R Investigación'!$I215</f>
        <v>6</v>
      </c>
      <c r="AE215" s="195"/>
      <c r="AF215" s="230"/>
      <c r="AG215" s="232">
        <f>'CD R Investigación'!$L215</f>
        <v>2.64</v>
      </c>
      <c r="AH215" s="229">
        <f t="shared" ref="AH215:AH217" si="409">AI215/$F215</f>
        <v>1.2</v>
      </c>
      <c r="AI215" s="231">
        <f>'CD R Desarrollo'!$I215</f>
        <v>18</v>
      </c>
      <c r="AJ215" s="200"/>
      <c r="AK215" s="185"/>
      <c r="AL215" s="232">
        <f>'CD R Desarrollo'!$L215</f>
        <v>7.92</v>
      </c>
      <c r="AM215" s="234">
        <v>1.0</v>
      </c>
      <c r="AN215" s="84">
        <f>'PL Cronograma detallado'!L215*AM215</f>
        <v>5.05</v>
      </c>
      <c r="AO215" s="234">
        <f>AN215/'PL Cronograma detallado'!M$238</f>
        <v>0.00856629122</v>
      </c>
      <c r="AP215" s="234">
        <f t="shared" ref="AP215:AP217" si="410">AO215+AP214</f>
        <v>0.00856629122</v>
      </c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 t="shared" si="1"/>
        <v>1</v>
      </c>
      <c r="F216" s="80">
        <v>1.0</v>
      </c>
      <c r="G216" s="105">
        <f t="shared" si="2"/>
        <v>0.0008613264427</v>
      </c>
      <c r="H216" s="47">
        <f t="shared" ref="H216:H217" si="411">H215+G216</f>
        <v>0.9112833764</v>
      </c>
      <c r="I216" s="187">
        <f t="shared" si="403"/>
        <v>4</v>
      </c>
      <c r="J216" s="172">
        <f t="shared" ref="J216:J217" si="412">J215+I216</f>
        <v>2731</v>
      </c>
      <c r="K216" s="115">
        <f t="shared" si="3"/>
        <v>0.9298604018</v>
      </c>
      <c r="L216" s="191">
        <f t="shared" si="404"/>
        <v>1.93</v>
      </c>
      <c r="M216" s="172">
        <f t="shared" ref="M216:M217" si="413">M215+L216</f>
        <v>1224.25</v>
      </c>
      <c r="N216" s="47">
        <f t="shared" si="4"/>
        <v>0.0008613264427</v>
      </c>
      <c r="O216" s="47">
        <f t="shared" si="16"/>
        <v>0.9112833764</v>
      </c>
      <c r="P216" s="7"/>
      <c r="Q216" s="7"/>
      <c r="R216" s="7"/>
      <c r="S216" s="229">
        <f t="shared" si="405"/>
        <v>1</v>
      </c>
      <c r="T216" s="194">
        <v>1.0</v>
      </c>
      <c r="U216" s="195"/>
      <c r="V216" s="230">
        <f>Roles!$D$2</f>
        <v>0.61</v>
      </c>
      <c r="W216" s="230">
        <f t="shared" si="406"/>
        <v>0.61</v>
      </c>
      <c r="X216" s="229">
        <f t="shared" si="407"/>
        <v>1</v>
      </c>
      <c r="Y216" s="231">
        <f>'CD R Documentación'!$I216</f>
        <v>1</v>
      </c>
      <c r="Z216" s="195"/>
      <c r="AA216" s="195"/>
      <c r="AB216" s="232">
        <f>'CD R Documentación'!$L216</f>
        <v>0.44</v>
      </c>
      <c r="AC216" s="229">
        <f t="shared" si="408"/>
        <v>1</v>
      </c>
      <c r="AD216" s="231">
        <f>'CD R Investigación'!$I216</f>
        <v>1</v>
      </c>
      <c r="AE216" s="195"/>
      <c r="AF216" s="195"/>
      <c r="AG216" s="232">
        <f>'CD R Investigación'!$L216</f>
        <v>0.44</v>
      </c>
      <c r="AH216" s="229">
        <f t="shared" si="409"/>
        <v>1</v>
      </c>
      <c r="AI216" s="231">
        <f>'CD R Desarrollo'!$I216</f>
        <v>1</v>
      </c>
      <c r="AJ216" s="200"/>
      <c r="AK216" s="200"/>
      <c r="AL216" s="232">
        <f>'CD R Desarrollo'!$L216</f>
        <v>0.44</v>
      </c>
      <c r="AM216" s="234">
        <v>1.0</v>
      </c>
      <c r="AN216" s="84">
        <f>'PL Cronograma detallado'!L216*AM216</f>
        <v>1.93</v>
      </c>
      <c r="AO216" s="234">
        <f>AN216/'PL Cronograma detallado'!M$238</f>
        <v>0.003273849912</v>
      </c>
      <c r="AP216" s="234">
        <f t="shared" si="410"/>
        <v>0.01184014113</v>
      </c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 t="shared" si="1"/>
        <v>3</v>
      </c>
      <c r="F217" s="80">
        <v>15.0</v>
      </c>
      <c r="G217" s="105">
        <f t="shared" si="2"/>
        <v>0.01291989664</v>
      </c>
      <c r="H217" s="47">
        <f t="shared" si="411"/>
        <v>0.924203273</v>
      </c>
      <c r="I217" s="187">
        <f t="shared" si="403"/>
        <v>19</v>
      </c>
      <c r="J217" s="351">
        <f t="shared" si="412"/>
        <v>2750</v>
      </c>
      <c r="K217" s="352">
        <f t="shared" si="3"/>
        <v>0.936329588</v>
      </c>
      <c r="L217" s="191">
        <f t="shared" si="404"/>
        <v>8.53</v>
      </c>
      <c r="M217" s="351">
        <f t="shared" si="413"/>
        <v>1232.78</v>
      </c>
      <c r="N217" s="47">
        <f t="shared" si="4"/>
        <v>0.01291989664</v>
      </c>
      <c r="O217" s="47">
        <f t="shared" si="16"/>
        <v>0.924203273</v>
      </c>
      <c r="P217" s="7"/>
      <c r="Q217" s="7"/>
      <c r="R217" s="7"/>
      <c r="S217" s="229">
        <f t="shared" si="405"/>
        <v>0.06666666667</v>
      </c>
      <c r="T217" s="194">
        <v>1.0</v>
      </c>
      <c r="U217" s="195"/>
      <c r="V217" s="230">
        <f>Roles!$D$2</f>
        <v>0.61</v>
      </c>
      <c r="W217" s="230">
        <f t="shared" si="406"/>
        <v>0.61</v>
      </c>
      <c r="X217" s="229">
        <f t="shared" si="407"/>
        <v>0</v>
      </c>
      <c r="Y217" s="231">
        <f>'CD R Documentación'!$I217</f>
        <v>0</v>
      </c>
      <c r="Z217" s="195"/>
      <c r="AA217" s="195"/>
      <c r="AB217" s="232">
        <f>'CD R Documentación'!$L217</f>
        <v>0</v>
      </c>
      <c r="AC217" s="229">
        <f t="shared" si="408"/>
        <v>0</v>
      </c>
      <c r="AD217" s="231">
        <f>'CD R Investigación'!$I217</f>
        <v>0</v>
      </c>
      <c r="AE217" s="195"/>
      <c r="AF217" s="195"/>
      <c r="AG217" s="232">
        <f>'CD R Investigación'!$L217</f>
        <v>0</v>
      </c>
      <c r="AH217" s="229">
        <f t="shared" si="409"/>
        <v>1.2</v>
      </c>
      <c r="AI217" s="231">
        <f>'CD R Desarrollo'!$I217</f>
        <v>18</v>
      </c>
      <c r="AJ217" s="200"/>
      <c r="AK217" s="200"/>
      <c r="AL217" s="232">
        <f>'CD R Desarrollo'!$L217</f>
        <v>7.92</v>
      </c>
      <c r="AM217" s="234">
        <v>1.0</v>
      </c>
      <c r="AN217" s="84">
        <f>'PL Cronograma detallado'!L217*AM217</f>
        <v>3.43</v>
      </c>
      <c r="AO217" s="234">
        <f>AN217/'PL Cronograma detallado'!M$238</f>
        <v>0.005818292848</v>
      </c>
      <c r="AP217" s="234">
        <f t="shared" si="410"/>
        <v>0.01765843398</v>
      </c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 t="shared" si="1"/>
        <v>4</v>
      </c>
      <c r="F218" s="246">
        <f>SUM(F219:F222)</f>
        <v>30</v>
      </c>
      <c r="G218" s="105">
        <f t="shared" si="2"/>
        <v>0.02583979328</v>
      </c>
      <c r="H218" s="226">
        <f>H222</f>
        <v>0.9500430663</v>
      </c>
      <c r="I218" s="247">
        <f>SUM(I219:I222)</f>
        <v>54</v>
      </c>
      <c r="J218" s="247">
        <f>J222</f>
        <v>2804</v>
      </c>
      <c r="K218" s="167">
        <f t="shared" si="3"/>
        <v>0.9547156963</v>
      </c>
      <c r="L218" s="247">
        <f>SUM(L219:L222)</f>
        <v>24.44</v>
      </c>
      <c r="M218" s="247">
        <f>M222</f>
        <v>1257.22</v>
      </c>
      <c r="N218" s="47">
        <f t="shared" si="4"/>
        <v>0</v>
      </c>
      <c r="O218" s="47">
        <f t="shared" si="16"/>
        <v>0.924203273</v>
      </c>
      <c r="P218" s="7"/>
      <c r="Q218" s="7"/>
      <c r="R218" s="7"/>
      <c r="S218" s="264"/>
      <c r="T218" s="174"/>
      <c r="U218" s="178"/>
      <c r="V218" s="178"/>
      <c r="W218" s="178"/>
      <c r="X218" s="178"/>
      <c r="Y218" s="231"/>
      <c r="Z218" s="178"/>
      <c r="AA218" s="178"/>
      <c r="AB218" s="232"/>
      <c r="AC218" s="178"/>
      <c r="AD218" s="231"/>
      <c r="AE218" s="178"/>
      <c r="AF218" s="178"/>
      <c r="AG218" s="232"/>
      <c r="AH218" s="173"/>
      <c r="AI218" s="231"/>
      <c r="AJ218" s="180"/>
      <c r="AK218" s="180"/>
      <c r="AL218" s="232"/>
      <c r="AM218" s="234"/>
      <c r="AN218" s="84"/>
      <c r="AO218" s="234"/>
      <c r="AP218" s="234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 t="shared" si="1"/>
        <v>2</v>
      </c>
      <c r="F219" s="80">
        <v>15.0</v>
      </c>
      <c r="G219" s="105">
        <f t="shared" si="2"/>
        <v>0.01291989664</v>
      </c>
      <c r="H219" s="47">
        <f>H217+G219</f>
        <v>0.9371231697</v>
      </c>
      <c r="I219" s="187">
        <f t="shared" ref="I219:I222" si="414">T219+Y219+AD219+AI219</f>
        <v>21</v>
      </c>
      <c r="J219" s="172">
        <f>J217+I219</f>
        <v>2771</v>
      </c>
      <c r="K219" s="115">
        <f t="shared" si="3"/>
        <v>0.9434797412</v>
      </c>
      <c r="L219" s="191">
        <f t="shared" ref="L219:L222" si="415">W219+AB219+AG219+AL219</f>
        <v>9.41</v>
      </c>
      <c r="M219" s="172">
        <f>M217+L219</f>
        <v>1242.19</v>
      </c>
      <c r="N219" s="47">
        <f t="shared" si="4"/>
        <v>0.01291989664</v>
      </c>
      <c r="O219" s="47">
        <f t="shared" si="16"/>
        <v>0.9371231697</v>
      </c>
      <c r="P219" s="7"/>
      <c r="Q219" s="7"/>
      <c r="R219" s="7"/>
      <c r="S219" s="229">
        <f t="shared" ref="S219:S222" si="416">T219/$F219</f>
        <v>0.06666666667</v>
      </c>
      <c r="T219" s="194">
        <v>1.0</v>
      </c>
      <c r="U219" s="195"/>
      <c r="V219" s="230">
        <f>Roles!$D$2</f>
        <v>0.61</v>
      </c>
      <c r="W219" s="230">
        <f t="shared" ref="W219:W222" si="417">V219*T219</f>
        <v>0.61</v>
      </c>
      <c r="X219" s="229">
        <f t="shared" ref="X219:X222" si="418">Y219/$F219</f>
        <v>0</v>
      </c>
      <c r="Y219" s="231">
        <f>'CD R Documentación'!$I219</f>
        <v>0</v>
      </c>
      <c r="Z219" s="195"/>
      <c r="AA219" s="230"/>
      <c r="AB219" s="232">
        <f>'CD R Documentación'!$L219</f>
        <v>0</v>
      </c>
      <c r="AC219" s="229">
        <f t="shared" ref="AC219:AC222" si="419">AD219/$F219</f>
        <v>0.6666666667</v>
      </c>
      <c r="AD219" s="231">
        <f>'CD R Investigación'!$I219</f>
        <v>10</v>
      </c>
      <c r="AE219" s="195"/>
      <c r="AF219" s="230"/>
      <c r="AG219" s="232">
        <f>'CD R Investigación'!$L219</f>
        <v>4.4</v>
      </c>
      <c r="AH219" s="229">
        <f t="shared" ref="AH219:AH222" si="420">AI219/$F219</f>
        <v>0.6666666667</v>
      </c>
      <c r="AI219" s="231">
        <f>'CD R Desarrollo'!$I219</f>
        <v>10</v>
      </c>
      <c r="AJ219" s="200"/>
      <c r="AK219" s="185"/>
      <c r="AL219" s="232">
        <f>'CD R Desarrollo'!$L219</f>
        <v>4.4</v>
      </c>
      <c r="AM219" s="234">
        <v>1.0</v>
      </c>
      <c r="AN219" s="84">
        <f>'PL Cronograma detallado'!L219*AM219</f>
        <v>4.41</v>
      </c>
      <c r="AO219" s="234">
        <f>AN219/'PL Cronograma detallado'!M$238</f>
        <v>0.007480662234</v>
      </c>
      <c r="AP219" s="234">
        <f t="shared" ref="AP219:AP222" si="421">AO219+AP218</f>
        <v>0.007480662234</v>
      </c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 t="shared" si="1"/>
        <v>4</v>
      </c>
      <c r="F220" s="80">
        <v>4.0</v>
      </c>
      <c r="G220" s="105">
        <f t="shared" si="2"/>
        <v>0.003445305771</v>
      </c>
      <c r="H220" s="47">
        <f t="shared" ref="H220:H222" si="422">H219+G220</f>
        <v>0.9405684755</v>
      </c>
      <c r="I220" s="187">
        <f t="shared" si="414"/>
        <v>13</v>
      </c>
      <c r="J220" s="172">
        <f t="shared" ref="J220:J222" si="423">J219+I220</f>
        <v>2784</v>
      </c>
      <c r="K220" s="115">
        <f t="shared" si="3"/>
        <v>0.9479060266</v>
      </c>
      <c r="L220" s="191">
        <f t="shared" si="415"/>
        <v>5.89</v>
      </c>
      <c r="M220" s="172">
        <f t="shared" ref="M220:M222" si="424">M219+L220</f>
        <v>1248.08</v>
      </c>
      <c r="N220" s="47">
        <f t="shared" si="4"/>
        <v>0.003445305771</v>
      </c>
      <c r="O220" s="47">
        <f t="shared" si="16"/>
        <v>0.9405684755</v>
      </c>
      <c r="P220" s="7"/>
      <c r="Q220" s="7"/>
      <c r="R220" s="7"/>
      <c r="S220" s="229">
        <f t="shared" si="416"/>
        <v>0.25</v>
      </c>
      <c r="T220" s="194">
        <v>1.0</v>
      </c>
      <c r="U220" s="195"/>
      <c r="V220" s="230">
        <f>Roles!$D$2</f>
        <v>0.61</v>
      </c>
      <c r="W220" s="230">
        <f t="shared" si="417"/>
        <v>0.61</v>
      </c>
      <c r="X220" s="229">
        <f t="shared" si="418"/>
        <v>0</v>
      </c>
      <c r="Y220" s="231">
        <f>'CD R Documentación'!$I220</f>
        <v>0</v>
      </c>
      <c r="Z220" s="195"/>
      <c r="AA220" s="230"/>
      <c r="AB220" s="232">
        <f>'CD R Documentación'!$L220</f>
        <v>0</v>
      </c>
      <c r="AC220" s="229">
        <f t="shared" si="419"/>
        <v>1.5</v>
      </c>
      <c r="AD220" s="231">
        <f>'CD R Investigación'!$I220</f>
        <v>6</v>
      </c>
      <c r="AE220" s="195"/>
      <c r="AF220" s="230"/>
      <c r="AG220" s="232">
        <f>'CD R Investigación'!$L220</f>
        <v>2.64</v>
      </c>
      <c r="AH220" s="229">
        <f t="shared" si="420"/>
        <v>1.5</v>
      </c>
      <c r="AI220" s="231">
        <f>'CD R Desarrollo'!$I220</f>
        <v>6</v>
      </c>
      <c r="AJ220" s="200"/>
      <c r="AK220" s="185"/>
      <c r="AL220" s="232">
        <f>'CD R Desarrollo'!$L220</f>
        <v>2.64</v>
      </c>
      <c r="AM220" s="234">
        <v>1.0</v>
      </c>
      <c r="AN220" s="84">
        <f>'PL Cronograma detallado'!L220*AM220</f>
        <v>2.89</v>
      </c>
      <c r="AO220" s="234">
        <f>AN220/'PL Cronograma detallado'!M$238</f>
        <v>0.004902293391</v>
      </c>
      <c r="AP220" s="234">
        <f t="shared" si="421"/>
        <v>0.01238295562</v>
      </c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 t="shared" si="1"/>
        <v>1</v>
      </c>
      <c r="F221" s="80">
        <v>1.0</v>
      </c>
      <c r="G221" s="105">
        <f t="shared" si="2"/>
        <v>0.0008613264427</v>
      </c>
      <c r="H221" s="47">
        <f t="shared" si="422"/>
        <v>0.9414298019</v>
      </c>
      <c r="I221" s="187">
        <f t="shared" si="414"/>
        <v>3</v>
      </c>
      <c r="J221" s="351">
        <f t="shared" si="423"/>
        <v>2787</v>
      </c>
      <c r="K221" s="352">
        <f t="shared" si="3"/>
        <v>0.948927477</v>
      </c>
      <c r="L221" s="191">
        <f t="shared" si="415"/>
        <v>1.49</v>
      </c>
      <c r="M221" s="351">
        <f t="shared" si="424"/>
        <v>1249.57</v>
      </c>
      <c r="N221" s="47">
        <f t="shared" si="4"/>
        <v>0.0008613264427</v>
      </c>
      <c r="O221" s="47">
        <f t="shared" si="16"/>
        <v>0.9414298019</v>
      </c>
      <c r="P221" s="7"/>
      <c r="Q221" s="7"/>
      <c r="R221" s="7"/>
      <c r="S221" s="229">
        <f t="shared" si="416"/>
        <v>1</v>
      </c>
      <c r="T221" s="194">
        <v>1.0</v>
      </c>
      <c r="U221" s="195"/>
      <c r="V221" s="230">
        <f>Roles!$D$2</f>
        <v>0.61</v>
      </c>
      <c r="W221" s="230">
        <f t="shared" si="417"/>
        <v>0.61</v>
      </c>
      <c r="X221" s="229">
        <f t="shared" si="418"/>
        <v>0</v>
      </c>
      <c r="Y221" s="231">
        <f>'CD R Documentación'!$I221</f>
        <v>0</v>
      </c>
      <c r="Z221" s="195"/>
      <c r="AA221" s="195"/>
      <c r="AB221" s="232">
        <f>'CD R Documentación'!$L221</f>
        <v>0</v>
      </c>
      <c r="AC221" s="229">
        <f t="shared" si="419"/>
        <v>1</v>
      </c>
      <c r="AD221" s="231">
        <f>'CD R Investigación'!$I221</f>
        <v>1</v>
      </c>
      <c r="AE221" s="195"/>
      <c r="AF221" s="195"/>
      <c r="AG221" s="232">
        <f>'CD R Investigación'!$L221</f>
        <v>0.44</v>
      </c>
      <c r="AH221" s="229">
        <f t="shared" si="420"/>
        <v>1</v>
      </c>
      <c r="AI221" s="231">
        <f>'CD R Desarrollo'!$I221</f>
        <v>1</v>
      </c>
      <c r="AJ221" s="200"/>
      <c r="AK221" s="200"/>
      <c r="AL221" s="232">
        <f>'CD R Desarrollo'!$L221</f>
        <v>0.44</v>
      </c>
      <c r="AM221" s="234">
        <v>1.0</v>
      </c>
      <c r="AN221" s="84">
        <f>'PL Cronograma detallado'!L221*AM221</f>
        <v>1.49</v>
      </c>
      <c r="AO221" s="234">
        <f>AN221/'PL Cronograma detallado'!M$238</f>
        <v>0.002527479984</v>
      </c>
      <c r="AP221" s="234">
        <f t="shared" si="421"/>
        <v>0.01491043561</v>
      </c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 t="shared" si="1"/>
        <v>2</v>
      </c>
      <c r="F222" s="80">
        <v>10.0</v>
      </c>
      <c r="G222" s="105">
        <f t="shared" si="2"/>
        <v>0.008613264427</v>
      </c>
      <c r="H222" s="47">
        <f t="shared" si="422"/>
        <v>0.9500430663</v>
      </c>
      <c r="I222" s="187">
        <f t="shared" si="414"/>
        <v>17</v>
      </c>
      <c r="J222" s="351">
        <f t="shared" si="423"/>
        <v>2804</v>
      </c>
      <c r="K222" s="352">
        <f t="shared" si="3"/>
        <v>0.9547156963</v>
      </c>
      <c r="L222" s="191">
        <f t="shared" si="415"/>
        <v>7.65</v>
      </c>
      <c r="M222" s="351">
        <f t="shared" si="424"/>
        <v>1257.22</v>
      </c>
      <c r="N222" s="47">
        <f t="shared" si="4"/>
        <v>0.008613264427</v>
      </c>
      <c r="O222" s="47">
        <f t="shared" si="16"/>
        <v>0.9500430663</v>
      </c>
      <c r="P222" s="7"/>
      <c r="Q222" s="7"/>
      <c r="R222" s="7"/>
      <c r="S222" s="229">
        <f t="shared" si="416"/>
        <v>0.1</v>
      </c>
      <c r="T222" s="194">
        <v>1.0</v>
      </c>
      <c r="U222" s="195"/>
      <c r="V222" s="230">
        <f>Roles!$D$2</f>
        <v>0.61</v>
      </c>
      <c r="W222" s="230">
        <f t="shared" si="417"/>
        <v>0.61</v>
      </c>
      <c r="X222" s="229">
        <f t="shared" si="418"/>
        <v>0</v>
      </c>
      <c r="Y222" s="231">
        <f>'CD R Documentación'!$I222</f>
        <v>0</v>
      </c>
      <c r="Z222" s="195"/>
      <c r="AA222" s="230"/>
      <c r="AB222" s="232">
        <f>'CD R Documentación'!$L222</f>
        <v>0</v>
      </c>
      <c r="AC222" s="229">
        <f t="shared" si="419"/>
        <v>0.8</v>
      </c>
      <c r="AD222" s="231">
        <f>'CD R Investigación'!$I222</f>
        <v>8</v>
      </c>
      <c r="AE222" s="195"/>
      <c r="AF222" s="230"/>
      <c r="AG222" s="232">
        <f>'CD R Investigación'!$L222</f>
        <v>3.52</v>
      </c>
      <c r="AH222" s="229">
        <f t="shared" si="420"/>
        <v>0.8</v>
      </c>
      <c r="AI222" s="231">
        <f>'CD R Desarrollo'!$I222</f>
        <v>8</v>
      </c>
      <c r="AJ222" s="200"/>
      <c r="AK222" s="185"/>
      <c r="AL222" s="232">
        <f>'CD R Desarrollo'!$L222</f>
        <v>3.52</v>
      </c>
      <c r="AM222" s="234">
        <v>1.0</v>
      </c>
      <c r="AN222" s="84">
        <f>'PL Cronograma detallado'!L222*AM222</f>
        <v>3.65</v>
      </c>
      <c r="AO222" s="234">
        <f>AN222/'PL Cronograma detallado'!M$238</f>
        <v>0.006191477812</v>
      </c>
      <c r="AP222" s="234">
        <f t="shared" si="421"/>
        <v>0.02110191342</v>
      </c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 t="shared" si="1"/>
        <v>4</v>
      </c>
      <c r="F223" s="246">
        <f>SUM(F224:F228)</f>
        <v>15</v>
      </c>
      <c r="G223" s="105">
        <f t="shared" si="2"/>
        <v>0.01291989664</v>
      </c>
      <c r="H223" s="226">
        <f>H228</f>
        <v>0.962962963</v>
      </c>
      <c r="I223" s="247">
        <f>SUM(I224:I228)</f>
        <v>33</v>
      </c>
      <c r="J223" s="247">
        <f>J228</f>
        <v>2837</v>
      </c>
      <c r="K223" s="167">
        <f t="shared" si="3"/>
        <v>0.9659516513</v>
      </c>
      <c r="L223" s="247">
        <f>SUM(L224:L228)</f>
        <v>15.03</v>
      </c>
      <c r="M223" s="247">
        <f>M228</f>
        <v>1272.25</v>
      </c>
      <c r="N223" s="47">
        <f t="shared" si="4"/>
        <v>0</v>
      </c>
      <c r="O223" s="47">
        <f t="shared" si="16"/>
        <v>0.9500430663</v>
      </c>
      <c r="P223" s="7"/>
      <c r="Q223" s="7"/>
      <c r="R223" s="7"/>
      <c r="S223" s="173"/>
      <c r="T223" s="174"/>
      <c r="U223" s="178"/>
      <c r="V223" s="178"/>
      <c r="W223" s="178"/>
      <c r="X223" s="173"/>
      <c r="Y223" s="231"/>
      <c r="Z223" s="178"/>
      <c r="AA223" s="178"/>
      <c r="AB223" s="232"/>
      <c r="AC223" s="173"/>
      <c r="AD223" s="231"/>
      <c r="AE223" s="178"/>
      <c r="AF223" s="178"/>
      <c r="AG223" s="232"/>
      <c r="AH223" s="173"/>
      <c r="AI223" s="231"/>
      <c r="AJ223" s="180"/>
      <c r="AK223" s="180"/>
      <c r="AL223" s="232"/>
      <c r="AM223" s="234"/>
      <c r="AN223" s="84"/>
      <c r="AO223" s="234"/>
      <c r="AP223" s="234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 t="shared" si="1"/>
        <v>2</v>
      </c>
      <c r="F224" s="80">
        <v>4.0</v>
      </c>
      <c r="G224" s="105">
        <f t="shared" si="2"/>
        <v>0.003445305771</v>
      </c>
      <c r="H224" s="47">
        <f>H222+G224</f>
        <v>0.9534883721</v>
      </c>
      <c r="I224" s="187">
        <f t="shared" ref="I224:I228" si="425">T224+Y224+AD224+AI224</f>
        <v>9</v>
      </c>
      <c r="J224" s="172">
        <f>J222+I224</f>
        <v>2813</v>
      </c>
      <c r="K224" s="115">
        <f t="shared" si="3"/>
        <v>0.9577800477</v>
      </c>
      <c r="L224" s="191">
        <f t="shared" ref="L224:L228" si="426">W224+AB224+AG224+AL224</f>
        <v>4.13</v>
      </c>
      <c r="M224" s="172">
        <f>M222+L224</f>
        <v>1261.35</v>
      </c>
      <c r="N224" s="47">
        <f t="shared" si="4"/>
        <v>0.003445305771</v>
      </c>
      <c r="O224" s="47">
        <f t="shared" si="16"/>
        <v>0.9534883721</v>
      </c>
      <c r="P224" s="7"/>
      <c r="Q224" s="7"/>
      <c r="R224" s="7"/>
      <c r="S224" s="229">
        <f t="shared" ref="S224:S228" si="427">T224/$F224</f>
        <v>0.25</v>
      </c>
      <c r="T224" s="194">
        <v>1.0</v>
      </c>
      <c r="U224" s="195"/>
      <c r="V224" s="230">
        <f>Roles!$D$2</f>
        <v>0.61</v>
      </c>
      <c r="W224" s="230">
        <f t="shared" ref="W224:W228" si="428">V224*T224</f>
        <v>0.61</v>
      </c>
      <c r="X224" s="229">
        <f t="shared" ref="X224:X228" si="429">Y224/$F224</f>
        <v>0</v>
      </c>
      <c r="Y224" s="231">
        <f>'CD R Documentación'!$I224</f>
        <v>0</v>
      </c>
      <c r="Z224" s="195"/>
      <c r="AA224" s="230"/>
      <c r="AB224" s="232">
        <f>'CD R Documentación'!$L224</f>
        <v>0</v>
      </c>
      <c r="AC224" s="229">
        <f t="shared" ref="AC224:AC228" si="430">AD224/$F224</f>
        <v>2</v>
      </c>
      <c r="AD224" s="231">
        <f>'CD R Investigación'!$I224</f>
        <v>8</v>
      </c>
      <c r="AE224" s="195"/>
      <c r="AF224" s="230"/>
      <c r="AG224" s="232">
        <f>'CD R Investigación'!$L224</f>
        <v>3.52</v>
      </c>
      <c r="AH224" s="229">
        <f t="shared" ref="AH224:AH228" si="431">AI224/$F224</f>
        <v>0</v>
      </c>
      <c r="AI224" s="231">
        <f>'CD R Desarrollo'!$I224</f>
        <v>0</v>
      </c>
      <c r="AJ224" s="200"/>
      <c r="AK224" s="185"/>
      <c r="AL224" s="232">
        <f>'CD R Desarrollo'!$L224</f>
        <v>0</v>
      </c>
      <c r="AM224" s="234">
        <v>1.0</v>
      </c>
      <c r="AN224" s="84">
        <f>'PL Cronograma detallado'!L224*AM224</f>
        <v>2.21</v>
      </c>
      <c r="AO224" s="234">
        <f>AN224/'PL Cronograma detallado'!M$238</f>
        <v>0.003748812593</v>
      </c>
      <c r="AP224" s="234">
        <f t="shared" ref="AP224:AP228" si="432">AO224+AP223</f>
        <v>0.003748812593</v>
      </c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 t="shared" si="1"/>
        <v>2</v>
      </c>
      <c r="F225" s="80">
        <v>3.0</v>
      </c>
      <c r="G225" s="105">
        <f t="shared" si="2"/>
        <v>0.002583979328</v>
      </c>
      <c r="H225" s="47">
        <f t="shared" ref="H225:H228" si="433">H224+G225</f>
        <v>0.9560723514</v>
      </c>
      <c r="I225" s="187">
        <f t="shared" si="425"/>
        <v>6</v>
      </c>
      <c r="J225" s="172">
        <f t="shared" ref="J225:J228" si="434">J224+I225</f>
        <v>2819</v>
      </c>
      <c r="K225" s="115">
        <f t="shared" si="3"/>
        <v>0.9598229486</v>
      </c>
      <c r="L225" s="191">
        <f t="shared" si="426"/>
        <v>2.64</v>
      </c>
      <c r="M225" s="172">
        <f t="shared" ref="M225:M228" si="435">M224+L225</f>
        <v>1263.99</v>
      </c>
      <c r="N225" s="47">
        <f t="shared" si="4"/>
        <v>0.002583979328</v>
      </c>
      <c r="O225" s="47">
        <f t="shared" si="16"/>
        <v>0.9560723514</v>
      </c>
      <c r="P225" s="7"/>
      <c r="Q225" s="7"/>
      <c r="R225" s="7"/>
      <c r="S225" s="229">
        <f t="shared" si="427"/>
        <v>0</v>
      </c>
      <c r="T225" s="206"/>
      <c r="U225" s="195"/>
      <c r="V225" s="230">
        <f>Roles!$D$2</f>
        <v>0.61</v>
      </c>
      <c r="W225" s="230">
        <f t="shared" si="428"/>
        <v>0</v>
      </c>
      <c r="X225" s="229">
        <f t="shared" si="429"/>
        <v>0</v>
      </c>
      <c r="Y225" s="231">
        <f>'CD R Documentación'!$I225</f>
        <v>0</v>
      </c>
      <c r="Z225" s="195"/>
      <c r="AA225" s="230"/>
      <c r="AB225" s="232">
        <f>'CD R Documentación'!$L225</f>
        <v>0</v>
      </c>
      <c r="AC225" s="229">
        <f t="shared" si="430"/>
        <v>2</v>
      </c>
      <c r="AD225" s="231">
        <f>'CD R Investigación'!$I225</f>
        <v>6</v>
      </c>
      <c r="AE225" s="195"/>
      <c r="AF225" s="230"/>
      <c r="AG225" s="232">
        <f>'CD R Investigación'!$L225</f>
        <v>2.64</v>
      </c>
      <c r="AH225" s="229">
        <f t="shared" si="431"/>
        <v>0</v>
      </c>
      <c r="AI225" s="231">
        <f>'CD R Desarrollo'!$I225</f>
        <v>0</v>
      </c>
      <c r="AJ225" s="200"/>
      <c r="AK225" s="185"/>
      <c r="AL225" s="232">
        <f>'CD R Desarrollo'!$L225</f>
        <v>0</v>
      </c>
      <c r="AM225" s="234">
        <v>1.0</v>
      </c>
      <c r="AN225" s="84">
        <f>'PL Cronograma detallado'!L225*AM225</f>
        <v>1.2</v>
      </c>
      <c r="AO225" s="234">
        <f>AN225/'PL Cronograma detallado'!M$238</f>
        <v>0.002035554349</v>
      </c>
      <c r="AP225" s="234">
        <f t="shared" si="432"/>
        <v>0.005784366943</v>
      </c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 t="shared" si="1"/>
        <v>1</v>
      </c>
      <c r="F226" s="80">
        <v>3.0</v>
      </c>
      <c r="G226" s="105">
        <f t="shared" si="2"/>
        <v>0.002583979328</v>
      </c>
      <c r="H226" s="47">
        <f t="shared" si="433"/>
        <v>0.9586563307</v>
      </c>
      <c r="I226" s="187">
        <f t="shared" si="425"/>
        <v>7</v>
      </c>
      <c r="J226" s="172">
        <f t="shared" si="434"/>
        <v>2826</v>
      </c>
      <c r="K226" s="115">
        <f t="shared" si="3"/>
        <v>0.962206333</v>
      </c>
      <c r="L226" s="191">
        <f t="shared" si="426"/>
        <v>3.25</v>
      </c>
      <c r="M226" s="172">
        <f t="shared" si="435"/>
        <v>1267.24</v>
      </c>
      <c r="N226" s="47">
        <f t="shared" si="4"/>
        <v>0.002583979328</v>
      </c>
      <c r="O226" s="47">
        <f t="shared" si="16"/>
        <v>0.9586563307</v>
      </c>
      <c r="P226" s="7"/>
      <c r="Q226" s="7"/>
      <c r="R226" s="7"/>
      <c r="S226" s="229">
        <f t="shared" si="427"/>
        <v>0.3333333333</v>
      </c>
      <c r="T226" s="194">
        <v>1.0</v>
      </c>
      <c r="U226" s="195"/>
      <c r="V226" s="230">
        <f>Roles!$D$2</f>
        <v>0.61</v>
      </c>
      <c r="W226" s="230">
        <f t="shared" si="428"/>
        <v>0.61</v>
      </c>
      <c r="X226" s="229">
        <f t="shared" si="429"/>
        <v>0</v>
      </c>
      <c r="Y226" s="231">
        <f>'CD R Documentación'!$I226</f>
        <v>0</v>
      </c>
      <c r="Z226" s="195"/>
      <c r="AA226" s="230"/>
      <c r="AB226" s="232">
        <f>'CD R Documentación'!$L226</f>
        <v>0</v>
      </c>
      <c r="AC226" s="229">
        <f t="shared" si="430"/>
        <v>2</v>
      </c>
      <c r="AD226" s="231">
        <f>'CD R Investigación'!$I226</f>
        <v>6</v>
      </c>
      <c r="AE226" s="195"/>
      <c r="AF226" s="230"/>
      <c r="AG226" s="232">
        <f>'CD R Investigación'!$L226</f>
        <v>2.64</v>
      </c>
      <c r="AH226" s="229">
        <f t="shared" si="431"/>
        <v>0</v>
      </c>
      <c r="AI226" s="231">
        <f>'CD R Desarrollo'!$I226</f>
        <v>0</v>
      </c>
      <c r="AJ226" s="200"/>
      <c r="AK226" s="185"/>
      <c r="AL226" s="232">
        <f>'CD R Desarrollo'!$L226</f>
        <v>0</v>
      </c>
      <c r="AM226" s="234">
        <v>1.0</v>
      </c>
      <c r="AN226" s="84">
        <f>'PL Cronograma detallado'!L226*AM226</f>
        <v>1.81</v>
      </c>
      <c r="AO226" s="234">
        <f>AN226/'PL Cronograma detallado'!M$238</f>
        <v>0.003070294477</v>
      </c>
      <c r="AP226" s="234">
        <f t="shared" si="432"/>
        <v>0.008854661419</v>
      </c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 t="shared" si="1"/>
        <v>2</v>
      </c>
      <c r="F227" s="80">
        <v>3.0</v>
      </c>
      <c r="G227" s="105">
        <f t="shared" si="2"/>
        <v>0.002583979328</v>
      </c>
      <c r="H227" s="47">
        <f t="shared" si="433"/>
        <v>0.9612403101</v>
      </c>
      <c r="I227" s="187">
        <f t="shared" si="425"/>
        <v>6</v>
      </c>
      <c r="J227" s="172">
        <f t="shared" si="434"/>
        <v>2832</v>
      </c>
      <c r="K227" s="115">
        <f t="shared" si="3"/>
        <v>0.9642492339</v>
      </c>
      <c r="L227" s="191">
        <f t="shared" si="426"/>
        <v>2.64</v>
      </c>
      <c r="M227" s="172">
        <f t="shared" si="435"/>
        <v>1269.88</v>
      </c>
      <c r="N227" s="47">
        <f t="shared" si="4"/>
        <v>0.002583979328</v>
      </c>
      <c r="O227" s="47">
        <f t="shared" si="16"/>
        <v>0.9612403101</v>
      </c>
      <c r="P227" s="7"/>
      <c r="Q227" s="7"/>
      <c r="R227" s="7"/>
      <c r="S227" s="229">
        <f t="shared" si="427"/>
        <v>0</v>
      </c>
      <c r="T227" s="206"/>
      <c r="U227" s="195"/>
      <c r="V227" s="230">
        <f>Roles!$D$2</f>
        <v>0.61</v>
      </c>
      <c r="W227" s="230">
        <f t="shared" si="428"/>
        <v>0</v>
      </c>
      <c r="X227" s="229">
        <f t="shared" si="429"/>
        <v>0</v>
      </c>
      <c r="Y227" s="231">
        <f>'CD R Documentación'!$I227</f>
        <v>0</v>
      </c>
      <c r="Z227" s="195"/>
      <c r="AA227" s="230"/>
      <c r="AB227" s="232">
        <f>'CD R Documentación'!$L227</f>
        <v>0</v>
      </c>
      <c r="AC227" s="229">
        <f t="shared" si="430"/>
        <v>2</v>
      </c>
      <c r="AD227" s="231">
        <f>'CD R Investigación'!$I227</f>
        <v>6</v>
      </c>
      <c r="AE227" s="195"/>
      <c r="AF227" s="230"/>
      <c r="AG227" s="232">
        <f>'CD R Investigación'!$L227</f>
        <v>2.64</v>
      </c>
      <c r="AH227" s="229">
        <f t="shared" si="431"/>
        <v>0</v>
      </c>
      <c r="AI227" s="231">
        <f>'CD R Desarrollo'!$I227</f>
        <v>0</v>
      </c>
      <c r="AJ227" s="200"/>
      <c r="AK227" s="185"/>
      <c r="AL227" s="232">
        <f>'CD R Desarrollo'!$L227</f>
        <v>0</v>
      </c>
      <c r="AM227" s="234">
        <v>1.0</v>
      </c>
      <c r="AN227" s="84">
        <f>'PL Cronograma detallado'!L227*AM227</f>
        <v>1.2</v>
      </c>
      <c r="AO227" s="234">
        <f>AN227/'PL Cronograma detallado'!M$238</f>
        <v>0.002035554349</v>
      </c>
      <c r="AP227" s="234">
        <f t="shared" si="432"/>
        <v>0.01089021577</v>
      </c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 t="shared" si="1"/>
        <v>1</v>
      </c>
      <c r="F228" s="80">
        <v>2.0</v>
      </c>
      <c r="G228" s="105">
        <f t="shared" si="2"/>
        <v>0.001722652885</v>
      </c>
      <c r="H228" s="47">
        <f t="shared" si="433"/>
        <v>0.962962963</v>
      </c>
      <c r="I228" s="187">
        <f t="shared" si="425"/>
        <v>5</v>
      </c>
      <c r="J228" s="172">
        <f t="shared" si="434"/>
        <v>2837</v>
      </c>
      <c r="K228" s="115">
        <f t="shared" si="3"/>
        <v>0.9659516513</v>
      </c>
      <c r="L228" s="191">
        <f t="shared" si="426"/>
        <v>2.37</v>
      </c>
      <c r="M228" s="172">
        <f t="shared" si="435"/>
        <v>1272.25</v>
      </c>
      <c r="N228" s="47">
        <f t="shared" si="4"/>
        <v>0.001722652885</v>
      </c>
      <c r="O228" s="47">
        <f t="shared" si="16"/>
        <v>0.962962963</v>
      </c>
      <c r="P228" s="7"/>
      <c r="Q228" s="7"/>
      <c r="R228" s="7"/>
      <c r="S228" s="229">
        <f t="shared" si="427"/>
        <v>0.5</v>
      </c>
      <c r="T228" s="194">
        <v>1.0</v>
      </c>
      <c r="U228" s="195"/>
      <c r="V228" s="230">
        <f>Roles!$D$2</f>
        <v>0.61</v>
      </c>
      <c r="W228" s="230">
        <f t="shared" si="428"/>
        <v>0.61</v>
      </c>
      <c r="X228" s="229">
        <f t="shared" si="429"/>
        <v>0</v>
      </c>
      <c r="Y228" s="231">
        <f>'CD R Documentación'!$I228</f>
        <v>0</v>
      </c>
      <c r="Z228" s="195"/>
      <c r="AA228" s="230"/>
      <c r="AB228" s="232">
        <f>'CD R Documentación'!$L228</f>
        <v>0</v>
      </c>
      <c r="AC228" s="229">
        <f t="shared" si="430"/>
        <v>2</v>
      </c>
      <c r="AD228" s="231">
        <f>'CD R Investigación'!$I228</f>
        <v>4</v>
      </c>
      <c r="AE228" s="195"/>
      <c r="AF228" s="230"/>
      <c r="AG228" s="232">
        <f>'CD R Investigación'!$L228</f>
        <v>1.76</v>
      </c>
      <c r="AH228" s="229">
        <f t="shared" si="431"/>
        <v>0</v>
      </c>
      <c r="AI228" s="231">
        <f>'CD R Desarrollo'!$I228</f>
        <v>0</v>
      </c>
      <c r="AJ228" s="200"/>
      <c r="AK228" s="185"/>
      <c r="AL228" s="232">
        <f>'CD R Desarrollo'!$L228</f>
        <v>0</v>
      </c>
      <c r="AM228" s="234">
        <v>1.0</v>
      </c>
      <c r="AN228" s="84">
        <f>'PL Cronograma detallado'!L228*AM228</f>
        <v>1.41</v>
      </c>
      <c r="AO228" s="234">
        <f>AN228/'PL Cronograma detallado'!M$238</f>
        <v>0.00239177636</v>
      </c>
      <c r="AP228" s="234">
        <f t="shared" si="432"/>
        <v>0.01328199213</v>
      </c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 t="shared" si="1"/>
        <v>3</v>
      </c>
      <c r="F229" s="246">
        <f>SUM(F230:F231)</f>
        <v>20</v>
      </c>
      <c r="G229" s="105">
        <f t="shared" si="2"/>
        <v>0.01722652885</v>
      </c>
      <c r="H229" s="226">
        <f>H231</f>
        <v>0.9801894918</v>
      </c>
      <c r="I229" s="247">
        <f>SUM(I230:I231)</f>
        <v>28</v>
      </c>
      <c r="J229" s="247">
        <f>J231</f>
        <v>2865</v>
      </c>
      <c r="K229" s="167">
        <f t="shared" si="3"/>
        <v>0.975485189</v>
      </c>
      <c r="L229" s="247">
        <f>SUM(L230:L231)</f>
        <v>12.66</v>
      </c>
      <c r="M229" s="247">
        <f>M231</f>
        <v>1284.91</v>
      </c>
      <c r="N229" s="47">
        <f t="shared" si="4"/>
        <v>0</v>
      </c>
      <c r="O229" s="47">
        <f t="shared" si="16"/>
        <v>0.962962963</v>
      </c>
      <c r="P229" s="7"/>
      <c r="Q229" s="7"/>
      <c r="R229" s="7"/>
      <c r="S229" s="264"/>
      <c r="T229" s="174"/>
      <c r="U229" s="178"/>
      <c r="V229" s="178"/>
      <c r="W229" s="178"/>
      <c r="X229" s="178"/>
      <c r="Y229" s="231"/>
      <c r="Z229" s="178"/>
      <c r="AA229" s="178"/>
      <c r="AB229" s="232"/>
      <c r="AC229" s="178"/>
      <c r="AD229" s="231"/>
      <c r="AE229" s="178"/>
      <c r="AF229" s="178"/>
      <c r="AG229" s="232"/>
      <c r="AH229" s="173"/>
      <c r="AI229" s="231"/>
      <c r="AJ229" s="180"/>
      <c r="AK229" s="180"/>
      <c r="AL229" s="232"/>
      <c r="AM229" s="234"/>
      <c r="AN229" s="84"/>
      <c r="AO229" s="234"/>
      <c r="AP229" s="234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 t="shared" si="1"/>
        <v>2</v>
      </c>
      <c r="F230" s="80">
        <v>10.0</v>
      </c>
      <c r="G230" s="105">
        <f t="shared" si="2"/>
        <v>0.008613264427</v>
      </c>
      <c r="H230" s="47">
        <f>H228+G230</f>
        <v>0.9715762274</v>
      </c>
      <c r="I230" s="187">
        <f t="shared" ref="I230:I231" si="436">T230+Y230+AD230+AI230</f>
        <v>15</v>
      </c>
      <c r="J230" s="172">
        <f>J228+I230</f>
        <v>2852</v>
      </c>
      <c r="K230" s="115">
        <f t="shared" si="3"/>
        <v>0.9710589036</v>
      </c>
      <c r="L230" s="191">
        <f t="shared" ref="L230:L231" si="437">W230+AB230+AG230+AL230</f>
        <v>6.77</v>
      </c>
      <c r="M230" s="172">
        <f>M228+L230</f>
        <v>1279.02</v>
      </c>
      <c r="N230" s="47">
        <f t="shared" si="4"/>
        <v>0.008613264427</v>
      </c>
      <c r="O230" s="47">
        <f t="shared" si="16"/>
        <v>0.9715762274</v>
      </c>
      <c r="P230" s="7"/>
      <c r="Q230" s="7"/>
      <c r="R230" s="7"/>
      <c r="S230" s="229">
        <f t="shared" ref="S230:S231" si="438">T230/$F230</f>
        <v>0.1</v>
      </c>
      <c r="T230" s="194">
        <v>1.0</v>
      </c>
      <c r="U230" s="195"/>
      <c r="V230" s="230">
        <f>Roles!$D$2</f>
        <v>0.61</v>
      </c>
      <c r="W230" s="230">
        <f t="shared" ref="W230:W231" si="439">V230*T230</f>
        <v>0.61</v>
      </c>
      <c r="X230" s="229">
        <f t="shared" ref="X230:X231" si="440">Y230/$F230</f>
        <v>0.2</v>
      </c>
      <c r="Y230" s="231">
        <f>'CD R Documentación'!$I230</f>
        <v>2</v>
      </c>
      <c r="Z230" s="195"/>
      <c r="AA230" s="230"/>
      <c r="AB230" s="232">
        <f>'CD R Documentación'!$L230</f>
        <v>0.88</v>
      </c>
      <c r="AC230" s="229">
        <f t="shared" ref="AC230:AC231" si="441">AD230/$F230</f>
        <v>1</v>
      </c>
      <c r="AD230" s="231">
        <f>'CD R Investigación'!$I230</f>
        <v>10</v>
      </c>
      <c r="AE230" s="195"/>
      <c r="AF230" s="230"/>
      <c r="AG230" s="232">
        <f>'CD R Investigación'!$L230</f>
        <v>4.4</v>
      </c>
      <c r="AH230" s="229">
        <f t="shared" ref="AH230:AH231" si="442">AI230/$F230</f>
        <v>0.2</v>
      </c>
      <c r="AI230" s="231">
        <f>'CD R Desarrollo'!$I230</f>
        <v>2</v>
      </c>
      <c r="AJ230" s="200"/>
      <c r="AK230" s="185"/>
      <c r="AL230" s="232">
        <f>'CD R Desarrollo'!$L230</f>
        <v>0.88</v>
      </c>
      <c r="AM230" s="234">
        <v>1.0</v>
      </c>
      <c r="AN230" s="84">
        <f>'PL Cronograma detallado'!L230*AM230</f>
        <v>3.31</v>
      </c>
      <c r="AO230" s="234">
        <f>AN230/'PL Cronograma detallado'!M$238</f>
        <v>0.005614737413</v>
      </c>
      <c r="AP230" s="234">
        <f t="shared" ref="AP230:AP231" si="443">AO230+AP229</f>
        <v>0.005614737413</v>
      </c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 t="shared" si="1"/>
        <v>1</v>
      </c>
      <c r="F231" s="80">
        <v>10.0</v>
      </c>
      <c r="G231" s="105">
        <f t="shared" si="2"/>
        <v>0.008613264427</v>
      </c>
      <c r="H231" s="353">
        <f>H230+G231</f>
        <v>0.9801894918</v>
      </c>
      <c r="I231" s="187">
        <f t="shared" si="436"/>
        <v>13</v>
      </c>
      <c r="J231" s="351">
        <f>J230+I231</f>
        <v>2865</v>
      </c>
      <c r="K231" s="352">
        <f t="shared" si="3"/>
        <v>0.975485189</v>
      </c>
      <c r="L231" s="191">
        <f t="shared" si="437"/>
        <v>5.89</v>
      </c>
      <c r="M231" s="351">
        <f>M230+L231</f>
        <v>1284.91</v>
      </c>
      <c r="N231" s="47">
        <f t="shared" si="4"/>
        <v>0.008613264427</v>
      </c>
      <c r="O231" s="47">
        <f t="shared" si="16"/>
        <v>0.9801894918</v>
      </c>
      <c r="P231" s="7"/>
      <c r="Q231" s="7"/>
      <c r="R231" s="7"/>
      <c r="S231" s="229">
        <f t="shared" si="438"/>
        <v>0.1</v>
      </c>
      <c r="T231" s="194">
        <v>1.0</v>
      </c>
      <c r="U231" s="195"/>
      <c r="V231" s="230">
        <f>Roles!$D$2</f>
        <v>0.61</v>
      </c>
      <c r="W231" s="230">
        <f t="shared" si="439"/>
        <v>0.61</v>
      </c>
      <c r="X231" s="229">
        <f t="shared" si="440"/>
        <v>0</v>
      </c>
      <c r="Y231" s="231">
        <f>'CD R Documentación'!$I231</f>
        <v>0</v>
      </c>
      <c r="Z231" s="195"/>
      <c r="AA231" s="195"/>
      <c r="AB231" s="232">
        <f>'CD R Documentación'!$L231</f>
        <v>0</v>
      </c>
      <c r="AC231" s="229">
        <f t="shared" si="441"/>
        <v>0</v>
      </c>
      <c r="AD231" s="231">
        <f>'CD R Investigación'!$I231</f>
        <v>0</v>
      </c>
      <c r="AE231" s="195"/>
      <c r="AF231" s="195"/>
      <c r="AG231" s="232">
        <f>'CD R Investigación'!$L231</f>
        <v>0</v>
      </c>
      <c r="AH231" s="229">
        <f t="shared" si="442"/>
        <v>1.2</v>
      </c>
      <c r="AI231" s="231">
        <f>'CD R Desarrollo'!$I231</f>
        <v>12</v>
      </c>
      <c r="AJ231" s="200"/>
      <c r="AK231" s="200"/>
      <c r="AL231" s="232">
        <f>'CD R Desarrollo'!$L231</f>
        <v>5.28</v>
      </c>
      <c r="AM231" s="234">
        <v>1.0</v>
      </c>
      <c r="AN231" s="84">
        <f>'PL Cronograma detallado'!L231*AM231</f>
        <v>2.49</v>
      </c>
      <c r="AO231" s="234">
        <f>AN231/'PL Cronograma detallado'!M$238</f>
        <v>0.004223775275</v>
      </c>
      <c r="AP231" s="234">
        <f t="shared" si="443"/>
        <v>0.009838512688</v>
      </c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 t="shared" si="1"/>
        <v>3</v>
      </c>
      <c r="F232" s="246">
        <f>SUM(F233:F237)</f>
        <v>23</v>
      </c>
      <c r="G232" s="105">
        <f t="shared" si="2"/>
        <v>0.01981050818</v>
      </c>
      <c r="H232" s="226">
        <f>H237</f>
        <v>1</v>
      </c>
      <c r="I232" s="247">
        <f>SUM(I233:I237)</f>
        <v>72</v>
      </c>
      <c r="J232" s="247">
        <f>J237</f>
        <v>2937</v>
      </c>
      <c r="K232" s="167">
        <f t="shared" si="3"/>
        <v>1</v>
      </c>
      <c r="L232" s="247">
        <f>SUM(L233:L237)</f>
        <v>33.21</v>
      </c>
      <c r="M232" s="247">
        <f>M237</f>
        <v>1318.12</v>
      </c>
      <c r="N232" s="47">
        <f t="shared" si="4"/>
        <v>0</v>
      </c>
      <c r="O232" s="47">
        <f t="shared" si="16"/>
        <v>0.9801894918</v>
      </c>
      <c r="P232" s="7"/>
      <c r="Q232" s="7"/>
      <c r="R232" s="7"/>
      <c r="S232" s="264"/>
      <c r="T232" s="174"/>
      <c r="U232" s="178"/>
      <c r="V232" s="178"/>
      <c r="W232" s="178"/>
      <c r="X232" s="178"/>
      <c r="Y232" s="231"/>
      <c r="Z232" s="178"/>
      <c r="AA232" s="178"/>
      <c r="AB232" s="232"/>
      <c r="AC232" s="178"/>
      <c r="AD232" s="231"/>
      <c r="AE232" s="178"/>
      <c r="AF232" s="178"/>
      <c r="AG232" s="232"/>
      <c r="AH232" s="173"/>
      <c r="AI232" s="231"/>
      <c r="AJ232" s="180"/>
      <c r="AK232" s="180"/>
      <c r="AL232" s="232"/>
      <c r="AM232" s="234"/>
      <c r="AN232" s="84"/>
      <c r="AO232" s="234"/>
      <c r="AP232" s="234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 t="shared" si="1"/>
        <v>2</v>
      </c>
      <c r="F233" s="80">
        <v>3.0</v>
      </c>
      <c r="G233" s="105">
        <f t="shared" si="2"/>
        <v>0.002583979328</v>
      </c>
      <c r="H233" s="47">
        <f>H231+G233</f>
        <v>0.9827734711</v>
      </c>
      <c r="I233" s="187">
        <f t="shared" ref="I233:I237" si="444">T233+Y233+AD233+AI233</f>
        <v>9</v>
      </c>
      <c r="J233" s="172">
        <f>J231+I233</f>
        <v>2874</v>
      </c>
      <c r="K233" s="115">
        <f t="shared" si="3"/>
        <v>0.9785495403</v>
      </c>
      <c r="L233" s="191">
        <f t="shared" ref="L233:L237" si="445">W233+AB233+AG233+AL233</f>
        <v>4.13</v>
      </c>
      <c r="M233" s="172">
        <f>M231+L233</f>
        <v>1289.04</v>
      </c>
      <c r="N233" s="47">
        <f t="shared" si="4"/>
        <v>0.002583979328</v>
      </c>
      <c r="O233" s="47">
        <f t="shared" si="16"/>
        <v>0.9827734711</v>
      </c>
      <c r="P233" s="7"/>
      <c r="Q233" s="7"/>
      <c r="R233" s="7"/>
      <c r="S233" s="229">
        <f t="shared" ref="S233:S237" si="446">T233/$F233</f>
        <v>0.3333333333</v>
      </c>
      <c r="T233" s="194">
        <v>1.0</v>
      </c>
      <c r="U233" s="195"/>
      <c r="V233" s="230">
        <f>Roles!$D$2</f>
        <v>0.61</v>
      </c>
      <c r="W233" s="230">
        <f t="shared" ref="W233:W237" si="447">V233*T233</f>
        <v>0.61</v>
      </c>
      <c r="X233" s="229">
        <f t="shared" ref="X233:X237" si="448">Y233/$F233</f>
        <v>1.333333333</v>
      </c>
      <c r="Y233" s="231">
        <f>'CD R Documentación'!$I233</f>
        <v>4</v>
      </c>
      <c r="Z233" s="195"/>
      <c r="AA233" s="230"/>
      <c r="AB233" s="232">
        <f>'CD R Documentación'!$L233</f>
        <v>1.76</v>
      </c>
      <c r="AC233" s="229">
        <f t="shared" ref="AC233:AC237" si="449">AD233/$F233</f>
        <v>0</v>
      </c>
      <c r="AD233" s="231">
        <f>'CD R Investigación'!$I233</f>
        <v>0</v>
      </c>
      <c r="AE233" s="195"/>
      <c r="AF233" s="230"/>
      <c r="AG233" s="232">
        <f>'CD R Investigación'!$L233</f>
        <v>0</v>
      </c>
      <c r="AH233" s="229">
        <f t="shared" ref="AH233:AH237" si="450">AI233/$F233</f>
        <v>1.333333333</v>
      </c>
      <c r="AI233" s="231">
        <f>'CD R Desarrollo'!$I233</f>
        <v>4</v>
      </c>
      <c r="AJ233" s="200"/>
      <c r="AK233" s="185"/>
      <c r="AL233" s="232">
        <f>'CD R Desarrollo'!$L233</f>
        <v>1.76</v>
      </c>
      <c r="AM233" s="234">
        <v>1.0</v>
      </c>
      <c r="AN233" s="84">
        <f>'PL Cronograma detallado'!L233*AM233</f>
        <v>2.01</v>
      </c>
      <c r="AO233" s="234">
        <f>AN233/'PL Cronograma detallado'!M$238</f>
        <v>0.003409553535</v>
      </c>
      <c r="AP233" s="234">
        <f t="shared" ref="AP233:AP237" si="451">AO233+AP232</f>
        <v>0.003409553535</v>
      </c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 t="shared" si="1"/>
        <v>2</v>
      </c>
      <c r="F234" s="80">
        <v>10.0</v>
      </c>
      <c r="G234" s="105">
        <f t="shared" si="2"/>
        <v>0.008613264427</v>
      </c>
      <c r="H234" s="47">
        <f t="shared" ref="H234:H238" si="452">H233+G234</f>
        <v>0.9913867356</v>
      </c>
      <c r="I234" s="187">
        <f t="shared" si="444"/>
        <v>31</v>
      </c>
      <c r="J234" s="172">
        <f t="shared" ref="J234:J238" si="453">J233+I234</f>
        <v>2905</v>
      </c>
      <c r="K234" s="115">
        <f t="shared" si="3"/>
        <v>0.9891045284</v>
      </c>
      <c r="L234" s="191">
        <f t="shared" si="445"/>
        <v>13.81</v>
      </c>
      <c r="M234" s="172">
        <f t="shared" ref="M234:M238" si="454">M233+L234</f>
        <v>1302.85</v>
      </c>
      <c r="N234" s="47">
        <f t="shared" si="4"/>
        <v>0.008613264427</v>
      </c>
      <c r="O234" s="47">
        <f t="shared" si="16"/>
        <v>0.9913867356</v>
      </c>
      <c r="P234" s="7"/>
      <c r="Q234" s="7"/>
      <c r="R234" s="7"/>
      <c r="S234" s="229">
        <f t="shared" si="446"/>
        <v>0.1</v>
      </c>
      <c r="T234" s="194">
        <v>1.0</v>
      </c>
      <c r="U234" s="195"/>
      <c r="V234" s="230">
        <f>Roles!$D$2</f>
        <v>0.61</v>
      </c>
      <c r="W234" s="230">
        <f t="shared" si="447"/>
        <v>0.61</v>
      </c>
      <c r="X234" s="229">
        <f t="shared" si="448"/>
        <v>3</v>
      </c>
      <c r="Y234" s="231">
        <f>'CD R Documentación'!$I234</f>
        <v>30</v>
      </c>
      <c r="Z234" s="195"/>
      <c r="AA234" s="195"/>
      <c r="AB234" s="232">
        <f>'CD R Documentación'!$L234</f>
        <v>13.2</v>
      </c>
      <c r="AC234" s="229">
        <f t="shared" si="449"/>
        <v>0</v>
      </c>
      <c r="AD234" s="231">
        <f>'CD R Investigación'!$I234</f>
        <v>0</v>
      </c>
      <c r="AE234" s="195"/>
      <c r="AF234" s="195"/>
      <c r="AG234" s="232">
        <f>'CD R Investigación'!$L234</f>
        <v>0</v>
      </c>
      <c r="AH234" s="229">
        <f t="shared" si="450"/>
        <v>0</v>
      </c>
      <c r="AI234" s="231">
        <f>'CD R Desarrollo'!$I234</f>
        <v>0</v>
      </c>
      <c r="AJ234" s="200"/>
      <c r="AK234" s="200"/>
      <c r="AL234" s="232">
        <f>'CD R Desarrollo'!$L234</f>
        <v>0</v>
      </c>
      <c r="AM234" s="234">
        <v>1.0</v>
      </c>
      <c r="AN234" s="84">
        <f>'PL Cronograma detallado'!L234*AM234</f>
        <v>5.06</v>
      </c>
      <c r="AO234" s="234">
        <f>AN234/'PL Cronograma detallado'!M$238</f>
        <v>0.008583254173</v>
      </c>
      <c r="AP234" s="234">
        <f t="shared" si="451"/>
        <v>0.01199280771</v>
      </c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 t="shared" si="1"/>
        <v>1</v>
      </c>
      <c r="F235" s="80">
        <v>2.0</v>
      </c>
      <c r="G235" s="105">
        <f t="shared" si="2"/>
        <v>0.001722652885</v>
      </c>
      <c r="H235" s="47">
        <f t="shared" si="452"/>
        <v>0.9931093885</v>
      </c>
      <c r="I235" s="187">
        <f t="shared" si="444"/>
        <v>4</v>
      </c>
      <c r="J235" s="172">
        <f t="shared" si="453"/>
        <v>2909</v>
      </c>
      <c r="K235" s="115">
        <f t="shared" si="3"/>
        <v>0.9904664624</v>
      </c>
      <c r="L235" s="191">
        <f t="shared" si="445"/>
        <v>1.93</v>
      </c>
      <c r="M235" s="172">
        <f t="shared" si="454"/>
        <v>1304.78</v>
      </c>
      <c r="N235" s="47">
        <f t="shared" si="4"/>
        <v>0.001722652885</v>
      </c>
      <c r="O235" s="47">
        <f t="shared" si="16"/>
        <v>0.9931093885</v>
      </c>
      <c r="P235" s="7"/>
      <c r="Q235" s="7"/>
      <c r="R235" s="7"/>
      <c r="S235" s="229">
        <f t="shared" si="446"/>
        <v>0.5</v>
      </c>
      <c r="T235" s="194">
        <v>1.0</v>
      </c>
      <c r="U235" s="195"/>
      <c r="V235" s="230">
        <f>Roles!$D$2</f>
        <v>0.61</v>
      </c>
      <c r="W235" s="230">
        <f t="shared" si="447"/>
        <v>0.61</v>
      </c>
      <c r="X235" s="229">
        <f t="shared" si="448"/>
        <v>1.5</v>
      </c>
      <c r="Y235" s="231">
        <f>'CD R Documentación'!$I235</f>
        <v>3</v>
      </c>
      <c r="Z235" s="195"/>
      <c r="AA235" s="230"/>
      <c r="AB235" s="232">
        <f>'CD R Documentación'!$L235</f>
        <v>1.32</v>
      </c>
      <c r="AC235" s="229">
        <f t="shared" si="449"/>
        <v>0</v>
      </c>
      <c r="AD235" s="231">
        <f>'CD R Investigación'!$I235</f>
        <v>0</v>
      </c>
      <c r="AE235" s="195"/>
      <c r="AF235" s="230"/>
      <c r="AG235" s="232">
        <f>'CD R Investigación'!$L235</f>
        <v>0</v>
      </c>
      <c r="AH235" s="229">
        <f t="shared" si="450"/>
        <v>0</v>
      </c>
      <c r="AI235" s="231">
        <f>'CD R Desarrollo'!$I235</f>
        <v>0</v>
      </c>
      <c r="AJ235" s="200"/>
      <c r="AK235" s="185"/>
      <c r="AL235" s="232">
        <f>'CD R Desarrollo'!$L235</f>
        <v>0</v>
      </c>
      <c r="AM235" s="234">
        <v>1.0</v>
      </c>
      <c r="AN235" s="84">
        <f>'PL Cronograma detallado'!L235*AM235</f>
        <v>1.12</v>
      </c>
      <c r="AO235" s="234">
        <f>AN235/'PL Cronograma detallado'!M$238</f>
        <v>0.001899850726</v>
      </c>
      <c r="AP235" s="234">
        <f t="shared" si="451"/>
        <v>0.01389265843</v>
      </c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 t="shared" si="1"/>
        <v>2</v>
      </c>
      <c r="F236" s="80">
        <v>3.0</v>
      </c>
      <c r="G236" s="105">
        <f t="shared" si="2"/>
        <v>0.002583979328</v>
      </c>
      <c r="H236" s="47">
        <f t="shared" si="452"/>
        <v>0.9956933678</v>
      </c>
      <c r="I236" s="187">
        <f t="shared" si="444"/>
        <v>5</v>
      </c>
      <c r="J236" s="172">
        <f t="shared" si="453"/>
        <v>2914</v>
      </c>
      <c r="K236" s="115">
        <f t="shared" si="3"/>
        <v>0.9921688798</v>
      </c>
      <c r="L236" s="191">
        <f t="shared" si="445"/>
        <v>2.37</v>
      </c>
      <c r="M236" s="172">
        <f t="shared" si="454"/>
        <v>1307.15</v>
      </c>
      <c r="N236" s="47">
        <f t="shared" si="4"/>
        <v>0.002583979328</v>
      </c>
      <c r="O236" s="47">
        <f t="shared" si="16"/>
        <v>0.9956933678</v>
      </c>
      <c r="P236" s="7"/>
      <c r="Q236" s="7"/>
      <c r="R236" s="7"/>
      <c r="S236" s="229">
        <f t="shared" si="446"/>
        <v>0.3333333333</v>
      </c>
      <c r="T236" s="194">
        <v>1.0</v>
      </c>
      <c r="U236" s="195"/>
      <c r="V236" s="230">
        <f>Roles!$D$2</f>
        <v>0.61</v>
      </c>
      <c r="W236" s="230">
        <f t="shared" si="447"/>
        <v>0.61</v>
      </c>
      <c r="X236" s="229">
        <f t="shared" si="448"/>
        <v>1.333333333</v>
      </c>
      <c r="Y236" s="231">
        <f>'CD R Documentación'!$I236</f>
        <v>4</v>
      </c>
      <c r="Z236" s="195"/>
      <c r="AA236" s="230"/>
      <c r="AB236" s="232">
        <f>'CD R Documentación'!$L236</f>
        <v>1.76</v>
      </c>
      <c r="AC236" s="229">
        <f t="shared" si="449"/>
        <v>0</v>
      </c>
      <c r="AD236" s="231">
        <f>'CD R Investigación'!$I236</f>
        <v>0</v>
      </c>
      <c r="AE236" s="195"/>
      <c r="AF236" s="230"/>
      <c r="AG236" s="232">
        <f>'CD R Investigación'!$L236</f>
        <v>0</v>
      </c>
      <c r="AH236" s="229">
        <f t="shared" si="450"/>
        <v>0</v>
      </c>
      <c r="AI236" s="231">
        <f>'CD R Desarrollo'!$I236</f>
        <v>0</v>
      </c>
      <c r="AJ236" s="200"/>
      <c r="AK236" s="185"/>
      <c r="AL236" s="232">
        <f>'CD R Desarrollo'!$L236</f>
        <v>0</v>
      </c>
      <c r="AM236" s="234">
        <v>1.0</v>
      </c>
      <c r="AN236" s="84">
        <f>'PL Cronograma detallado'!L236*AM236</f>
        <v>1.29</v>
      </c>
      <c r="AO236" s="234">
        <f>AN236/'PL Cronograma detallado'!M$238</f>
        <v>0.002188220925</v>
      </c>
      <c r="AP236" s="234">
        <f t="shared" si="451"/>
        <v>0.01608087936</v>
      </c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 t="shared" si="1"/>
        <v>1</v>
      </c>
      <c r="F237" s="80">
        <v>5.0</v>
      </c>
      <c r="G237" s="105">
        <f t="shared" si="2"/>
        <v>0.004306632214</v>
      </c>
      <c r="H237" s="47">
        <f t="shared" si="452"/>
        <v>1</v>
      </c>
      <c r="I237" s="187">
        <f t="shared" si="444"/>
        <v>23</v>
      </c>
      <c r="J237" s="172">
        <f t="shared" si="453"/>
        <v>2937</v>
      </c>
      <c r="K237" s="115">
        <f t="shared" si="3"/>
        <v>1</v>
      </c>
      <c r="L237" s="191">
        <f t="shared" si="445"/>
        <v>10.97</v>
      </c>
      <c r="M237" s="172">
        <f t="shared" si="454"/>
        <v>1318.12</v>
      </c>
      <c r="N237" s="47">
        <f t="shared" si="4"/>
        <v>0.004306632214</v>
      </c>
      <c r="O237" s="47">
        <f t="shared" si="16"/>
        <v>1</v>
      </c>
      <c r="P237" s="7"/>
      <c r="Q237" s="7"/>
      <c r="R237" s="7"/>
      <c r="S237" s="229">
        <f t="shared" si="446"/>
        <v>1</v>
      </c>
      <c r="T237" s="194">
        <v>5.0</v>
      </c>
      <c r="U237" s="195"/>
      <c r="V237" s="230">
        <f>Roles!$D$2</f>
        <v>0.61</v>
      </c>
      <c r="W237" s="230">
        <f t="shared" si="447"/>
        <v>3.05</v>
      </c>
      <c r="X237" s="229">
        <f t="shared" si="448"/>
        <v>3.6</v>
      </c>
      <c r="Y237" s="231">
        <f>'CD R Documentación'!$I237</f>
        <v>18</v>
      </c>
      <c r="Z237" s="195"/>
      <c r="AA237" s="195"/>
      <c r="AB237" s="232">
        <f>'CD R Documentación'!$L237</f>
        <v>7.92</v>
      </c>
      <c r="AC237" s="229">
        <f t="shared" si="449"/>
        <v>0</v>
      </c>
      <c r="AD237" s="231">
        <f>'CD R Investigación'!$I237</f>
        <v>0</v>
      </c>
      <c r="AE237" s="195"/>
      <c r="AF237" s="195"/>
      <c r="AG237" s="232">
        <f>'CD R Investigación'!$L237</f>
        <v>0</v>
      </c>
      <c r="AH237" s="229">
        <f t="shared" si="450"/>
        <v>0</v>
      </c>
      <c r="AI237" s="231">
        <f>'CD R Desarrollo'!$I237</f>
        <v>0</v>
      </c>
      <c r="AJ237" s="195"/>
      <c r="AK237" s="200"/>
      <c r="AL237" s="232">
        <f>'CD R Desarrollo'!$L237</f>
        <v>0</v>
      </c>
      <c r="AM237" s="234">
        <v>1.0</v>
      </c>
      <c r="AN237" s="84">
        <f>'PL Cronograma detallado'!L237*AM237</f>
        <v>5.72</v>
      </c>
      <c r="AO237" s="234">
        <f>AN237/'PL Cronograma detallado'!M$238</f>
        <v>0.009702809065</v>
      </c>
      <c r="AP237" s="234">
        <f t="shared" si="451"/>
        <v>0.02578368842</v>
      </c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 t="shared" si="1"/>
        <v>1</v>
      </c>
      <c r="F238" s="136">
        <v>0.0</v>
      </c>
      <c r="G238" s="105">
        <f t="shared" si="2"/>
        <v>0</v>
      </c>
      <c r="H238" s="115">
        <f t="shared" si="452"/>
        <v>1</v>
      </c>
      <c r="I238" s="110">
        <f>F238</f>
        <v>0</v>
      </c>
      <c r="J238" s="110">
        <f t="shared" si="453"/>
        <v>2937</v>
      </c>
      <c r="K238" s="115">
        <f t="shared" si="3"/>
        <v>1</v>
      </c>
      <c r="L238" s="110">
        <v>0.0</v>
      </c>
      <c r="M238" s="110">
        <f t="shared" si="454"/>
        <v>1318.12</v>
      </c>
      <c r="N238" s="47">
        <f t="shared" si="4"/>
        <v>0</v>
      </c>
      <c r="O238" s="47">
        <f t="shared" si="16"/>
        <v>1</v>
      </c>
      <c r="P238" s="7"/>
      <c r="Q238" s="7"/>
      <c r="R238" s="7"/>
      <c r="S238" s="289"/>
      <c r="T238" s="118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8"/>
      <c r="AJ238" s="119"/>
      <c r="AK238" s="119"/>
      <c r="AL238" s="119"/>
      <c r="AM238" s="234"/>
      <c r="AN238" s="84"/>
      <c r="AO238" s="234"/>
      <c r="AP238" s="234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2937</v>
      </c>
      <c r="J239" s="7"/>
      <c r="K239" s="7"/>
      <c r="L239" s="329">
        <f>L5+L30+L80+L146+L186+L213</f>
        <v>1318.12</v>
      </c>
      <c r="M239" s="7"/>
      <c r="N239" s="216"/>
      <c r="O239" s="216"/>
      <c r="P239" s="7"/>
      <c r="Q239" s="7"/>
      <c r="R239" s="7"/>
      <c r="S239" s="7"/>
      <c r="T239" s="359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393"/>
      <c r="AJ239" s="394"/>
      <c r="AK239" s="394"/>
      <c r="AL239" s="394"/>
      <c r="AM239" s="395"/>
      <c r="AN239" s="394"/>
      <c r="AO239" s="394"/>
      <c r="AP239" s="394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216"/>
      <c r="O240" s="216"/>
      <c r="P240" s="7"/>
      <c r="Q240" s="7"/>
      <c r="R240" s="7"/>
      <c r="S240" s="7"/>
      <c r="T240" s="359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393"/>
      <c r="AJ240" s="394"/>
      <c r="AK240" s="394"/>
      <c r="AL240" s="394"/>
      <c r="AM240" s="395"/>
      <c r="AN240" s="394"/>
      <c r="AO240" s="394"/>
      <c r="AP240" s="394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216"/>
      <c r="O241" s="216"/>
      <c r="P241" s="7"/>
      <c r="Q241" s="7"/>
      <c r="R241" s="7"/>
      <c r="S241" s="7"/>
      <c r="T241" s="359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393"/>
      <c r="AJ241" s="394"/>
      <c r="AK241" s="394"/>
      <c r="AL241" s="394"/>
      <c r="AM241" s="395"/>
      <c r="AN241" s="394"/>
      <c r="AO241" s="394"/>
      <c r="AP241" s="394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216"/>
      <c r="O242" s="216"/>
      <c r="P242" s="7"/>
      <c r="Q242" s="7"/>
      <c r="R242" s="7"/>
      <c r="S242" s="7"/>
      <c r="T242" s="359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393"/>
      <c r="AJ242" s="394"/>
      <c r="AK242" s="394"/>
      <c r="AL242" s="394"/>
      <c r="AM242" s="395"/>
      <c r="AN242" s="394"/>
      <c r="AO242" s="394"/>
      <c r="AP242" s="394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216"/>
      <c r="O243" s="216"/>
      <c r="P243" s="7"/>
      <c r="Q243" s="7"/>
      <c r="R243" s="7"/>
      <c r="S243" s="7"/>
      <c r="T243" s="359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393"/>
      <c r="AJ243" s="394"/>
      <c r="AK243" s="394"/>
      <c r="AL243" s="394"/>
      <c r="AM243" s="395"/>
      <c r="AN243" s="394"/>
      <c r="AO243" s="394"/>
      <c r="AP243" s="394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216"/>
      <c r="O244" s="216"/>
      <c r="P244" s="7"/>
      <c r="Q244" s="7"/>
      <c r="R244" s="7"/>
      <c r="S244" s="7"/>
      <c r="T244" s="359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393"/>
      <c r="AJ244" s="394"/>
      <c r="AK244" s="394"/>
      <c r="AL244" s="394"/>
      <c r="AM244" s="395"/>
      <c r="AN244" s="394"/>
      <c r="AO244" s="394"/>
      <c r="AP244" s="394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216"/>
      <c r="O245" s="216"/>
      <c r="P245" s="7"/>
      <c r="Q245" s="7"/>
      <c r="R245" s="7"/>
      <c r="S245" s="7"/>
      <c r="T245" s="359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393"/>
      <c r="AJ245" s="394"/>
      <c r="AK245" s="394"/>
      <c r="AL245" s="394"/>
      <c r="AM245" s="395"/>
      <c r="AN245" s="394"/>
      <c r="AO245" s="394"/>
      <c r="AP245" s="394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216"/>
      <c r="O246" s="216"/>
      <c r="P246" s="7"/>
      <c r="Q246" s="7"/>
      <c r="R246" s="7"/>
      <c r="S246" s="7"/>
      <c r="T246" s="359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393"/>
      <c r="AJ246" s="394"/>
      <c r="AK246" s="394"/>
      <c r="AL246" s="394"/>
      <c r="AM246" s="395"/>
      <c r="AN246" s="394"/>
      <c r="AO246" s="394"/>
      <c r="AP246" s="394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216"/>
      <c r="O247" s="216"/>
      <c r="P247" s="7"/>
      <c r="Q247" s="7"/>
      <c r="R247" s="7"/>
      <c r="S247" s="7"/>
      <c r="T247" s="359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393"/>
      <c r="AJ247" s="394"/>
      <c r="AK247" s="394"/>
      <c r="AL247" s="394"/>
      <c r="AM247" s="395"/>
      <c r="AN247" s="394"/>
      <c r="AO247" s="394"/>
      <c r="AP247" s="394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216"/>
      <c r="O248" s="216"/>
      <c r="P248" s="7"/>
      <c r="Q248" s="7"/>
      <c r="R248" s="7"/>
      <c r="S248" s="7"/>
      <c r="T248" s="359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393"/>
      <c r="AJ248" s="394"/>
      <c r="AK248" s="394"/>
      <c r="AL248" s="394"/>
      <c r="AM248" s="395"/>
      <c r="AN248" s="394"/>
      <c r="AO248" s="394"/>
      <c r="AP248" s="394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216"/>
      <c r="O249" s="216"/>
      <c r="P249" s="7"/>
      <c r="Q249" s="7"/>
      <c r="R249" s="7"/>
      <c r="S249" s="7"/>
      <c r="T249" s="359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393"/>
      <c r="AJ249" s="394"/>
      <c r="AK249" s="394"/>
      <c r="AL249" s="394"/>
      <c r="AM249" s="395"/>
      <c r="AN249" s="394"/>
      <c r="AO249" s="394"/>
      <c r="AP249" s="394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216"/>
      <c r="O250" s="216"/>
      <c r="P250" s="7"/>
      <c r="Q250" s="7"/>
      <c r="R250" s="7"/>
      <c r="S250" s="7"/>
      <c r="T250" s="359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393"/>
      <c r="AJ250" s="394"/>
      <c r="AK250" s="394"/>
      <c r="AL250" s="394"/>
      <c r="AM250" s="395"/>
      <c r="AN250" s="394"/>
      <c r="AO250" s="394"/>
      <c r="AP250" s="394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216"/>
      <c r="O251" s="216"/>
      <c r="P251" s="7"/>
      <c r="Q251" s="7"/>
      <c r="R251" s="7"/>
      <c r="S251" s="7"/>
      <c r="T251" s="359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393"/>
      <c r="AJ251" s="394"/>
      <c r="AK251" s="394"/>
      <c r="AL251" s="394"/>
      <c r="AM251" s="395"/>
      <c r="AN251" s="394"/>
      <c r="AO251" s="394"/>
      <c r="AP251" s="394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216"/>
      <c r="O252" s="216"/>
      <c r="P252" s="7"/>
      <c r="Q252" s="7"/>
      <c r="R252" s="7"/>
      <c r="S252" s="7"/>
      <c r="T252" s="359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393"/>
      <c r="AJ252" s="394"/>
      <c r="AK252" s="394"/>
      <c r="AL252" s="394"/>
      <c r="AM252" s="395"/>
      <c r="AN252" s="394"/>
      <c r="AO252" s="394"/>
      <c r="AP252" s="394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216"/>
      <c r="O253" s="216"/>
      <c r="P253" s="7"/>
      <c r="Q253" s="7"/>
      <c r="R253" s="7"/>
      <c r="S253" s="7"/>
      <c r="T253" s="359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393"/>
      <c r="AJ253" s="394"/>
      <c r="AK253" s="394"/>
      <c r="AL253" s="394"/>
      <c r="AM253" s="395"/>
      <c r="AN253" s="394"/>
      <c r="AO253" s="394"/>
      <c r="AP253" s="394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216"/>
      <c r="O254" s="216"/>
      <c r="P254" s="7"/>
      <c r="Q254" s="7"/>
      <c r="R254" s="7"/>
      <c r="S254" s="7"/>
      <c r="T254" s="359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393"/>
      <c r="AJ254" s="394"/>
      <c r="AK254" s="394"/>
      <c r="AL254" s="394"/>
      <c r="AM254" s="395"/>
      <c r="AN254" s="394"/>
      <c r="AO254" s="394"/>
      <c r="AP254" s="394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216"/>
      <c r="O255" s="216"/>
      <c r="P255" s="7"/>
      <c r="Q255" s="7"/>
      <c r="R255" s="7"/>
      <c r="S255" s="7"/>
      <c r="T255" s="359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393"/>
      <c r="AJ255" s="394"/>
      <c r="AK255" s="394"/>
      <c r="AL255" s="394"/>
      <c r="AM255" s="395"/>
      <c r="AN255" s="394"/>
      <c r="AO255" s="394"/>
      <c r="AP255" s="394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216"/>
      <c r="O256" s="216"/>
      <c r="P256" s="7"/>
      <c r="Q256" s="7"/>
      <c r="R256" s="7"/>
      <c r="S256" s="7"/>
      <c r="T256" s="359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393"/>
      <c r="AJ256" s="394"/>
      <c r="AK256" s="394"/>
      <c r="AL256" s="394"/>
      <c r="AM256" s="395"/>
      <c r="AN256" s="394"/>
      <c r="AO256" s="394"/>
      <c r="AP256" s="394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216"/>
      <c r="O257" s="216"/>
      <c r="P257" s="7"/>
      <c r="Q257" s="7"/>
      <c r="R257" s="7"/>
      <c r="S257" s="7"/>
      <c r="T257" s="359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393"/>
      <c r="AJ257" s="394"/>
      <c r="AK257" s="394"/>
      <c r="AL257" s="394"/>
      <c r="AM257" s="395"/>
      <c r="AN257" s="394"/>
      <c r="AO257" s="394"/>
      <c r="AP257" s="394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216"/>
      <c r="O258" s="216"/>
      <c r="P258" s="7"/>
      <c r="Q258" s="7"/>
      <c r="R258" s="7"/>
      <c r="S258" s="7"/>
      <c r="T258" s="359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393"/>
      <c r="AJ258" s="394"/>
      <c r="AK258" s="394"/>
      <c r="AL258" s="394"/>
      <c r="AM258" s="395"/>
      <c r="AN258" s="394"/>
      <c r="AO258" s="394"/>
      <c r="AP258" s="394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216"/>
      <c r="O259" s="216"/>
      <c r="P259" s="7"/>
      <c r="Q259" s="7"/>
      <c r="R259" s="7"/>
      <c r="S259" s="7"/>
      <c r="T259" s="359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393"/>
      <c r="AJ259" s="394"/>
      <c r="AK259" s="394"/>
      <c r="AL259" s="394"/>
      <c r="AM259" s="395"/>
      <c r="AN259" s="394"/>
      <c r="AO259" s="394"/>
      <c r="AP259" s="394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216"/>
      <c r="O260" s="216"/>
      <c r="P260" s="7"/>
      <c r="Q260" s="7"/>
      <c r="R260" s="7"/>
      <c r="S260" s="7"/>
      <c r="T260" s="359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393"/>
      <c r="AJ260" s="394"/>
      <c r="AK260" s="394"/>
      <c r="AL260" s="394"/>
      <c r="AM260" s="395"/>
      <c r="AN260" s="394"/>
      <c r="AO260" s="394"/>
      <c r="AP260" s="394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216"/>
      <c r="O261" s="216"/>
      <c r="P261" s="7"/>
      <c r="Q261" s="7"/>
      <c r="R261" s="7"/>
      <c r="S261" s="7"/>
      <c r="T261" s="359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393"/>
      <c r="AJ261" s="394"/>
      <c r="AK261" s="394"/>
      <c r="AL261" s="394"/>
      <c r="AM261" s="395"/>
      <c r="AN261" s="394"/>
      <c r="AO261" s="394"/>
      <c r="AP261" s="394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216"/>
      <c r="O262" s="216"/>
      <c r="P262" s="7"/>
      <c r="Q262" s="7"/>
      <c r="R262" s="7"/>
      <c r="S262" s="7"/>
      <c r="T262" s="359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393"/>
      <c r="AJ262" s="394"/>
      <c r="AK262" s="394"/>
      <c r="AL262" s="394"/>
      <c r="AM262" s="395"/>
      <c r="AN262" s="394"/>
      <c r="AO262" s="394"/>
      <c r="AP262" s="394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216"/>
      <c r="O263" s="216"/>
      <c r="P263" s="7"/>
      <c r="Q263" s="7"/>
      <c r="R263" s="7"/>
      <c r="S263" s="7"/>
      <c r="T263" s="359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393"/>
      <c r="AJ263" s="394"/>
      <c r="AK263" s="394"/>
      <c r="AL263" s="394"/>
      <c r="AM263" s="395"/>
      <c r="AN263" s="394"/>
      <c r="AO263" s="394"/>
      <c r="AP263" s="394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216"/>
      <c r="O264" s="216"/>
      <c r="P264" s="7"/>
      <c r="Q264" s="7"/>
      <c r="R264" s="7"/>
      <c r="S264" s="7"/>
      <c r="T264" s="359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393"/>
      <c r="AJ264" s="394"/>
      <c r="AK264" s="394"/>
      <c r="AL264" s="394"/>
      <c r="AM264" s="395"/>
      <c r="AN264" s="394"/>
      <c r="AO264" s="394"/>
      <c r="AP264" s="394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216"/>
      <c r="O265" s="216"/>
      <c r="P265" s="7"/>
      <c r="Q265" s="7"/>
      <c r="R265" s="7"/>
      <c r="S265" s="7"/>
      <c r="T265" s="359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393"/>
      <c r="AJ265" s="394"/>
      <c r="AK265" s="394"/>
      <c r="AL265" s="394"/>
      <c r="AM265" s="395"/>
      <c r="AN265" s="394"/>
      <c r="AO265" s="394"/>
      <c r="AP265" s="394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216"/>
      <c r="O266" s="216"/>
      <c r="P266" s="7"/>
      <c r="Q266" s="7"/>
      <c r="R266" s="7"/>
      <c r="S266" s="7"/>
      <c r="T266" s="359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393"/>
      <c r="AJ266" s="394"/>
      <c r="AK266" s="394"/>
      <c r="AL266" s="394"/>
      <c r="AM266" s="395"/>
      <c r="AN266" s="394"/>
      <c r="AO266" s="394"/>
      <c r="AP266" s="394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216"/>
      <c r="O267" s="216"/>
      <c r="P267" s="7"/>
      <c r="Q267" s="7"/>
      <c r="R267" s="7"/>
      <c r="S267" s="7"/>
      <c r="T267" s="359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393"/>
      <c r="AJ267" s="394"/>
      <c r="AK267" s="394"/>
      <c r="AL267" s="394"/>
      <c r="AM267" s="395"/>
      <c r="AN267" s="394"/>
      <c r="AO267" s="394"/>
      <c r="AP267" s="394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216"/>
      <c r="O268" s="216"/>
      <c r="P268" s="7"/>
      <c r="Q268" s="7"/>
      <c r="R268" s="7"/>
      <c r="S268" s="7"/>
      <c r="T268" s="359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393"/>
      <c r="AJ268" s="394"/>
      <c r="AK268" s="394"/>
      <c r="AL268" s="394"/>
      <c r="AM268" s="395"/>
      <c r="AN268" s="394"/>
      <c r="AO268" s="394"/>
      <c r="AP268" s="394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216"/>
      <c r="O269" s="216"/>
      <c r="P269" s="7"/>
      <c r="Q269" s="7"/>
      <c r="R269" s="7"/>
      <c r="S269" s="7"/>
      <c r="T269" s="359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393"/>
      <c r="AJ269" s="394"/>
      <c r="AK269" s="394"/>
      <c r="AL269" s="394"/>
      <c r="AM269" s="395"/>
      <c r="AN269" s="394"/>
      <c r="AO269" s="394"/>
      <c r="AP269" s="394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216"/>
      <c r="O270" s="216"/>
      <c r="P270" s="7"/>
      <c r="Q270" s="7"/>
      <c r="R270" s="7"/>
      <c r="S270" s="7"/>
      <c r="T270" s="359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393"/>
      <c r="AJ270" s="394"/>
      <c r="AK270" s="394"/>
      <c r="AL270" s="394"/>
      <c r="AM270" s="395"/>
      <c r="AN270" s="394"/>
      <c r="AO270" s="394"/>
      <c r="AP270" s="394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216"/>
      <c r="O271" s="216"/>
      <c r="P271" s="7"/>
      <c r="Q271" s="7"/>
      <c r="R271" s="7"/>
      <c r="S271" s="7"/>
      <c r="T271" s="359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393"/>
      <c r="AJ271" s="394"/>
      <c r="AK271" s="394"/>
      <c r="AL271" s="394"/>
      <c r="AM271" s="395"/>
      <c r="AN271" s="394"/>
      <c r="AO271" s="394"/>
      <c r="AP271" s="394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216"/>
      <c r="O272" s="216"/>
      <c r="P272" s="7"/>
      <c r="Q272" s="7"/>
      <c r="R272" s="7"/>
      <c r="S272" s="7"/>
      <c r="T272" s="359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393"/>
      <c r="AJ272" s="394"/>
      <c r="AK272" s="394"/>
      <c r="AL272" s="394"/>
      <c r="AM272" s="395"/>
      <c r="AN272" s="394"/>
      <c r="AO272" s="394"/>
      <c r="AP272" s="394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216"/>
      <c r="O273" s="216"/>
      <c r="P273" s="7"/>
      <c r="Q273" s="7"/>
      <c r="R273" s="7"/>
      <c r="S273" s="7"/>
      <c r="T273" s="359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393"/>
      <c r="AJ273" s="394"/>
      <c r="AK273" s="394"/>
      <c r="AL273" s="394"/>
      <c r="AM273" s="395"/>
      <c r="AN273" s="394"/>
      <c r="AO273" s="394"/>
      <c r="AP273" s="394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216"/>
      <c r="O274" s="216"/>
      <c r="P274" s="7"/>
      <c r="Q274" s="7"/>
      <c r="R274" s="7"/>
      <c r="S274" s="7"/>
      <c r="T274" s="359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393"/>
      <c r="AJ274" s="394"/>
      <c r="AK274" s="394"/>
      <c r="AL274" s="394"/>
      <c r="AM274" s="395"/>
      <c r="AN274" s="394"/>
      <c r="AO274" s="394"/>
      <c r="AP274" s="394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216"/>
      <c r="O275" s="216"/>
      <c r="P275" s="7"/>
      <c r="Q275" s="7"/>
      <c r="R275" s="7"/>
      <c r="S275" s="7"/>
      <c r="T275" s="359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393"/>
      <c r="AJ275" s="394"/>
      <c r="AK275" s="394"/>
      <c r="AL275" s="394"/>
      <c r="AM275" s="395"/>
      <c r="AN275" s="394"/>
      <c r="AO275" s="394"/>
      <c r="AP275" s="394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216"/>
      <c r="O276" s="216"/>
      <c r="P276" s="7"/>
      <c r="Q276" s="7"/>
      <c r="R276" s="7"/>
      <c r="S276" s="7"/>
      <c r="T276" s="359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393"/>
      <c r="AJ276" s="394"/>
      <c r="AK276" s="394"/>
      <c r="AL276" s="394"/>
      <c r="AM276" s="395"/>
      <c r="AN276" s="394"/>
      <c r="AO276" s="394"/>
      <c r="AP276" s="394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216"/>
      <c r="O277" s="216"/>
      <c r="P277" s="7"/>
      <c r="Q277" s="7"/>
      <c r="R277" s="7"/>
      <c r="S277" s="7"/>
      <c r="T277" s="359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393"/>
      <c r="AJ277" s="394"/>
      <c r="AK277" s="394"/>
      <c r="AL277" s="394"/>
      <c r="AM277" s="395"/>
      <c r="AN277" s="394"/>
      <c r="AO277" s="394"/>
      <c r="AP277" s="394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216"/>
      <c r="O278" s="216"/>
      <c r="P278" s="7"/>
      <c r="Q278" s="7"/>
      <c r="R278" s="7"/>
      <c r="S278" s="7"/>
      <c r="T278" s="359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393"/>
      <c r="AJ278" s="394"/>
      <c r="AK278" s="394"/>
      <c r="AL278" s="394"/>
      <c r="AM278" s="395"/>
      <c r="AN278" s="394"/>
      <c r="AO278" s="394"/>
      <c r="AP278" s="394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216"/>
      <c r="O279" s="216"/>
      <c r="P279" s="7"/>
      <c r="Q279" s="7"/>
      <c r="R279" s="7"/>
      <c r="S279" s="7"/>
      <c r="T279" s="359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393"/>
      <c r="AJ279" s="394"/>
      <c r="AK279" s="394"/>
      <c r="AL279" s="394"/>
      <c r="AM279" s="395"/>
      <c r="AN279" s="394"/>
      <c r="AO279" s="394"/>
      <c r="AP279" s="394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216"/>
      <c r="O280" s="216"/>
      <c r="P280" s="7"/>
      <c r="Q280" s="7"/>
      <c r="R280" s="7"/>
      <c r="S280" s="7"/>
      <c r="T280" s="359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393"/>
      <c r="AJ280" s="394"/>
      <c r="AK280" s="394"/>
      <c r="AL280" s="394"/>
      <c r="AM280" s="395"/>
      <c r="AN280" s="394"/>
      <c r="AO280" s="394"/>
      <c r="AP280" s="394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216"/>
      <c r="O281" s="216"/>
      <c r="P281" s="7"/>
      <c r="Q281" s="7"/>
      <c r="R281" s="7"/>
      <c r="S281" s="7"/>
      <c r="T281" s="359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393"/>
      <c r="AJ281" s="394"/>
      <c r="AK281" s="394"/>
      <c r="AL281" s="394"/>
      <c r="AM281" s="395"/>
      <c r="AN281" s="394"/>
      <c r="AO281" s="394"/>
      <c r="AP281" s="394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216"/>
      <c r="O282" s="216"/>
      <c r="P282" s="7"/>
      <c r="Q282" s="7"/>
      <c r="R282" s="7"/>
      <c r="S282" s="7"/>
      <c r="T282" s="359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393"/>
      <c r="AJ282" s="394"/>
      <c r="AK282" s="394"/>
      <c r="AL282" s="394"/>
      <c r="AM282" s="395"/>
      <c r="AN282" s="394"/>
      <c r="AO282" s="394"/>
      <c r="AP282" s="394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216"/>
      <c r="O283" s="216"/>
      <c r="P283" s="7"/>
      <c r="Q283" s="7"/>
      <c r="R283" s="7"/>
      <c r="S283" s="7"/>
      <c r="T283" s="359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393"/>
      <c r="AJ283" s="394"/>
      <c r="AK283" s="394"/>
      <c r="AL283" s="394"/>
      <c r="AM283" s="395"/>
      <c r="AN283" s="394"/>
      <c r="AO283" s="394"/>
      <c r="AP283" s="394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216"/>
      <c r="O284" s="216"/>
      <c r="P284" s="7"/>
      <c r="Q284" s="7"/>
      <c r="R284" s="7"/>
      <c r="S284" s="7"/>
      <c r="T284" s="359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393"/>
      <c r="AJ284" s="394"/>
      <c r="AK284" s="394"/>
      <c r="AL284" s="394"/>
      <c r="AM284" s="395"/>
      <c r="AN284" s="394"/>
      <c r="AO284" s="394"/>
      <c r="AP284" s="394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216"/>
      <c r="O285" s="216"/>
      <c r="P285" s="7"/>
      <c r="Q285" s="7"/>
      <c r="R285" s="7"/>
      <c r="S285" s="7"/>
      <c r="T285" s="359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393"/>
      <c r="AJ285" s="394"/>
      <c r="AK285" s="394"/>
      <c r="AL285" s="394"/>
      <c r="AM285" s="395"/>
      <c r="AN285" s="394"/>
      <c r="AO285" s="394"/>
      <c r="AP285" s="394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216"/>
      <c r="O286" s="216"/>
      <c r="P286" s="7"/>
      <c r="Q286" s="7"/>
      <c r="R286" s="7"/>
      <c r="S286" s="7"/>
      <c r="T286" s="359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393"/>
      <c r="AJ286" s="394"/>
      <c r="AK286" s="394"/>
      <c r="AL286" s="394"/>
      <c r="AM286" s="395"/>
      <c r="AN286" s="394"/>
      <c r="AO286" s="394"/>
      <c r="AP286" s="394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216"/>
      <c r="O287" s="216"/>
      <c r="P287" s="7"/>
      <c r="Q287" s="7"/>
      <c r="R287" s="7"/>
      <c r="S287" s="7"/>
      <c r="T287" s="359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393"/>
      <c r="AJ287" s="394"/>
      <c r="AK287" s="394"/>
      <c r="AL287" s="394"/>
      <c r="AM287" s="395"/>
      <c r="AN287" s="394"/>
      <c r="AO287" s="394"/>
      <c r="AP287" s="394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216"/>
      <c r="O288" s="216"/>
      <c r="P288" s="7"/>
      <c r="Q288" s="7"/>
      <c r="R288" s="7"/>
      <c r="S288" s="7"/>
      <c r="T288" s="359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393"/>
      <c r="AJ288" s="394"/>
      <c r="AK288" s="394"/>
      <c r="AL288" s="394"/>
      <c r="AM288" s="395"/>
      <c r="AN288" s="394"/>
      <c r="AO288" s="394"/>
      <c r="AP288" s="394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216"/>
      <c r="O289" s="216"/>
      <c r="P289" s="7"/>
      <c r="Q289" s="7"/>
      <c r="R289" s="7"/>
      <c r="S289" s="7"/>
      <c r="T289" s="359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393"/>
      <c r="AJ289" s="394"/>
      <c r="AK289" s="394"/>
      <c r="AL289" s="394"/>
      <c r="AM289" s="395"/>
      <c r="AN289" s="394"/>
      <c r="AO289" s="394"/>
      <c r="AP289" s="394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216"/>
      <c r="O290" s="216"/>
      <c r="P290" s="7"/>
      <c r="Q290" s="7"/>
      <c r="R290" s="7"/>
      <c r="S290" s="7"/>
      <c r="T290" s="359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393"/>
      <c r="AJ290" s="394"/>
      <c r="AK290" s="394"/>
      <c r="AL290" s="394"/>
      <c r="AM290" s="395"/>
      <c r="AN290" s="394"/>
      <c r="AO290" s="394"/>
      <c r="AP290" s="394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216"/>
      <c r="O291" s="216"/>
      <c r="P291" s="7"/>
      <c r="Q291" s="7"/>
      <c r="R291" s="7"/>
      <c r="S291" s="7"/>
      <c r="T291" s="359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393"/>
      <c r="AJ291" s="394"/>
      <c r="AK291" s="394"/>
      <c r="AL291" s="394"/>
      <c r="AM291" s="395"/>
      <c r="AN291" s="394"/>
      <c r="AO291" s="394"/>
      <c r="AP291" s="394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216"/>
      <c r="O292" s="216"/>
      <c r="P292" s="7"/>
      <c r="Q292" s="7"/>
      <c r="R292" s="7"/>
      <c r="S292" s="7"/>
      <c r="T292" s="359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393"/>
      <c r="AJ292" s="394"/>
      <c r="AK292" s="394"/>
      <c r="AL292" s="394"/>
      <c r="AM292" s="395"/>
      <c r="AN292" s="394"/>
      <c r="AO292" s="394"/>
      <c r="AP292" s="394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216"/>
      <c r="O293" s="216"/>
      <c r="P293" s="7"/>
      <c r="Q293" s="7"/>
      <c r="R293" s="7"/>
      <c r="S293" s="7"/>
      <c r="T293" s="359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393"/>
      <c r="AJ293" s="394"/>
      <c r="AK293" s="394"/>
      <c r="AL293" s="394"/>
      <c r="AM293" s="395"/>
      <c r="AN293" s="394"/>
      <c r="AO293" s="394"/>
      <c r="AP293" s="394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216"/>
      <c r="O294" s="216"/>
      <c r="P294" s="7"/>
      <c r="Q294" s="7"/>
      <c r="R294" s="7"/>
      <c r="S294" s="7"/>
      <c r="T294" s="359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393"/>
      <c r="AJ294" s="394"/>
      <c r="AK294" s="394"/>
      <c r="AL294" s="394"/>
      <c r="AM294" s="395"/>
      <c r="AN294" s="394"/>
      <c r="AO294" s="394"/>
      <c r="AP294" s="394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216"/>
      <c r="O295" s="216"/>
      <c r="P295" s="7"/>
      <c r="Q295" s="7"/>
      <c r="R295" s="7"/>
      <c r="S295" s="7"/>
      <c r="T295" s="359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393"/>
      <c r="AJ295" s="394"/>
      <c r="AK295" s="394"/>
      <c r="AL295" s="394"/>
      <c r="AM295" s="395"/>
      <c r="AN295" s="394"/>
      <c r="AO295" s="394"/>
      <c r="AP295" s="394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216"/>
      <c r="O296" s="216"/>
      <c r="P296" s="7"/>
      <c r="Q296" s="7"/>
      <c r="R296" s="7"/>
      <c r="S296" s="7"/>
      <c r="T296" s="359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393"/>
      <c r="AJ296" s="394"/>
      <c r="AK296" s="394"/>
      <c r="AL296" s="394"/>
      <c r="AM296" s="395"/>
      <c r="AN296" s="394"/>
      <c r="AO296" s="394"/>
      <c r="AP296" s="394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216"/>
      <c r="O297" s="216"/>
      <c r="P297" s="7"/>
      <c r="Q297" s="7"/>
      <c r="R297" s="7"/>
      <c r="S297" s="7"/>
      <c r="T297" s="359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393"/>
      <c r="AJ297" s="394"/>
      <c r="AK297" s="394"/>
      <c r="AL297" s="394"/>
      <c r="AM297" s="395"/>
      <c r="AN297" s="394"/>
      <c r="AO297" s="394"/>
      <c r="AP297" s="394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216"/>
      <c r="O298" s="216"/>
      <c r="P298" s="7"/>
      <c r="Q298" s="7"/>
      <c r="R298" s="7"/>
      <c r="S298" s="7"/>
      <c r="T298" s="359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393"/>
      <c r="AJ298" s="394"/>
      <c r="AK298" s="394"/>
      <c r="AL298" s="394"/>
      <c r="AM298" s="395"/>
      <c r="AN298" s="394"/>
      <c r="AO298" s="394"/>
      <c r="AP298" s="394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216"/>
      <c r="O299" s="216"/>
      <c r="P299" s="7"/>
      <c r="Q299" s="7"/>
      <c r="R299" s="7"/>
      <c r="S299" s="7"/>
      <c r="T299" s="359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393"/>
      <c r="AJ299" s="394"/>
      <c r="AK299" s="394"/>
      <c r="AL299" s="394"/>
      <c r="AM299" s="395"/>
      <c r="AN299" s="394"/>
      <c r="AO299" s="394"/>
      <c r="AP299" s="394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216"/>
      <c r="O300" s="216"/>
      <c r="P300" s="7"/>
      <c r="Q300" s="7"/>
      <c r="R300" s="7"/>
      <c r="S300" s="7"/>
      <c r="T300" s="359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393"/>
      <c r="AJ300" s="394"/>
      <c r="AK300" s="394"/>
      <c r="AL300" s="394"/>
      <c r="AM300" s="395"/>
      <c r="AN300" s="394"/>
      <c r="AO300" s="394"/>
      <c r="AP300" s="394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216"/>
      <c r="O301" s="216"/>
      <c r="P301" s="7"/>
      <c r="Q301" s="7"/>
      <c r="R301" s="7"/>
      <c r="S301" s="7"/>
      <c r="T301" s="359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393"/>
      <c r="AJ301" s="394"/>
      <c r="AK301" s="394"/>
      <c r="AL301" s="394"/>
      <c r="AM301" s="395"/>
      <c r="AN301" s="394"/>
      <c r="AO301" s="394"/>
      <c r="AP301" s="394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216"/>
      <c r="O302" s="216"/>
      <c r="P302" s="7"/>
      <c r="Q302" s="7"/>
      <c r="R302" s="7"/>
      <c r="S302" s="7"/>
      <c r="T302" s="359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393"/>
      <c r="AJ302" s="394"/>
      <c r="AK302" s="394"/>
      <c r="AL302" s="394"/>
      <c r="AM302" s="395"/>
      <c r="AN302" s="394"/>
      <c r="AO302" s="394"/>
      <c r="AP302" s="394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216"/>
      <c r="O303" s="216"/>
      <c r="P303" s="7"/>
      <c r="Q303" s="7"/>
      <c r="R303" s="7"/>
      <c r="S303" s="7"/>
      <c r="T303" s="359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393"/>
      <c r="AJ303" s="394"/>
      <c r="AK303" s="394"/>
      <c r="AL303" s="394"/>
      <c r="AM303" s="395"/>
      <c r="AN303" s="394"/>
      <c r="AO303" s="394"/>
      <c r="AP303" s="394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216"/>
      <c r="O304" s="216"/>
      <c r="P304" s="7"/>
      <c r="Q304" s="7"/>
      <c r="R304" s="7"/>
      <c r="S304" s="7"/>
      <c r="T304" s="359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393"/>
      <c r="AJ304" s="394"/>
      <c r="AK304" s="394"/>
      <c r="AL304" s="394"/>
      <c r="AM304" s="395"/>
      <c r="AN304" s="394"/>
      <c r="AO304" s="394"/>
      <c r="AP304" s="394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216"/>
      <c r="O305" s="216"/>
      <c r="P305" s="7"/>
      <c r="Q305" s="7"/>
      <c r="R305" s="7"/>
      <c r="S305" s="7"/>
      <c r="T305" s="359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393"/>
      <c r="AJ305" s="394"/>
      <c r="AK305" s="394"/>
      <c r="AL305" s="394"/>
      <c r="AM305" s="395"/>
      <c r="AN305" s="394"/>
      <c r="AO305" s="394"/>
      <c r="AP305" s="394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216"/>
      <c r="O306" s="216"/>
      <c r="P306" s="7"/>
      <c r="Q306" s="7"/>
      <c r="R306" s="7"/>
      <c r="S306" s="7"/>
      <c r="T306" s="359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393"/>
      <c r="AJ306" s="394"/>
      <c r="AK306" s="394"/>
      <c r="AL306" s="394"/>
      <c r="AM306" s="395"/>
      <c r="AN306" s="394"/>
      <c r="AO306" s="394"/>
      <c r="AP306" s="394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216"/>
      <c r="O307" s="216"/>
      <c r="P307" s="7"/>
      <c r="Q307" s="7"/>
      <c r="R307" s="7"/>
      <c r="S307" s="7"/>
      <c r="T307" s="359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393"/>
      <c r="AJ307" s="394"/>
      <c r="AK307" s="394"/>
      <c r="AL307" s="394"/>
      <c r="AM307" s="395"/>
      <c r="AN307" s="394"/>
      <c r="AO307" s="394"/>
      <c r="AP307" s="394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216"/>
      <c r="O308" s="216"/>
      <c r="P308" s="7"/>
      <c r="Q308" s="7"/>
      <c r="R308" s="7"/>
      <c r="S308" s="7"/>
      <c r="T308" s="359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393"/>
      <c r="AJ308" s="394"/>
      <c r="AK308" s="394"/>
      <c r="AL308" s="394"/>
      <c r="AM308" s="395"/>
      <c r="AN308" s="394"/>
      <c r="AO308" s="394"/>
      <c r="AP308" s="394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216"/>
      <c r="O309" s="216"/>
      <c r="P309" s="7"/>
      <c r="Q309" s="7"/>
      <c r="R309" s="7"/>
      <c r="S309" s="7"/>
      <c r="T309" s="359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393"/>
      <c r="AJ309" s="394"/>
      <c r="AK309" s="394"/>
      <c r="AL309" s="394"/>
      <c r="AM309" s="395"/>
      <c r="AN309" s="394"/>
      <c r="AO309" s="394"/>
      <c r="AP309" s="394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216"/>
      <c r="O310" s="216"/>
      <c r="P310" s="7"/>
      <c r="Q310" s="7"/>
      <c r="R310" s="7"/>
      <c r="S310" s="7"/>
      <c r="T310" s="359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393"/>
      <c r="AJ310" s="394"/>
      <c r="AK310" s="394"/>
      <c r="AL310" s="394"/>
      <c r="AM310" s="395"/>
      <c r="AN310" s="394"/>
      <c r="AO310" s="394"/>
      <c r="AP310" s="394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216"/>
      <c r="O311" s="216"/>
      <c r="P311" s="7"/>
      <c r="Q311" s="7"/>
      <c r="R311" s="7"/>
      <c r="S311" s="7"/>
      <c r="T311" s="359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393"/>
      <c r="AJ311" s="394"/>
      <c r="AK311" s="394"/>
      <c r="AL311" s="394"/>
      <c r="AM311" s="395"/>
      <c r="AN311" s="394"/>
      <c r="AO311" s="394"/>
      <c r="AP311" s="394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216"/>
      <c r="O312" s="216"/>
      <c r="P312" s="7"/>
      <c r="Q312" s="7"/>
      <c r="R312" s="7"/>
      <c r="S312" s="7"/>
      <c r="T312" s="359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393"/>
      <c r="AJ312" s="394"/>
      <c r="AK312" s="394"/>
      <c r="AL312" s="394"/>
      <c r="AM312" s="395"/>
      <c r="AN312" s="394"/>
      <c r="AO312" s="394"/>
      <c r="AP312" s="394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216"/>
      <c r="O313" s="216"/>
      <c r="P313" s="7"/>
      <c r="Q313" s="7"/>
      <c r="R313" s="7"/>
      <c r="S313" s="7"/>
      <c r="T313" s="359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393"/>
      <c r="AJ313" s="394"/>
      <c r="AK313" s="394"/>
      <c r="AL313" s="394"/>
      <c r="AM313" s="395"/>
      <c r="AN313" s="394"/>
      <c r="AO313" s="394"/>
      <c r="AP313" s="394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216"/>
      <c r="O314" s="216"/>
      <c r="P314" s="7"/>
      <c r="Q314" s="7"/>
      <c r="R314" s="7"/>
      <c r="S314" s="7"/>
      <c r="T314" s="359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393"/>
      <c r="AJ314" s="394"/>
      <c r="AK314" s="394"/>
      <c r="AL314" s="394"/>
      <c r="AM314" s="395"/>
      <c r="AN314" s="394"/>
      <c r="AO314" s="394"/>
      <c r="AP314" s="394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2:D2"/>
    <mergeCell ref="E2:E3"/>
    <mergeCell ref="F2:F3"/>
    <mergeCell ref="G2:G3"/>
    <mergeCell ref="H2:H3"/>
    <mergeCell ref="I2:J2"/>
    <mergeCell ref="L2:M2"/>
    <mergeCell ref="S2:W2"/>
    <mergeCell ref="X2:AB2"/>
    <mergeCell ref="AC2:AG2"/>
    <mergeCell ref="S1:AL1"/>
    <mergeCell ref="AM1:AM3"/>
    <mergeCell ref="AN1:AN3"/>
    <mergeCell ref="AO1:AO3"/>
    <mergeCell ref="AP1:AP3"/>
    <mergeCell ref="A2:A3"/>
    <mergeCell ref="B2:B3"/>
    <mergeCell ref="AH2:AL2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1" width="4.86"/>
    <col customWidth="1" min="2" max="2" width="24.86"/>
    <col customWidth="1" min="3" max="3" width="10.57"/>
    <col customWidth="1" min="4" max="4" width="10.43"/>
    <col customWidth="1" min="5" max="5" width="10.29"/>
    <col customWidth="1" min="6" max="7" width="9.71"/>
  </cols>
  <sheetData>
    <row r="2">
      <c r="A2" s="3"/>
      <c r="B2" s="5"/>
      <c r="C2" s="5"/>
      <c r="D2" s="7"/>
      <c r="E2" s="234"/>
      <c r="F2" s="234"/>
      <c r="G2" s="234"/>
    </row>
    <row r="3">
      <c r="A3" s="3"/>
      <c r="B3" s="5"/>
      <c r="C3" s="5"/>
      <c r="D3" s="7"/>
      <c r="E3" s="234"/>
      <c r="F3" s="234"/>
      <c r="G3" s="234"/>
    </row>
    <row r="4">
      <c r="A4" s="17" t="s">
        <v>0</v>
      </c>
      <c r="B4" s="19" t="s">
        <v>2</v>
      </c>
      <c r="C4" s="22" t="s">
        <v>9</v>
      </c>
      <c r="D4" s="31"/>
      <c r="E4" s="36" t="s">
        <v>26</v>
      </c>
      <c r="F4" s="36" t="s">
        <v>25</v>
      </c>
    </row>
    <row r="5">
      <c r="A5" s="25"/>
      <c r="B5" s="25"/>
      <c r="C5" s="59" t="s">
        <v>4</v>
      </c>
      <c r="D5" s="59" t="s">
        <v>41</v>
      </c>
      <c r="E5" s="25"/>
      <c r="F5" s="25"/>
    </row>
    <row r="6">
      <c r="A6" s="157" t="s">
        <v>159</v>
      </c>
      <c r="B6" s="159" t="s">
        <v>177</v>
      </c>
      <c r="C6" s="201">
        <v>46288.0</v>
      </c>
      <c r="D6" s="201">
        <v>46289.0</v>
      </c>
      <c r="E6" s="47">
        <v>0.01390644753476612</v>
      </c>
      <c r="F6" s="47">
        <v>0.5</v>
      </c>
    </row>
    <row r="7">
      <c r="A7" s="157" t="s">
        <v>171</v>
      </c>
      <c r="B7" s="159" t="s">
        <v>178</v>
      </c>
      <c r="C7" s="201">
        <v>46285.0</v>
      </c>
      <c r="D7" s="201">
        <v>46286.0</v>
      </c>
      <c r="E7" s="47">
        <v>0.018963337547408345</v>
      </c>
      <c r="F7" s="47">
        <v>0.8</v>
      </c>
    </row>
    <row r="8">
      <c r="A8" s="157" t="s">
        <v>175</v>
      </c>
      <c r="B8" s="159" t="s">
        <v>179</v>
      </c>
      <c r="C8" s="201">
        <v>46287.0</v>
      </c>
      <c r="D8" s="201">
        <v>46287.0</v>
      </c>
      <c r="E8" s="47">
        <v>0.012642225031605562</v>
      </c>
      <c r="F8" s="47">
        <v>0.0</v>
      </c>
    </row>
    <row r="9">
      <c r="A9" s="130" t="s">
        <v>182</v>
      </c>
      <c r="B9" s="132" t="s">
        <v>183</v>
      </c>
      <c r="C9" s="91">
        <v>46289.0</v>
      </c>
      <c r="D9" s="91">
        <v>46289.0</v>
      </c>
      <c r="E9" s="115">
        <v>0.0</v>
      </c>
      <c r="F9" s="115">
        <v>0.0</v>
      </c>
    </row>
    <row r="10">
      <c r="A10" s="236">
        <v>3.0</v>
      </c>
      <c r="B10" s="237" t="s">
        <v>184</v>
      </c>
      <c r="C10" s="238">
        <v>46290.0</v>
      </c>
      <c r="D10" s="238">
        <v>46310.0</v>
      </c>
      <c r="E10" s="224">
        <v>0.19848293299620734</v>
      </c>
      <c r="F10" s="224">
        <v>0.0</v>
      </c>
    </row>
    <row r="11">
      <c r="A11" s="242">
        <v>3.1</v>
      </c>
      <c r="B11" s="243" t="s">
        <v>185</v>
      </c>
      <c r="C11" s="244">
        <v>46290.0</v>
      </c>
      <c r="D11" s="244">
        <v>46297.0</v>
      </c>
      <c r="E11" s="226">
        <v>0.07585335018963338</v>
      </c>
      <c r="F11" s="226">
        <v>0.0</v>
      </c>
    </row>
    <row r="12">
      <c r="A12" s="157" t="s">
        <v>186</v>
      </c>
      <c r="B12" s="159" t="s">
        <v>187</v>
      </c>
      <c r="C12" s="201">
        <v>46290.0</v>
      </c>
      <c r="D12" s="201">
        <v>46293.0</v>
      </c>
      <c r="E12" s="47">
        <v>0.03792667509481669</v>
      </c>
      <c r="F12" s="47">
        <v>0.0</v>
      </c>
    </row>
    <row r="13">
      <c r="A13" s="157" t="s">
        <v>188</v>
      </c>
      <c r="B13" s="266" t="s">
        <v>189</v>
      </c>
      <c r="C13" s="201">
        <v>46294.0</v>
      </c>
      <c r="D13" s="201">
        <v>46297.0</v>
      </c>
      <c r="E13" s="47">
        <v>0.03792667509481669</v>
      </c>
      <c r="F13" s="47">
        <v>0.0</v>
      </c>
    </row>
    <row r="14">
      <c r="A14" s="242">
        <v>3.2</v>
      </c>
      <c r="B14" s="267" t="s">
        <v>190</v>
      </c>
      <c r="C14" s="244">
        <v>46298.0</v>
      </c>
      <c r="D14" s="244">
        <v>46303.0</v>
      </c>
      <c r="E14" s="226">
        <v>0.06447534766118837</v>
      </c>
      <c r="F14" s="226">
        <v>0.0</v>
      </c>
    </row>
    <row r="15">
      <c r="A15" s="157" t="s">
        <v>191</v>
      </c>
      <c r="B15" s="266" t="s">
        <v>192</v>
      </c>
      <c r="C15" s="201">
        <v>46298.0</v>
      </c>
      <c r="D15" s="201">
        <v>46298.0</v>
      </c>
      <c r="E15" s="47">
        <v>0.0012642225031605564</v>
      </c>
      <c r="F15" s="47">
        <v>0.0</v>
      </c>
    </row>
    <row r="16">
      <c r="A16" s="157" t="s">
        <v>193</v>
      </c>
      <c r="B16" s="266" t="s">
        <v>194</v>
      </c>
      <c r="C16" s="201">
        <v>46298.0</v>
      </c>
      <c r="D16" s="201">
        <v>46300.0</v>
      </c>
      <c r="E16" s="47">
        <v>0.0316055625790139</v>
      </c>
      <c r="F16" s="47">
        <v>0.0</v>
      </c>
    </row>
    <row r="17">
      <c r="A17" s="157" t="s">
        <v>195</v>
      </c>
      <c r="B17" s="266" t="s">
        <v>196</v>
      </c>
      <c r="C17" s="201">
        <v>46301.0</v>
      </c>
      <c r="D17" s="201">
        <v>46303.0</v>
      </c>
      <c r="E17" s="47">
        <v>0.0316055625790139</v>
      </c>
      <c r="F17" s="47">
        <v>0.0</v>
      </c>
    </row>
    <row r="18">
      <c r="A18" s="242">
        <v>3.3</v>
      </c>
      <c r="B18" s="243" t="s">
        <v>199</v>
      </c>
      <c r="C18" s="244">
        <v>46304.0</v>
      </c>
      <c r="D18" s="244">
        <v>46307.0</v>
      </c>
      <c r="E18" s="226">
        <v>0.03286978508217446</v>
      </c>
      <c r="F18" s="226">
        <v>0.0</v>
      </c>
    </row>
    <row r="19">
      <c r="A19" s="157" t="s">
        <v>200</v>
      </c>
      <c r="B19" s="268" t="s">
        <v>201</v>
      </c>
      <c r="C19" s="201">
        <v>46304.0</v>
      </c>
      <c r="D19" s="201">
        <v>46305.0</v>
      </c>
      <c r="E19" s="47">
        <v>0.012642225031605562</v>
      </c>
      <c r="F19" s="47">
        <v>0.0</v>
      </c>
    </row>
    <row r="20">
      <c r="A20" s="157" t="s">
        <v>202</v>
      </c>
      <c r="B20" s="159" t="s">
        <v>203</v>
      </c>
      <c r="C20" s="201">
        <v>46305.0</v>
      </c>
      <c r="D20" s="201">
        <v>46305.0</v>
      </c>
      <c r="E20" s="186">
        <v>0.0012642225031605564</v>
      </c>
      <c r="F20" s="186">
        <v>0.0</v>
      </c>
    </row>
    <row r="21" ht="15.75" customHeight="1">
      <c r="A21" s="157" t="s">
        <v>204</v>
      </c>
      <c r="B21" s="159" t="s">
        <v>205</v>
      </c>
      <c r="C21" s="201">
        <v>46306.0</v>
      </c>
      <c r="D21" s="201">
        <v>46307.0</v>
      </c>
      <c r="E21" s="47">
        <v>0.018963337547408345</v>
      </c>
      <c r="F21" s="47">
        <v>0.0</v>
      </c>
    </row>
    <row r="22" ht="15.75" customHeight="1">
      <c r="A22" s="242">
        <v>3.4</v>
      </c>
      <c r="B22" s="243" t="s">
        <v>206</v>
      </c>
      <c r="C22" s="244">
        <v>46308.0</v>
      </c>
      <c r="D22" s="244">
        <v>46310.0</v>
      </c>
      <c r="E22" s="226">
        <v>0.025284450063211124</v>
      </c>
      <c r="F22" s="226">
        <v>0.0</v>
      </c>
    </row>
    <row r="23" ht="15.75" customHeight="1">
      <c r="A23" s="157" t="s">
        <v>207</v>
      </c>
      <c r="B23" s="159" t="s">
        <v>208</v>
      </c>
      <c r="C23" s="201">
        <v>46308.0</v>
      </c>
      <c r="D23" s="201">
        <v>46309.0</v>
      </c>
      <c r="E23" s="47">
        <v>0.012642225031605562</v>
      </c>
      <c r="F23" s="47">
        <v>0.0</v>
      </c>
    </row>
    <row r="24" ht="15.75" customHeight="1">
      <c r="A24" s="157" t="s">
        <v>209</v>
      </c>
      <c r="B24" s="159" t="s">
        <v>210</v>
      </c>
      <c r="C24" s="201">
        <v>46309.0</v>
      </c>
      <c r="D24" s="201">
        <v>46310.0</v>
      </c>
      <c r="E24" s="47">
        <v>0.012642225031605562</v>
      </c>
      <c r="F24" s="47">
        <v>0.0</v>
      </c>
    </row>
    <row r="25" ht="15.75" customHeight="1">
      <c r="A25" s="130" t="s">
        <v>211</v>
      </c>
      <c r="B25" s="132" t="s">
        <v>212</v>
      </c>
      <c r="C25" s="91">
        <v>46310.0</v>
      </c>
      <c r="D25" s="91">
        <v>46310.0</v>
      </c>
      <c r="E25" s="115">
        <v>0.0</v>
      </c>
      <c r="F25" s="115">
        <v>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A5"/>
    <mergeCell ref="B4:B5"/>
    <mergeCell ref="C4:D4"/>
    <mergeCell ref="E4:E5"/>
    <mergeCell ref="F4:F5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1" width="4.86"/>
    <col customWidth="1" min="2" max="2" width="27.43"/>
    <col customWidth="1" min="3" max="3" width="10.57"/>
    <col customWidth="1" min="4" max="4" width="10.43"/>
    <col customWidth="1" min="5" max="5" width="9.86"/>
    <col customWidth="1" min="6" max="6" width="14.43"/>
  </cols>
  <sheetData>
    <row r="2">
      <c r="A2" s="3"/>
      <c r="B2" s="5"/>
      <c r="C2" s="5"/>
      <c r="D2" s="7"/>
      <c r="E2" s="216"/>
      <c r="F2" s="234"/>
      <c r="G2" s="84"/>
      <c r="H2" s="234"/>
      <c r="I2" s="234"/>
      <c r="J2" s="234"/>
      <c r="K2" s="234"/>
      <c r="L2" s="234"/>
    </row>
    <row r="3">
      <c r="A3" s="273" t="s">
        <v>0</v>
      </c>
      <c r="B3" s="273" t="s">
        <v>2</v>
      </c>
      <c r="C3" s="274" t="s">
        <v>9</v>
      </c>
      <c r="D3" s="6"/>
      <c r="E3" s="275" t="s">
        <v>235</v>
      </c>
      <c r="F3" s="276" t="s">
        <v>236</v>
      </c>
      <c r="G3" s="277"/>
      <c r="H3" s="278"/>
      <c r="I3" s="278"/>
      <c r="J3" s="278"/>
      <c r="K3" s="278"/>
      <c r="L3" s="278"/>
    </row>
    <row r="4">
      <c r="A4" s="25"/>
      <c r="B4" s="25"/>
      <c r="C4" s="62" t="s">
        <v>4</v>
      </c>
      <c r="D4" s="62" t="s">
        <v>41</v>
      </c>
      <c r="E4" s="25"/>
      <c r="F4" s="25"/>
      <c r="G4" s="277"/>
      <c r="H4" s="278"/>
      <c r="I4" s="278"/>
      <c r="J4" s="278"/>
      <c r="K4" s="278"/>
      <c r="L4" s="278"/>
    </row>
    <row r="5">
      <c r="A5" s="242" t="s">
        <v>237</v>
      </c>
      <c r="B5" s="243" t="s">
        <v>239</v>
      </c>
      <c r="C5" s="244">
        <v>46280.0</v>
      </c>
      <c r="D5" s="244">
        <v>46282.0</v>
      </c>
      <c r="E5" s="279"/>
      <c r="F5" s="279">
        <f>SUM(F6:F7)</f>
        <v>0.02528445006</v>
      </c>
      <c r="G5" s="280"/>
      <c r="H5" s="280"/>
      <c r="I5" s="280"/>
      <c r="J5" s="280"/>
      <c r="K5" s="280"/>
      <c r="L5" s="280"/>
    </row>
    <row r="6">
      <c r="A6" s="157" t="s">
        <v>131</v>
      </c>
      <c r="B6" s="159" t="s">
        <v>241</v>
      </c>
      <c r="C6" s="201">
        <v>46280.0</v>
      </c>
      <c r="D6" s="201">
        <v>46282.0</v>
      </c>
      <c r="E6" s="186">
        <v>1.0</v>
      </c>
      <c r="F6" s="47">
        <v>0.012642225031605562</v>
      </c>
      <c r="G6" s="281"/>
      <c r="H6" s="234"/>
      <c r="I6" s="234"/>
      <c r="J6" s="234"/>
      <c r="K6" s="234"/>
      <c r="L6" s="234"/>
    </row>
    <row r="7">
      <c r="A7" s="157" t="s">
        <v>133</v>
      </c>
      <c r="B7" s="159" t="s">
        <v>242</v>
      </c>
      <c r="C7" s="201">
        <v>46281.0</v>
      </c>
      <c r="D7" s="201">
        <v>46282.0</v>
      </c>
      <c r="E7" s="186">
        <v>1.0</v>
      </c>
      <c r="F7" s="47">
        <v>0.012642225031605562</v>
      </c>
      <c r="G7" s="281"/>
      <c r="H7" s="234"/>
      <c r="I7" s="234"/>
      <c r="J7" s="234"/>
      <c r="K7" s="234"/>
      <c r="L7" s="234"/>
    </row>
    <row r="8">
      <c r="A8" s="242" t="s">
        <v>243</v>
      </c>
      <c r="B8" s="243" t="s">
        <v>181</v>
      </c>
      <c r="C8" s="244">
        <v>46283.0</v>
      </c>
      <c r="D8" s="244">
        <v>46285.0</v>
      </c>
      <c r="E8" s="279"/>
      <c r="F8" s="279">
        <f>SUM(F9:F11)</f>
        <v>0.03160556258</v>
      </c>
      <c r="G8" s="280"/>
      <c r="H8" s="280"/>
      <c r="I8" s="280"/>
      <c r="J8" s="280"/>
      <c r="K8" s="280"/>
      <c r="L8" s="280"/>
    </row>
    <row r="9">
      <c r="A9" s="157" t="s">
        <v>147</v>
      </c>
      <c r="B9" s="159" t="s">
        <v>198</v>
      </c>
      <c r="C9" s="201">
        <v>46283.0</v>
      </c>
      <c r="D9" s="201">
        <v>46284.0</v>
      </c>
      <c r="E9" s="186">
        <v>1.0</v>
      </c>
      <c r="F9" s="47">
        <v>0.012642225031605562</v>
      </c>
      <c r="G9" s="281"/>
      <c r="H9" s="234"/>
      <c r="I9" s="234"/>
      <c r="J9" s="234"/>
      <c r="K9" s="234"/>
      <c r="L9" s="234"/>
    </row>
    <row r="10">
      <c r="A10" s="157" t="s">
        <v>149</v>
      </c>
      <c r="B10" s="159" t="s">
        <v>215</v>
      </c>
      <c r="C10" s="201">
        <v>46284.0</v>
      </c>
      <c r="D10" s="201">
        <v>46285.0</v>
      </c>
      <c r="E10" s="186">
        <v>1.0</v>
      </c>
      <c r="F10" s="47">
        <v>0.012642225031605562</v>
      </c>
      <c r="G10" s="281"/>
      <c r="H10" s="234"/>
      <c r="I10" s="234"/>
      <c r="J10" s="234"/>
      <c r="K10" s="234"/>
      <c r="L10" s="234"/>
    </row>
    <row r="11">
      <c r="A11" s="157" t="s">
        <v>151</v>
      </c>
      <c r="B11" s="159" t="s">
        <v>217</v>
      </c>
      <c r="C11" s="201">
        <v>46285.0</v>
      </c>
      <c r="D11" s="201">
        <v>46285.0</v>
      </c>
      <c r="E11" s="186">
        <v>1.0</v>
      </c>
      <c r="F11" s="186">
        <v>0.006321112515802781</v>
      </c>
      <c r="G11" s="234"/>
      <c r="H11" s="234"/>
      <c r="I11" s="234"/>
      <c r="J11" s="234"/>
      <c r="K11" s="234"/>
      <c r="L11" s="234"/>
    </row>
    <row r="12">
      <c r="A12" s="242" t="s">
        <v>246</v>
      </c>
      <c r="B12" s="243" t="s">
        <v>219</v>
      </c>
      <c r="C12" s="244">
        <v>46286.0</v>
      </c>
      <c r="D12" s="244">
        <v>46289.0</v>
      </c>
      <c r="E12" s="279"/>
      <c r="F12" s="279">
        <f>SUM(F13:F15)</f>
        <v>0.0399494311</v>
      </c>
      <c r="G12" s="280"/>
      <c r="H12" s="280"/>
      <c r="I12" s="280"/>
      <c r="J12" s="280"/>
      <c r="K12" s="280"/>
      <c r="L12" s="280"/>
    </row>
    <row r="13">
      <c r="A13" s="157" t="s">
        <v>157</v>
      </c>
      <c r="B13" s="164" t="s">
        <v>221</v>
      </c>
      <c r="C13" s="201">
        <v>46286.0</v>
      </c>
      <c r="D13" s="201">
        <v>46287.0</v>
      </c>
      <c r="E13" s="186">
        <v>1.0</v>
      </c>
      <c r="F13" s="186">
        <v>0.018963337547408345</v>
      </c>
      <c r="G13" s="234"/>
      <c r="H13" s="234"/>
      <c r="I13" s="234"/>
      <c r="J13" s="234"/>
      <c r="K13" s="234"/>
      <c r="L13" s="234"/>
    </row>
    <row r="14">
      <c r="A14" s="283" t="s">
        <v>159</v>
      </c>
      <c r="B14" s="284" t="s">
        <v>177</v>
      </c>
      <c r="C14" s="285">
        <v>46288.0</v>
      </c>
      <c r="D14" s="285">
        <v>46289.0</v>
      </c>
      <c r="E14" s="286">
        <v>0.5</v>
      </c>
      <c r="F14" s="186">
        <v>0.00834386852085967</v>
      </c>
      <c r="G14" s="234"/>
      <c r="H14" s="234"/>
      <c r="I14" s="234"/>
      <c r="J14" s="234"/>
      <c r="K14" s="234"/>
      <c r="L14" s="234"/>
    </row>
    <row r="15">
      <c r="A15" s="157" t="s">
        <v>161</v>
      </c>
      <c r="B15" s="159" t="s">
        <v>224</v>
      </c>
      <c r="C15" s="201">
        <v>46286.0</v>
      </c>
      <c r="D15" s="201">
        <v>46287.0</v>
      </c>
      <c r="E15" s="186">
        <v>1.0</v>
      </c>
      <c r="F15" s="186">
        <v>0.012642225031605562</v>
      </c>
      <c r="G15" s="234"/>
      <c r="H15" s="234"/>
      <c r="I15" s="234"/>
      <c r="J15" s="234"/>
      <c r="K15" s="234"/>
      <c r="L15" s="234"/>
    </row>
    <row r="16">
      <c r="A16" s="242" t="s">
        <v>251</v>
      </c>
      <c r="B16" s="243" t="s">
        <v>227</v>
      </c>
      <c r="C16" s="244">
        <v>46282.0</v>
      </c>
      <c r="D16" s="244">
        <v>46287.0</v>
      </c>
      <c r="E16" s="279"/>
      <c r="F16" s="279">
        <f>SUM(F17:F19)</f>
        <v>0.04804045512</v>
      </c>
      <c r="G16" s="280"/>
      <c r="H16" s="280"/>
      <c r="I16" s="280"/>
      <c r="J16" s="280"/>
      <c r="K16" s="280"/>
      <c r="L16" s="280"/>
    </row>
    <row r="17">
      <c r="A17" s="157" t="s">
        <v>169</v>
      </c>
      <c r="B17" s="159" t="s">
        <v>229</v>
      </c>
      <c r="C17" s="201">
        <v>46282.0</v>
      </c>
      <c r="D17" s="201">
        <v>46284.0</v>
      </c>
      <c r="E17" s="186">
        <v>1.0</v>
      </c>
      <c r="F17" s="186">
        <v>0.018963337547408345</v>
      </c>
      <c r="G17" s="234"/>
      <c r="H17" s="234"/>
      <c r="I17" s="234"/>
      <c r="J17" s="234"/>
      <c r="K17" s="234"/>
      <c r="L17" s="234"/>
    </row>
    <row r="18">
      <c r="A18" s="283" t="s">
        <v>171</v>
      </c>
      <c r="B18" s="284" t="s">
        <v>178</v>
      </c>
      <c r="C18" s="285">
        <v>46285.0</v>
      </c>
      <c r="D18" s="285">
        <v>46286.0</v>
      </c>
      <c r="E18" s="286">
        <v>0.8</v>
      </c>
      <c r="F18" s="186">
        <v>0.018963337547408345</v>
      </c>
      <c r="G18" s="234"/>
      <c r="H18" s="234"/>
      <c r="I18" s="234"/>
      <c r="J18" s="234"/>
      <c r="K18" s="234"/>
      <c r="L18" s="234"/>
    </row>
    <row r="19">
      <c r="A19" s="283" t="s">
        <v>175</v>
      </c>
      <c r="B19" s="284" t="s">
        <v>179</v>
      </c>
      <c r="C19" s="285">
        <v>46287.0</v>
      </c>
      <c r="D19" s="285">
        <v>46287.0</v>
      </c>
      <c r="E19" s="286">
        <v>0.0</v>
      </c>
      <c r="F19" s="186">
        <v>0.010113780025284451</v>
      </c>
      <c r="G19" s="234"/>
      <c r="H19" s="234"/>
      <c r="I19" s="234"/>
      <c r="J19" s="234"/>
      <c r="K19" s="234"/>
      <c r="L19" s="234"/>
    </row>
    <row r="20">
      <c r="A20" s="242" t="s">
        <v>253</v>
      </c>
      <c r="B20" s="243" t="s">
        <v>234</v>
      </c>
      <c r="C20" s="244">
        <v>46287.0</v>
      </c>
      <c r="D20" s="244">
        <v>46289.0</v>
      </c>
      <c r="E20" s="279"/>
      <c r="F20" s="279">
        <f>SUM(F21:F22)</f>
        <v>0.03160556258</v>
      </c>
      <c r="G20" s="280"/>
      <c r="H20" s="280"/>
      <c r="I20" s="280"/>
      <c r="J20" s="280"/>
      <c r="K20" s="280"/>
      <c r="L20" s="280"/>
    </row>
    <row r="21" ht="15.75" customHeight="1">
      <c r="A21" s="157" t="s">
        <v>197</v>
      </c>
      <c r="B21" s="159" t="s">
        <v>245</v>
      </c>
      <c r="C21" s="201">
        <v>46287.0</v>
      </c>
      <c r="D21" s="201">
        <v>46288.0</v>
      </c>
      <c r="E21" s="186">
        <v>1.0</v>
      </c>
      <c r="F21" s="186">
        <v>0.018963337547408345</v>
      </c>
      <c r="G21" s="234"/>
      <c r="H21" s="234"/>
      <c r="I21" s="234"/>
      <c r="J21" s="234"/>
      <c r="K21" s="234"/>
      <c r="L21" s="234"/>
    </row>
    <row r="22" ht="15.75" customHeight="1">
      <c r="A22" s="287" t="s">
        <v>214</v>
      </c>
      <c r="B22" s="159" t="s">
        <v>252</v>
      </c>
      <c r="C22" s="201">
        <v>46289.0</v>
      </c>
      <c r="D22" s="201">
        <v>46289.0</v>
      </c>
      <c r="E22" s="186">
        <v>1.0</v>
      </c>
      <c r="F22" s="186">
        <v>0.012642225031605562</v>
      </c>
      <c r="G22" s="234"/>
      <c r="H22" s="234"/>
      <c r="I22" s="234"/>
      <c r="J22" s="234"/>
      <c r="K22" s="234"/>
      <c r="L22" s="234"/>
    </row>
    <row r="23" ht="15.75" customHeight="1"/>
    <row r="24" ht="15.75" customHeight="1"/>
    <row r="25" ht="15.75" customHeight="1"/>
    <row r="26" ht="15.75" customHeight="1">
      <c r="F26" s="290"/>
      <c r="G26" s="290"/>
      <c r="H26" s="290"/>
      <c r="I26" s="290"/>
      <c r="J26" s="290"/>
      <c r="K26" s="290"/>
      <c r="L26" s="290"/>
    </row>
    <row r="27" ht="15.75" customHeight="1"/>
    <row r="28" ht="15.75" customHeight="1">
      <c r="A28" s="2" t="s">
        <v>1</v>
      </c>
      <c r="B28" s="6"/>
      <c r="C28" s="15" t="s">
        <v>255</v>
      </c>
      <c r="D28" s="15" t="s">
        <v>11</v>
      </c>
      <c r="E28" s="15" t="s">
        <v>17</v>
      </c>
      <c r="F28" s="15" t="s">
        <v>19</v>
      </c>
      <c r="G28" s="291"/>
      <c r="H28" s="291"/>
      <c r="I28" s="291"/>
      <c r="J28" s="291"/>
      <c r="K28" s="291"/>
      <c r="L28" s="291"/>
    </row>
    <row r="29" ht="15.75" customHeight="1">
      <c r="A29" s="23" t="s">
        <v>0</v>
      </c>
      <c r="B29" s="23" t="s">
        <v>21</v>
      </c>
      <c r="C29" s="25"/>
      <c r="D29" s="25"/>
      <c r="E29" s="25"/>
      <c r="F29" s="25"/>
      <c r="G29" s="291"/>
      <c r="H29" s="291"/>
      <c r="I29" s="291"/>
      <c r="J29" s="291"/>
      <c r="K29" s="291"/>
      <c r="L29" s="291"/>
    </row>
    <row r="30" ht="15.75" customHeight="1">
      <c r="A30" s="28">
        <v>0.0</v>
      </c>
      <c r="B30" s="30" t="s">
        <v>23</v>
      </c>
      <c r="C30" s="33">
        <v>46268.0</v>
      </c>
      <c r="D30" s="39">
        <v>0.0</v>
      </c>
      <c r="E30" s="39">
        <v>0.0</v>
      </c>
      <c r="F30" s="47">
        <f t="shared" ref="F30:F35" si="1">E30-D30</f>
        <v>0</v>
      </c>
      <c r="G30" s="281"/>
      <c r="H30" s="281"/>
      <c r="I30" s="281"/>
      <c r="J30" s="281"/>
      <c r="K30" s="281"/>
      <c r="L30" s="281"/>
    </row>
    <row r="31" ht="15.75" customHeight="1">
      <c r="A31" s="28">
        <v>1.0</v>
      </c>
      <c r="B31" s="54" t="s">
        <v>38</v>
      </c>
      <c r="C31" s="33">
        <v>46275.0</v>
      </c>
      <c r="D31" s="39">
        <v>0.04298356510745892</v>
      </c>
      <c r="E31" s="39">
        <v>0.04298356510745892</v>
      </c>
      <c r="F31" s="47">
        <f t="shared" si="1"/>
        <v>0</v>
      </c>
      <c r="G31" s="281"/>
      <c r="H31" s="281"/>
      <c r="I31" s="281"/>
      <c r="J31" s="281"/>
      <c r="K31" s="281"/>
      <c r="L31" s="281"/>
    </row>
    <row r="32" ht="15.75" customHeight="1">
      <c r="A32" s="292" t="s">
        <v>159</v>
      </c>
      <c r="B32" s="182" t="s">
        <v>177</v>
      </c>
      <c r="C32" s="293">
        <v>46288.0</v>
      </c>
      <c r="D32" s="186">
        <v>0.1593</v>
      </c>
      <c r="E32" s="47">
        <v>0.1523</v>
      </c>
      <c r="F32" s="47">
        <f t="shared" si="1"/>
        <v>-0.007</v>
      </c>
      <c r="G32" s="281"/>
      <c r="H32" s="281"/>
      <c r="I32" s="281"/>
      <c r="J32" s="281"/>
      <c r="K32" s="281"/>
      <c r="L32" s="281"/>
    </row>
    <row r="33" ht="15.75" customHeight="1">
      <c r="A33" s="292" t="s">
        <v>171</v>
      </c>
      <c r="B33" s="182" t="s">
        <v>178</v>
      </c>
      <c r="C33" s="293">
        <v>46285.0</v>
      </c>
      <c r="D33" s="186">
        <v>0.2099</v>
      </c>
      <c r="E33" s="47">
        <v>0.1991</v>
      </c>
      <c r="F33" s="47">
        <f t="shared" si="1"/>
        <v>-0.0108</v>
      </c>
      <c r="G33" s="281"/>
      <c r="H33" s="281"/>
      <c r="I33" s="281"/>
      <c r="J33" s="281"/>
      <c r="K33" s="281"/>
      <c r="L33" s="281"/>
    </row>
    <row r="34" ht="15.75" customHeight="1">
      <c r="A34" s="292" t="s">
        <v>175</v>
      </c>
      <c r="B34" s="182" t="s">
        <v>179</v>
      </c>
      <c r="C34" s="293">
        <v>46287.0</v>
      </c>
      <c r="D34" s="186">
        <v>0.2225</v>
      </c>
      <c r="E34" s="47">
        <v>0.1991</v>
      </c>
      <c r="F34" s="47">
        <f t="shared" si="1"/>
        <v>-0.0234</v>
      </c>
      <c r="G34" s="281"/>
      <c r="H34" s="281"/>
      <c r="I34" s="281"/>
      <c r="J34" s="281"/>
      <c r="K34" s="281"/>
      <c r="L34" s="281"/>
    </row>
    <row r="35" ht="15.75" customHeight="1">
      <c r="A35" s="28">
        <v>2.0</v>
      </c>
      <c r="B35" s="54" t="s">
        <v>47</v>
      </c>
      <c r="C35" s="33">
        <v>46289.0</v>
      </c>
      <c r="D35" s="186">
        <v>0.2541</v>
      </c>
      <c r="E35" s="47">
        <v>0.2307</v>
      </c>
      <c r="F35" s="47">
        <f t="shared" si="1"/>
        <v>-0.0234</v>
      </c>
      <c r="G35" s="281"/>
      <c r="H35" s="281"/>
      <c r="I35" s="281"/>
      <c r="J35" s="281"/>
      <c r="K35" s="281"/>
      <c r="L35" s="281"/>
    </row>
    <row r="36" ht="15.75" customHeight="1">
      <c r="A36" s="28">
        <v>3.0</v>
      </c>
      <c r="B36" s="54" t="s">
        <v>51</v>
      </c>
      <c r="C36" s="33">
        <v>46310.0</v>
      </c>
      <c r="D36" s="39">
        <v>0.4525916561314791</v>
      </c>
      <c r="E36" s="39"/>
      <c r="F36" s="39"/>
      <c r="G36" s="295"/>
      <c r="H36" s="295"/>
      <c r="I36" s="295"/>
      <c r="J36" s="295"/>
      <c r="K36" s="295"/>
      <c r="L36" s="295"/>
    </row>
    <row r="37" ht="15.75" customHeight="1">
      <c r="A37" s="80">
        <v>4.0</v>
      </c>
      <c r="B37" s="54" t="s">
        <v>52</v>
      </c>
      <c r="C37" s="33">
        <v>46331.0</v>
      </c>
      <c r="D37" s="47">
        <v>0.6523388116308473</v>
      </c>
      <c r="E37" s="39"/>
      <c r="F37" s="47"/>
      <c r="G37" s="281"/>
      <c r="H37" s="281"/>
      <c r="I37" s="281"/>
      <c r="J37" s="281"/>
      <c r="K37" s="281"/>
      <c r="L37" s="281"/>
    </row>
    <row r="38" ht="15.75" customHeight="1">
      <c r="A38" s="80">
        <v>5.0</v>
      </c>
      <c r="B38" s="54" t="s">
        <v>53</v>
      </c>
      <c r="C38" s="33">
        <v>46352.0</v>
      </c>
      <c r="D38" s="47">
        <v>0.8836915297092294</v>
      </c>
      <c r="E38" s="39"/>
      <c r="F38" s="47"/>
      <c r="G38" s="281"/>
      <c r="H38" s="281"/>
      <c r="I38" s="281"/>
      <c r="J38" s="281"/>
      <c r="K38" s="281"/>
      <c r="L38" s="281"/>
    </row>
    <row r="39" ht="15.75" customHeight="1">
      <c r="A39" s="28">
        <v>6.0</v>
      </c>
      <c r="B39" s="54" t="s">
        <v>56</v>
      </c>
      <c r="C39" s="33">
        <v>46367.0</v>
      </c>
      <c r="D39" s="39">
        <v>1.0000000000000007</v>
      </c>
      <c r="E39" s="39"/>
      <c r="F39" s="47"/>
      <c r="G39" s="281"/>
      <c r="H39" s="281"/>
      <c r="I39" s="281"/>
      <c r="J39" s="281"/>
      <c r="K39" s="281"/>
      <c r="L39" s="281"/>
    </row>
    <row r="40" ht="15.75" customHeight="1"/>
    <row r="41" ht="15.75" customHeight="1"/>
    <row r="42" ht="15.75" customHeight="1">
      <c r="A42" s="1" t="s">
        <v>0</v>
      </c>
      <c r="B42" s="1" t="s">
        <v>2</v>
      </c>
      <c r="C42" s="4" t="s">
        <v>259</v>
      </c>
      <c r="D42" s="8" t="s">
        <v>8</v>
      </c>
      <c r="E42" s="10" t="s">
        <v>10</v>
      </c>
      <c r="F42" s="10" t="s">
        <v>14</v>
      </c>
      <c r="G42" s="10" t="s">
        <v>260</v>
      </c>
      <c r="H42" s="1" t="s">
        <v>15</v>
      </c>
      <c r="I42" s="1" t="s">
        <v>16</v>
      </c>
    </row>
    <row r="43" ht="15.75" customHeight="1">
      <c r="A43" s="296" t="s">
        <v>54</v>
      </c>
      <c r="B43" s="297" t="s">
        <v>55</v>
      </c>
      <c r="C43" s="298">
        <v>46268.0</v>
      </c>
      <c r="D43" s="299">
        <v>0.0</v>
      </c>
      <c r="E43" s="299">
        <v>0.0</v>
      </c>
      <c r="F43" s="300">
        <v>0.0</v>
      </c>
      <c r="G43" s="300">
        <f>F43</f>
        <v>0</v>
      </c>
      <c r="H43" s="301">
        <v>0.0</v>
      </c>
      <c r="I43" s="301">
        <v>0.0</v>
      </c>
    </row>
    <row r="44" ht="15.75" customHeight="1">
      <c r="A44" s="53" t="s">
        <v>57</v>
      </c>
      <c r="B44" s="302" t="s">
        <v>59</v>
      </c>
      <c r="C44" s="60">
        <v>46268.0</v>
      </c>
      <c r="D44" s="74">
        <v>76.5</v>
      </c>
      <c r="E44" s="74">
        <v>76.5</v>
      </c>
      <c r="F44" s="74">
        <v>36.34</v>
      </c>
      <c r="G44" s="74">
        <f t="shared" ref="G44:G58" si="2">F44*100/$F$58</f>
        <v>13.93351482</v>
      </c>
      <c r="H44" s="92">
        <v>0.04298356510745892</v>
      </c>
      <c r="I44" s="92">
        <v>0.0</v>
      </c>
    </row>
    <row r="45" ht="15.75" customHeight="1">
      <c r="A45" s="303" t="s">
        <v>109</v>
      </c>
      <c r="B45" s="304" t="s">
        <v>110</v>
      </c>
      <c r="C45" s="305">
        <v>46275.0</v>
      </c>
      <c r="D45" s="306">
        <v>0.0</v>
      </c>
      <c r="E45" s="306">
        <v>76.5</v>
      </c>
      <c r="F45" s="306">
        <v>36.34</v>
      </c>
      <c r="G45" s="74">
        <f t="shared" si="2"/>
        <v>13.93351482</v>
      </c>
      <c r="H45" s="248">
        <v>0.04298356510745892</v>
      </c>
      <c r="I45" s="47">
        <v>0.04298356510745892</v>
      </c>
    </row>
    <row r="46" ht="15.75" customHeight="1">
      <c r="A46" s="292" t="s">
        <v>159</v>
      </c>
      <c r="B46" s="307" t="s">
        <v>177</v>
      </c>
      <c r="C46" s="293">
        <v>46288.0</v>
      </c>
      <c r="D46" s="186">
        <v>0.11</v>
      </c>
      <c r="E46" s="306">
        <v>503.0</v>
      </c>
      <c r="F46" s="306">
        <v>106.36</v>
      </c>
      <c r="G46" s="74">
        <f t="shared" si="2"/>
        <v>40.78064491</v>
      </c>
      <c r="H46" s="186">
        <v>0.1593</v>
      </c>
      <c r="I46" s="47">
        <v>0.1523</v>
      </c>
    </row>
    <row r="47" ht="15.75" customHeight="1">
      <c r="A47" s="292" t="s">
        <v>171</v>
      </c>
      <c r="B47" s="307" t="s">
        <v>178</v>
      </c>
      <c r="C47" s="293">
        <v>46285.0</v>
      </c>
      <c r="D47" s="186">
        <v>0.15</v>
      </c>
      <c r="E47" s="233">
        <v>549.5</v>
      </c>
      <c r="F47" s="306">
        <v>114.19</v>
      </c>
      <c r="G47" s="74">
        <f t="shared" si="2"/>
        <v>43.78283041</v>
      </c>
      <c r="H47" s="186">
        <v>0.2099</v>
      </c>
      <c r="I47" s="47">
        <v>0.1991</v>
      </c>
    </row>
    <row r="48" ht="15.75" customHeight="1">
      <c r="A48" s="292" t="s">
        <v>175</v>
      </c>
      <c r="B48" s="307" t="s">
        <v>179</v>
      </c>
      <c r="C48" s="293">
        <v>46287.0</v>
      </c>
      <c r="D48" s="186">
        <v>0.1</v>
      </c>
      <c r="E48" s="233">
        <v>559.5</v>
      </c>
      <c r="F48" s="306">
        <v>115.87</v>
      </c>
      <c r="G48" s="74">
        <f t="shared" si="2"/>
        <v>44.42697749</v>
      </c>
      <c r="H48" s="186">
        <v>0.2225</v>
      </c>
      <c r="I48" s="47">
        <v>0.1991</v>
      </c>
    </row>
    <row r="49" ht="15.75" customHeight="1">
      <c r="A49" s="53" t="s">
        <v>111</v>
      </c>
      <c r="B49" s="302" t="s">
        <v>112</v>
      </c>
      <c r="C49" s="60">
        <v>46289.0</v>
      </c>
      <c r="D49" s="74">
        <v>573.0</v>
      </c>
      <c r="E49" s="74">
        <v>649.5</v>
      </c>
      <c r="F49" s="74">
        <v>129.22000000000006</v>
      </c>
      <c r="G49" s="74">
        <f t="shared" si="2"/>
        <v>49.54564626</v>
      </c>
      <c r="H49" s="186">
        <v>0.2541</v>
      </c>
      <c r="I49" s="47">
        <v>0.2307</v>
      </c>
    </row>
    <row r="50" ht="15.75" customHeight="1">
      <c r="A50" s="308" t="s">
        <v>182</v>
      </c>
      <c r="B50" s="304" t="s">
        <v>183</v>
      </c>
      <c r="C50" s="305">
        <v>46289.0</v>
      </c>
      <c r="D50" s="306">
        <v>0.0</v>
      </c>
      <c r="E50" s="306">
        <v>649.5</v>
      </c>
      <c r="F50" s="306">
        <v>129.22000000000006</v>
      </c>
      <c r="G50" s="74">
        <f t="shared" si="2"/>
        <v>49.54564626</v>
      </c>
      <c r="H50" s="248">
        <v>0.2541087231352718</v>
      </c>
      <c r="I50" s="47">
        <v>0.23072060682680148</v>
      </c>
    </row>
    <row r="51" ht="15.75" customHeight="1">
      <c r="A51" s="157">
        <v>3.0</v>
      </c>
      <c r="B51" s="309" t="s">
        <v>184</v>
      </c>
      <c r="C51" s="166">
        <v>46310.0</v>
      </c>
      <c r="D51" s="172">
        <v>182.0</v>
      </c>
      <c r="E51" s="172">
        <v>831.5</v>
      </c>
      <c r="F51" s="172">
        <v>160.59000000000006</v>
      </c>
      <c r="G51" s="74">
        <f t="shared" si="2"/>
        <v>61.5735593</v>
      </c>
      <c r="H51" s="47">
        <v>0.4525916561314791</v>
      </c>
      <c r="I51" s="92"/>
    </row>
    <row r="52" ht="15.75" customHeight="1">
      <c r="A52" s="308" t="s">
        <v>211</v>
      </c>
      <c r="B52" s="304" t="s">
        <v>212</v>
      </c>
      <c r="C52" s="305">
        <v>46310.0</v>
      </c>
      <c r="D52" s="306">
        <v>0.0</v>
      </c>
      <c r="E52" s="306">
        <v>831.5</v>
      </c>
      <c r="F52" s="306">
        <v>160.59000000000006</v>
      </c>
      <c r="G52" s="74">
        <f t="shared" si="2"/>
        <v>61.5735593</v>
      </c>
      <c r="H52" s="248">
        <v>0.4525916561314791</v>
      </c>
      <c r="I52" s="47"/>
    </row>
    <row r="53" ht="15.75" customHeight="1">
      <c r="A53" s="157">
        <v>4.0</v>
      </c>
      <c r="B53" s="309" t="s">
        <v>275</v>
      </c>
      <c r="C53" s="166">
        <v>46331.0</v>
      </c>
      <c r="D53" s="172">
        <v>201.0</v>
      </c>
      <c r="E53" s="172">
        <v>1032.5</v>
      </c>
      <c r="F53" s="172">
        <v>196.93000000000006</v>
      </c>
      <c r="G53" s="74">
        <f t="shared" si="2"/>
        <v>75.50707412</v>
      </c>
      <c r="H53" s="47">
        <v>0.6523388116308473</v>
      </c>
      <c r="I53" s="92"/>
    </row>
    <row r="54" ht="15.75" customHeight="1">
      <c r="A54" s="308" t="s">
        <v>276</v>
      </c>
      <c r="B54" s="304" t="s">
        <v>277</v>
      </c>
      <c r="C54" s="305">
        <v>46331.0</v>
      </c>
      <c r="D54" s="306">
        <v>0.0</v>
      </c>
      <c r="E54" s="306">
        <v>1032.5</v>
      </c>
      <c r="F54" s="306">
        <v>196.93000000000006</v>
      </c>
      <c r="G54" s="74">
        <f t="shared" si="2"/>
        <v>75.50707412</v>
      </c>
      <c r="H54" s="248">
        <v>0.6523388116308473</v>
      </c>
      <c r="I54" s="47"/>
    </row>
    <row r="55" ht="15.75" customHeight="1">
      <c r="A55" s="157">
        <v>5.0</v>
      </c>
      <c r="B55" s="309" t="s">
        <v>280</v>
      </c>
      <c r="C55" s="166">
        <v>46352.0</v>
      </c>
      <c r="D55" s="172">
        <v>249.0</v>
      </c>
      <c r="E55" s="172">
        <v>1281.5</v>
      </c>
      <c r="F55" s="172">
        <v>240.69000000000003</v>
      </c>
      <c r="G55" s="74">
        <f t="shared" si="2"/>
        <v>92.28557187</v>
      </c>
      <c r="H55" s="47">
        <v>0.8836915297092294</v>
      </c>
      <c r="I55" s="92"/>
    </row>
    <row r="56" ht="15.75" customHeight="1">
      <c r="A56" s="308" t="s">
        <v>281</v>
      </c>
      <c r="B56" s="304" t="s">
        <v>53</v>
      </c>
      <c r="C56" s="305">
        <v>46352.0</v>
      </c>
      <c r="D56" s="306">
        <v>0.0</v>
      </c>
      <c r="E56" s="306">
        <v>1281.5</v>
      </c>
      <c r="F56" s="306">
        <v>240.69000000000003</v>
      </c>
      <c r="G56" s="74">
        <f t="shared" si="2"/>
        <v>92.28557187</v>
      </c>
      <c r="H56" s="248">
        <v>0.8836915297092294</v>
      </c>
      <c r="I56" s="47"/>
    </row>
    <row r="57" ht="15.75" customHeight="1">
      <c r="A57" s="157">
        <v>6.0</v>
      </c>
      <c r="B57" s="309" t="s">
        <v>282</v>
      </c>
      <c r="C57" s="166">
        <v>46367.0</v>
      </c>
      <c r="D57" s="172">
        <v>93.0</v>
      </c>
      <c r="E57" s="172">
        <v>1374.5</v>
      </c>
      <c r="F57" s="172">
        <v>260.81000000000006</v>
      </c>
      <c r="G57" s="74">
        <f t="shared" si="2"/>
        <v>100</v>
      </c>
      <c r="H57" s="47">
        <v>1.0000000000000007</v>
      </c>
      <c r="I57" s="92"/>
    </row>
    <row r="58" ht="15.75" customHeight="1">
      <c r="A58" s="308" t="s">
        <v>283</v>
      </c>
      <c r="B58" s="304" t="s">
        <v>56</v>
      </c>
      <c r="C58" s="305">
        <v>46367.0</v>
      </c>
      <c r="D58" s="306">
        <v>0.0</v>
      </c>
      <c r="E58" s="306">
        <v>1374.5</v>
      </c>
      <c r="F58" s="306">
        <v>260.81000000000006</v>
      </c>
      <c r="G58" s="74">
        <f t="shared" si="2"/>
        <v>100</v>
      </c>
      <c r="H58" s="248">
        <v>1.0000000000000007</v>
      </c>
      <c r="I58" s="4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28:D29"/>
    <mergeCell ref="E28:E29"/>
    <mergeCell ref="A3:A4"/>
    <mergeCell ref="B3:B4"/>
    <mergeCell ref="C3:D3"/>
    <mergeCell ref="E3:E4"/>
    <mergeCell ref="F3:F4"/>
    <mergeCell ref="A28:B28"/>
    <mergeCell ref="C28:C29"/>
    <mergeCell ref="F28:F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2.57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5.0"/>
    <col customWidth="1" min="14" max="14" width="10.14"/>
    <col customWidth="1" min="15" max="15" width="8.71"/>
    <col customWidth="1" min="16" max="16" width="3.14"/>
    <col customWidth="1" min="17" max="17" width="9.57"/>
    <col customWidth="1" min="18" max="19" width="7.57"/>
    <col customWidth="1" min="20" max="20" width="8.71"/>
    <col customWidth="1" min="21" max="21" width="3.14"/>
    <col customWidth="1" min="22" max="22" width="9.57"/>
    <col customWidth="1" min="23" max="24" width="7.57"/>
    <col customWidth="1" min="25" max="25" width="8.71"/>
    <col customWidth="1" min="26" max="26" width="3.14"/>
    <col customWidth="1" min="27" max="27" width="9.57"/>
    <col customWidth="1" min="28" max="29" width="7.57"/>
    <col customWidth="1" min="30" max="30" width="8.71"/>
    <col customWidth="1" min="31" max="31" width="3.14"/>
    <col customWidth="1" min="32" max="32" width="9.57"/>
    <col customWidth="1" min="33" max="34" width="7.57"/>
    <col customWidth="1" min="35" max="35" width="8.71"/>
    <col customWidth="1" min="36" max="36" width="3.14"/>
    <col customWidth="1" min="37" max="37" width="9.57"/>
    <col customWidth="1" min="38" max="39" width="7.57"/>
    <col customWidth="1" min="40" max="40" width="8.71"/>
    <col customWidth="1" min="41" max="41" width="3.14"/>
    <col customWidth="1" min="42" max="42" width="9.57"/>
    <col customWidth="1" min="43" max="43" width="7.57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20"/>
      <c r="N1" s="324" t="s">
        <v>318</v>
      </c>
      <c r="O1" s="325"/>
      <c r="P1" s="325"/>
      <c r="Q1" s="325"/>
      <c r="R1" s="16"/>
      <c r="S1" s="324" t="s">
        <v>321</v>
      </c>
      <c r="T1" s="325"/>
      <c r="U1" s="325"/>
      <c r="V1" s="325"/>
      <c r="W1" s="16"/>
      <c r="X1" s="324" t="s">
        <v>322</v>
      </c>
      <c r="Y1" s="325"/>
      <c r="Z1" s="325"/>
      <c r="AA1" s="325"/>
      <c r="AB1" s="16"/>
      <c r="AC1" s="324" t="s">
        <v>323</v>
      </c>
      <c r="AD1" s="325"/>
      <c r="AE1" s="325"/>
      <c r="AF1" s="325"/>
      <c r="AG1" s="16"/>
      <c r="AH1" s="324" t="s">
        <v>324</v>
      </c>
      <c r="AI1" s="325"/>
      <c r="AJ1" s="325"/>
      <c r="AK1" s="325"/>
      <c r="AL1" s="16"/>
      <c r="AM1" s="324" t="s">
        <v>325</v>
      </c>
      <c r="AN1" s="325"/>
      <c r="AO1" s="325"/>
      <c r="AP1" s="325"/>
      <c r="AQ1" s="16"/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20"/>
      <c r="N2" s="40"/>
      <c r="O2" s="45"/>
      <c r="P2" s="45"/>
      <c r="Q2" s="45"/>
      <c r="R2" s="31"/>
      <c r="S2" s="40"/>
      <c r="T2" s="45"/>
      <c r="U2" s="45"/>
      <c r="V2" s="45"/>
      <c r="W2" s="31"/>
      <c r="X2" s="40"/>
      <c r="Y2" s="45"/>
      <c r="Z2" s="45"/>
      <c r="AA2" s="45"/>
      <c r="AB2" s="31"/>
      <c r="AC2" s="40"/>
      <c r="AD2" s="45"/>
      <c r="AE2" s="45"/>
      <c r="AF2" s="45"/>
      <c r="AG2" s="31"/>
      <c r="AH2" s="40"/>
      <c r="AI2" s="45"/>
      <c r="AJ2" s="45"/>
      <c r="AK2" s="45"/>
      <c r="AL2" s="31"/>
      <c r="AM2" s="40"/>
      <c r="AN2" s="45"/>
      <c r="AO2" s="45"/>
      <c r="AP2" s="45"/>
      <c r="AQ2" s="31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42</v>
      </c>
      <c r="J3" s="76" t="s">
        <v>43</v>
      </c>
      <c r="K3" s="76" t="s">
        <v>44</v>
      </c>
      <c r="L3" s="76" t="s">
        <v>45</v>
      </c>
      <c r="M3" s="76" t="s">
        <v>43</v>
      </c>
      <c r="N3" s="326" t="s">
        <v>46</v>
      </c>
      <c r="O3" s="326" t="s">
        <v>48</v>
      </c>
      <c r="P3" s="326" t="s">
        <v>49</v>
      </c>
      <c r="Q3" s="326" t="s">
        <v>50</v>
      </c>
      <c r="R3" s="326" t="s">
        <v>32</v>
      </c>
      <c r="S3" s="326" t="s">
        <v>46</v>
      </c>
      <c r="T3" s="326" t="s">
        <v>48</v>
      </c>
      <c r="U3" s="326" t="s">
        <v>49</v>
      </c>
      <c r="V3" s="326" t="s">
        <v>50</v>
      </c>
      <c r="W3" s="326" t="s">
        <v>32</v>
      </c>
      <c r="X3" s="326" t="s">
        <v>46</v>
      </c>
      <c r="Y3" s="326" t="s">
        <v>48</v>
      </c>
      <c r="Z3" s="326" t="s">
        <v>49</v>
      </c>
      <c r="AA3" s="326" t="s">
        <v>50</v>
      </c>
      <c r="AB3" s="326" t="s">
        <v>32</v>
      </c>
      <c r="AC3" s="326" t="s">
        <v>46</v>
      </c>
      <c r="AD3" s="326" t="s">
        <v>48</v>
      </c>
      <c r="AE3" s="326" t="s">
        <v>49</v>
      </c>
      <c r="AF3" s="326" t="s">
        <v>50</v>
      </c>
      <c r="AG3" s="326" t="s">
        <v>32</v>
      </c>
      <c r="AH3" s="326" t="s">
        <v>46</v>
      </c>
      <c r="AI3" s="326" t="s">
        <v>48</v>
      </c>
      <c r="AJ3" s="326" t="s">
        <v>49</v>
      </c>
      <c r="AK3" s="326" t="s">
        <v>50</v>
      </c>
      <c r="AL3" s="326" t="s">
        <v>32</v>
      </c>
      <c r="AM3" s="326" t="s">
        <v>46</v>
      </c>
      <c r="AN3" s="326" t="s">
        <v>48</v>
      </c>
      <c r="AO3" s="326" t="s">
        <v>49</v>
      </c>
      <c r="AP3" s="326" t="s">
        <v>50</v>
      </c>
      <c r="AQ3" s="326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 t="shared" ref="E4:E238" si="1">D4-C4+1</f>
        <v>1</v>
      </c>
      <c r="F4" s="100">
        <v>0.0</v>
      </c>
      <c r="G4" s="105">
        <f t="shared" ref="G4:G238" si="2"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 t="shared" ref="K4:K238" si="3">J4/$I$239</f>
        <v>0</v>
      </c>
      <c r="L4" s="110">
        <v>0.0</v>
      </c>
      <c r="M4" s="110">
        <f>L4</f>
        <v>0</v>
      </c>
      <c r="N4" s="198"/>
      <c r="O4" s="327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7"/>
      <c r="AE4" s="328"/>
      <c r="AF4" s="328"/>
      <c r="AG4" s="328"/>
      <c r="AH4" s="328"/>
      <c r="AI4" s="327"/>
      <c r="AJ4" s="328"/>
      <c r="AK4" s="328"/>
      <c r="AL4" s="328"/>
      <c r="AM4" s="328"/>
      <c r="AN4" s="327"/>
      <c r="AO4" s="328"/>
      <c r="AP4" s="328"/>
      <c r="AQ4" s="328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 t="shared" si="1"/>
        <v>7</v>
      </c>
      <c r="F5" s="131">
        <f>F6+F10+F23</f>
        <v>58</v>
      </c>
      <c r="G5" s="105">
        <f t="shared" si="2"/>
        <v>0.04995693368</v>
      </c>
      <c r="H5" s="135">
        <f>H28</f>
        <v>0.04995693368</v>
      </c>
      <c r="I5" s="137">
        <f>I6+I10+I23</f>
        <v>60</v>
      </c>
      <c r="J5" s="137">
        <f>J28</f>
        <v>60</v>
      </c>
      <c r="K5" s="138">
        <f t="shared" si="3"/>
        <v>0.0620475698</v>
      </c>
      <c r="L5" s="137">
        <f>L6+L10+L23</f>
        <v>26.4</v>
      </c>
      <c r="M5" s="137">
        <f>M28</f>
        <v>26.4</v>
      </c>
      <c r="N5" s="198"/>
      <c r="O5" s="330"/>
      <c r="P5" s="331"/>
      <c r="Q5" s="332"/>
      <c r="R5" s="333"/>
      <c r="S5" s="334"/>
      <c r="T5" s="334"/>
      <c r="U5" s="334"/>
      <c r="V5" s="332"/>
      <c r="W5" s="331"/>
      <c r="X5" s="334"/>
      <c r="Y5" s="334"/>
      <c r="Z5" s="331"/>
      <c r="AA5" s="332"/>
      <c r="AB5" s="331"/>
      <c r="AC5" s="332"/>
      <c r="AD5" s="330"/>
      <c r="AE5" s="331"/>
      <c r="AF5" s="335"/>
      <c r="AG5" s="328"/>
      <c r="AH5" s="332"/>
      <c r="AI5" s="330"/>
      <c r="AJ5" s="331"/>
      <c r="AK5" s="335"/>
      <c r="AL5" s="328"/>
      <c r="AM5" s="332"/>
      <c r="AN5" s="330"/>
      <c r="AO5" s="331"/>
      <c r="AP5" s="335"/>
      <c r="AQ5" s="328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 t="shared" si="1"/>
        <v>3</v>
      </c>
      <c r="F6" s="161">
        <f>SUM(F7:F9)</f>
        <v>8</v>
      </c>
      <c r="G6" s="105">
        <f t="shared" si="2"/>
        <v>0.006890611542</v>
      </c>
      <c r="H6" s="163">
        <f>H9</f>
        <v>0.006890611542</v>
      </c>
      <c r="I6" s="165">
        <f>SUM(I7:I9)</f>
        <v>0</v>
      </c>
      <c r="J6" s="165">
        <f>J9</f>
        <v>0</v>
      </c>
      <c r="K6" s="167">
        <f t="shared" si="3"/>
        <v>0</v>
      </c>
      <c r="L6" s="165">
        <f>SUM(L7:L9)</f>
        <v>0</v>
      </c>
      <c r="M6" s="165">
        <f>M9</f>
        <v>0</v>
      </c>
      <c r="N6" s="198"/>
      <c r="O6" s="330"/>
      <c r="P6" s="331"/>
      <c r="Q6" s="332"/>
      <c r="R6" s="333"/>
      <c r="S6" s="334"/>
      <c r="T6" s="334"/>
      <c r="U6" s="334"/>
      <c r="V6" s="332"/>
      <c r="W6" s="331"/>
      <c r="X6" s="334"/>
      <c r="Y6" s="334"/>
      <c r="Z6" s="331"/>
      <c r="AA6" s="332"/>
      <c r="AB6" s="331"/>
      <c r="AC6" s="332"/>
      <c r="AD6" s="330"/>
      <c r="AE6" s="331"/>
      <c r="AF6" s="335"/>
      <c r="AG6" s="328"/>
      <c r="AH6" s="332"/>
      <c r="AI6" s="330"/>
      <c r="AJ6" s="331"/>
      <c r="AK6" s="335"/>
      <c r="AL6" s="328"/>
      <c r="AM6" s="332"/>
      <c r="AN6" s="330"/>
      <c r="AO6" s="331"/>
      <c r="AP6" s="335"/>
      <c r="AQ6" s="328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 t="shared" si="1"/>
        <v>2</v>
      </c>
      <c r="F7" s="185">
        <v>1.0</v>
      </c>
      <c r="G7" s="105">
        <f t="shared" si="2"/>
        <v>0.0008613264427</v>
      </c>
      <c r="H7" s="186">
        <f>H4+G7</f>
        <v>0.0008613264427</v>
      </c>
      <c r="I7" s="187">
        <f t="shared" ref="I7:I9" si="4">O7+T7+Y7+AD7+AI7+AN7</f>
        <v>0</v>
      </c>
      <c r="J7" s="187">
        <f>J4+I7</f>
        <v>0</v>
      </c>
      <c r="K7" s="115">
        <f t="shared" si="3"/>
        <v>0</v>
      </c>
      <c r="L7" s="336">
        <f t="shared" ref="L7:L9" si="5">R7+W7+AB7+AG7+AL7+AQ7</f>
        <v>0</v>
      </c>
      <c r="M7" s="191">
        <f>M4+L7</f>
        <v>0</v>
      </c>
      <c r="N7" s="198">
        <f t="shared" ref="N7:N238" si="6">O7/$F7</f>
        <v>0</v>
      </c>
      <c r="O7" s="337">
        <v>0.0</v>
      </c>
      <c r="P7" s="328"/>
      <c r="Q7" s="328">
        <f>Roles!$D$5</f>
        <v>0.44</v>
      </c>
      <c r="R7" s="328">
        <f t="shared" ref="R7:R238" si="7">O7*Q7</f>
        <v>0</v>
      </c>
      <c r="S7" s="198">
        <f t="shared" ref="S7:S238" si="8">T7/$F7</f>
        <v>0</v>
      </c>
      <c r="T7" s="327"/>
      <c r="U7" s="328"/>
      <c r="V7" s="328">
        <f>Roles!$D$8</f>
        <v>0.09</v>
      </c>
      <c r="W7" s="328"/>
      <c r="X7" s="198">
        <f t="shared" ref="X7:X238" si="9">Y7/$F7</f>
        <v>0</v>
      </c>
      <c r="Y7" s="327"/>
      <c r="Z7" s="328"/>
      <c r="AA7" s="328">
        <f>Roles!$D$8</f>
        <v>0.09</v>
      </c>
      <c r="AB7" s="328"/>
      <c r="AC7" s="198">
        <f t="shared" ref="AC7:AC238" si="10">AD7/$F7</f>
        <v>0</v>
      </c>
      <c r="AD7" s="327"/>
      <c r="AE7" s="328"/>
      <c r="AF7" s="328">
        <f>Roles!$D$8</f>
        <v>0.09</v>
      </c>
      <c r="AG7" s="328"/>
      <c r="AH7" s="198">
        <f t="shared" ref="AH7:AH238" si="11">AI7/$F7</f>
        <v>0</v>
      </c>
      <c r="AI7" s="327"/>
      <c r="AJ7" s="328"/>
      <c r="AK7" s="328">
        <f>Roles!$D$8</f>
        <v>0.09</v>
      </c>
      <c r="AL7" s="328"/>
      <c r="AM7" s="198">
        <f t="shared" ref="AM7:AM238" si="12">AN7/$F7</f>
        <v>0</v>
      </c>
      <c r="AN7" s="327"/>
      <c r="AO7" s="328"/>
      <c r="AP7" s="328">
        <f>Roles!$D$8</f>
        <v>0.09</v>
      </c>
      <c r="AQ7" s="328"/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 t="shared" si="1"/>
        <v>2</v>
      </c>
      <c r="F8" s="80">
        <v>4.0</v>
      </c>
      <c r="G8" s="105">
        <f t="shared" si="2"/>
        <v>0.003445305771</v>
      </c>
      <c r="H8" s="47">
        <f t="shared" ref="H8:H9" si="13">H7+G8</f>
        <v>0.004306632214</v>
      </c>
      <c r="I8" s="187">
        <f t="shared" si="4"/>
        <v>0</v>
      </c>
      <c r="J8" s="172">
        <f t="shared" ref="J8:J9" si="14">J7+I8</f>
        <v>0</v>
      </c>
      <c r="K8" s="115">
        <f t="shared" si="3"/>
        <v>0</v>
      </c>
      <c r="L8" s="336">
        <f t="shared" si="5"/>
        <v>0</v>
      </c>
      <c r="M8" s="172">
        <f t="shared" ref="M8:M9" si="15">M7+L8</f>
        <v>0</v>
      </c>
      <c r="N8" s="198">
        <f t="shared" si="6"/>
        <v>0</v>
      </c>
      <c r="O8" s="337">
        <v>0.0</v>
      </c>
      <c r="P8" s="328"/>
      <c r="Q8" s="328">
        <f>Roles!$D$5</f>
        <v>0.44</v>
      </c>
      <c r="R8" s="328">
        <f t="shared" si="7"/>
        <v>0</v>
      </c>
      <c r="S8" s="198">
        <f t="shared" si="8"/>
        <v>0</v>
      </c>
      <c r="T8" s="327"/>
      <c r="U8" s="328"/>
      <c r="V8" s="328">
        <f>Roles!$D$8</f>
        <v>0.09</v>
      </c>
      <c r="W8" s="328"/>
      <c r="X8" s="198">
        <f t="shared" si="9"/>
        <v>0</v>
      </c>
      <c r="Y8" s="327"/>
      <c r="Z8" s="328"/>
      <c r="AA8" s="328">
        <f>Roles!$D$8</f>
        <v>0.09</v>
      </c>
      <c r="AB8" s="328"/>
      <c r="AC8" s="198">
        <f t="shared" si="10"/>
        <v>0</v>
      </c>
      <c r="AD8" s="327"/>
      <c r="AE8" s="328"/>
      <c r="AF8" s="328">
        <f>Roles!$D$8</f>
        <v>0.09</v>
      </c>
      <c r="AG8" s="328"/>
      <c r="AH8" s="198">
        <f t="shared" si="11"/>
        <v>0</v>
      </c>
      <c r="AI8" s="327"/>
      <c r="AJ8" s="328"/>
      <c r="AK8" s="328">
        <f>Roles!$D$8</f>
        <v>0.09</v>
      </c>
      <c r="AL8" s="328"/>
      <c r="AM8" s="198">
        <f t="shared" si="12"/>
        <v>0</v>
      </c>
      <c r="AN8" s="327"/>
      <c r="AO8" s="328"/>
      <c r="AP8" s="328">
        <f>Roles!$D$8</f>
        <v>0.09</v>
      </c>
      <c r="AQ8" s="328"/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 t="shared" si="1"/>
        <v>2</v>
      </c>
      <c r="F9" s="80">
        <v>3.0</v>
      </c>
      <c r="G9" s="105">
        <f t="shared" si="2"/>
        <v>0.002583979328</v>
      </c>
      <c r="H9" s="47">
        <f t="shared" si="13"/>
        <v>0.006890611542</v>
      </c>
      <c r="I9" s="187">
        <f t="shared" si="4"/>
        <v>0</v>
      </c>
      <c r="J9" s="172">
        <f t="shared" si="14"/>
        <v>0</v>
      </c>
      <c r="K9" s="115">
        <f t="shared" si="3"/>
        <v>0</v>
      </c>
      <c r="L9" s="336">
        <f t="shared" si="5"/>
        <v>0</v>
      </c>
      <c r="M9" s="172">
        <f t="shared" si="15"/>
        <v>0</v>
      </c>
      <c r="N9" s="198">
        <f t="shared" si="6"/>
        <v>0</v>
      </c>
      <c r="O9" s="337">
        <v>0.0</v>
      </c>
      <c r="P9" s="328"/>
      <c r="Q9" s="328">
        <f>Roles!$D$5</f>
        <v>0.44</v>
      </c>
      <c r="R9" s="328">
        <f t="shared" si="7"/>
        <v>0</v>
      </c>
      <c r="S9" s="198">
        <f t="shared" si="8"/>
        <v>0</v>
      </c>
      <c r="T9" s="327"/>
      <c r="U9" s="328"/>
      <c r="V9" s="328">
        <f>Roles!$D$8</f>
        <v>0.09</v>
      </c>
      <c r="W9" s="328"/>
      <c r="X9" s="198">
        <f t="shared" si="9"/>
        <v>0</v>
      </c>
      <c r="Y9" s="327"/>
      <c r="Z9" s="328"/>
      <c r="AA9" s="328">
        <f>Roles!$D$8</f>
        <v>0.09</v>
      </c>
      <c r="AB9" s="328"/>
      <c r="AC9" s="198">
        <f t="shared" si="10"/>
        <v>0</v>
      </c>
      <c r="AD9" s="327"/>
      <c r="AE9" s="328"/>
      <c r="AF9" s="328">
        <f>Roles!$D$8</f>
        <v>0.09</v>
      </c>
      <c r="AG9" s="328"/>
      <c r="AH9" s="198">
        <f t="shared" si="11"/>
        <v>0</v>
      </c>
      <c r="AI9" s="327"/>
      <c r="AJ9" s="328"/>
      <c r="AK9" s="328">
        <f>Roles!$D$8</f>
        <v>0.09</v>
      </c>
      <c r="AL9" s="328"/>
      <c r="AM9" s="198">
        <f t="shared" si="12"/>
        <v>0</v>
      </c>
      <c r="AN9" s="327"/>
      <c r="AO9" s="328"/>
      <c r="AP9" s="328">
        <f>Roles!$D$8</f>
        <v>0.09</v>
      </c>
      <c r="AQ9" s="328"/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 t="shared" si="1"/>
        <v>5</v>
      </c>
      <c r="F10" s="161">
        <f>SUM(F11:F22)</f>
        <v>30</v>
      </c>
      <c r="G10" s="105">
        <f t="shared" si="2"/>
        <v>0.02583979328</v>
      </c>
      <c r="H10" s="163">
        <f>H22</f>
        <v>0.03273040482</v>
      </c>
      <c r="I10" s="213">
        <f>SUM(I11:I22)</f>
        <v>44</v>
      </c>
      <c r="J10" s="213">
        <f>J22</f>
        <v>44</v>
      </c>
      <c r="K10" s="167">
        <f t="shared" si="3"/>
        <v>0.04550155119</v>
      </c>
      <c r="L10" s="215">
        <f>SUM(L11:L22)</f>
        <v>19.36</v>
      </c>
      <c r="M10" s="215">
        <f>M22</f>
        <v>19.36</v>
      </c>
      <c r="N10" s="198">
        <f t="shared" si="6"/>
        <v>0</v>
      </c>
      <c r="O10" s="328"/>
      <c r="P10" s="328"/>
      <c r="Q10" s="328">
        <f>Roles!$D$5</f>
        <v>0.44</v>
      </c>
      <c r="R10" s="328">
        <f t="shared" si="7"/>
        <v>0</v>
      </c>
      <c r="S10" s="198">
        <f t="shared" si="8"/>
        <v>0</v>
      </c>
      <c r="T10" s="327"/>
      <c r="U10" s="328"/>
      <c r="V10" s="328">
        <f>Roles!$D$8</f>
        <v>0.09</v>
      </c>
      <c r="W10" s="328"/>
      <c r="X10" s="198">
        <f t="shared" si="9"/>
        <v>0</v>
      </c>
      <c r="Y10" s="327"/>
      <c r="Z10" s="328"/>
      <c r="AA10" s="328">
        <f>Roles!$D$8</f>
        <v>0.09</v>
      </c>
      <c r="AB10" s="328"/>
      <c r="AC10" s="198">
        <f t="shared" si="10"/>
        <v>0</v>
      </c>
      <c r="AD10" s="327"/>
      <c r="AE10" s="328"/>
      <c r="AF10" s="328">
        <f>Roles!$D$8</f>
        <v>0.09</v>
      </c>
      <c r="AG10" s="328"/>
      <c r="AH10" s="198">
        <f t="shared" si="11"/>
        <v>0</v>
      </c>
      <c r="AI10" s="327"/>
      <c r="AJ10" s="328"/>
      <c r="AK10" s="328">
        <f>Roles!$D$8</f>
        <v>0.09</v>
      </c>
      <c r="AL10" s="328"/>
      <c r="AM10" s="198">
        <f t="shared" si="12"/>
        <v>0</v>
      </c>
      <c r="AN10" s="327"/>
      <c r="AO10" s="328"/>
      <c r="AP10" s="328">
        <f>Roles!$D$8</f>
        <v>0.09</v>
      </c>
      <c r="AQ10" s="328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 t="shared" si="1"/>
        <v>1</v>
      </c>
      <c r="F11" s="185">
        <v>1.0</v>
      </c>
      <c r="G11" s="105">
        <f t="shared" si="2"/>
        <v>0.0008613264427</v>
      </c>
      <c r="H11" s="186">
        <f>H9+G11</f>
        <v>0.007751937984</v>
      </c>
      <c r="I11" s="187">
        <f t="shared" ref="I11:I22" si="16">O11+T11+Y11+AD11+AI11+AN11</f>
        <v>1</v>
      </c>
      <c r="J11" s="187">
        <f>J9+I11</f>
        <v>1</v>
      </c>
      <c r="K11" s="115">
        <f t="shared" si="3"/>
        <v>0.001034126163</v>
      </c>
      <c r="L11" s="336">
        <f t="shared" ref="L11:L22" si="17">R11+W11+AB11+AG11+AL11+AQ11</f>
        <v>0.44</v>
      </c>
      <c r="M11" s="191">
        <f>M9+L11</f>
        <v>0.44</v>
      </c>
      <c r="N11" s="198">
        <f t="shared" si="6"/>
        <v>1</v>
      </c>
      <c r="O11" s="337">
        <v>1.0</v>
      </c>
      <c r="P11" s="328"/>
      <c r="Q11" s="328">
        <f>Roles!$D$5</f>
        <v>0.44</v>
      </c>
      <c r="R11" s="328">
        <f t="shared" si="7"/>
        <v>0.44</v>
      </c>
      <c r="S11" s="198">
        <f t="shared" si="8"/>
        <v>0</v>
      </c>
      <c r="T11" s="327"/>
      <c r="U11" s="328"/>
      <c r="V11" s="328">
        <f>Roles!$D$8</f>
        <v>0.09</v>
      </c>
      <c r="W11" s="328"/>
      <c r="X11" s="198">
        <f t="shared" si="9"/>
        <v>0</v>
      </c>
      <c r="Y11" s="327"/>
      <c r="Z11" s="328"/>
      <c r="AA11" s="328">
        <f>Roles!$D$8</f>
        <v>0.09</v>
      </c>
      <c r="AB11" s="328"/>
      <c r="AC11" s="198">
        <f t="shared" si="10"/>
        <v>0</v>
      </c>
      <c r="AD11" s="327"/>
      <c r="AE11" s="328"/>
      <c r="AF11" s="328">
        <f>Roles!$D$8</f>
        <v>0.09</v>
      </c>
      <c r="AG11" s="328"/>
      <c r="AH11" s="198">
        <f t="shared" si="11"/>
        <v>0</v>
      </c>
      <c r="AI11" s="327"/>
      <c r="AJ11" s="328"/>
      <c r="AK11" s="328">
        <f>Roles!$D$8</f>
        <v>0.09</v>
      </c>
      <c r="AL11" s="328"/>
      <c r="AM11" s="198">
        <f t="shared" si="12"/>
        <v>0</v>
      </c>
      <c r="AN11" s="327"/>
      <c r="AO11" s="328"/>
      <c r="AP11" s="328">
        <f>Roles!$D$8</f>
        <v>0.09</v>
      </c>
      <c r="AQ11" s="328"/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 t="shared" si="1"/>
        <v>1</v>
      </c>
      <c r="F12" s="185">
        <v>2.0</v>
      </c>
      <c r="G12" s="105">
        <f t="shared" si="2"/>
        <v>0.001722652885</v>
      </c>
      <c r="H12" s="186">
        <f t="shared" ref="H12:H22" si="18">H11+G12</f>
        <v>0.00947459087</v>
      </c>
      <c r="I12" s="187">
        <f t="shared" si="16"/>
        <v>1</v>
      </c>
      <c r="J12" s="187">
        <f t="shared" ref="J12:J22" si="19">J11+I12</f>
        <v>2</v>
      </c>
      <c r="K12" s="115">
        <f t="shared" si="3"/>
        <v>0.002068252327</v>
      </c>
      <c r="L12" s="336">
        <f t="shared" si="17"/>
        <v>0.44</v>
      </c>
      <c r="M12" s="191">
        <f t="shared" ref="M12:M22" si="20">M11+L12</f>
        <v>0.88</v>
      </c>
      <c r="N12" s="198">
        <f t="shared" si="6"/>
        <v>0.5</v>
      </c>
      <c r="O12" s="337">
        <v>1.0</v>
      </c>
      <c r="P12" s="328"/>
      <c r="Q12" s="328">
        <f>Roles!$D$5</f>
        <v>0.44</v>
      </c>
      <c r="R12" s="328">
        <f t="shared" si="7"/>
        <v>0.44</v>
      </c>
      <c r="S12" s="198">
        <f t="shared" si="8"/>
        <v>0</v>
      </c>
      <c r="T12" s="327"/>
      <c r="U12" s="328"/>
      <c r="V12" s="328">
        <f>Roles!$D$8</f>
        <v>0.09</v>
      </c>
      <c r="W12" s="328"/>
      <c r="X12" s="198">
        <f t="shared" si="9"/>
        <v>0</v>
      </c>
      <c r="Y12" s="327"/>
      <c r="Z12" s="328"/>
      <c r="AA12" s="328">
        <f>Roles!$D$8</f>
        <v>0.09</v>
      </c>
      <c r="AB12" s="328"/>
      <c r="AC12" s="198">
        <f t="shared" si="10"/>
        <v>0</v>
      </c>
      <c r="AD12" s="327"/>
      <c r="AE12" s="328"/>
      <c r="AF12" s="328">
        <f>Roles!$D$8</f>
        <v>0.09</v>
      </c>
      <c r="AG12" s="328"/>
      <c r="AH12" s="198">
        <f t="shared" si="11"/>
        <v>0</v>
      </c>
      <c r="AI12" s="327"/>
      <c r="AJ12" s="328"/>
      <c r="AK12" s="328">
        <f>Roles!$D$8</f>
        <v>0.09</v>
      </c>
      <c r="AL12" s="328"/>
      <c r="AM12" s="198">
        <f t="shared" si="12"/>
        <v>0</v>
      </c>
      <c r="AN12" s="327"/>
      <c r="AO12" s="328"/>
      <c r="AP12" s="328">
        <f>Roles!$D$8</f>
        <v>0.09</v>
      </c>
      <c r="AQ12" s="328"/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 t="shared" si="1"/>
        <v>1</v>
      </c>
      <c r="F13" s="185">
        <v>1.0</v>
      </c>
      <c r="G13" s="105">
        <f t="shared" si="2"/>
        <v>0.0008613264427</v>
      </c>
      <c r="H13" s="186">
        <f t="shared" si="18"/>
        <v>0.01033591731</v>
      </c>
      <c r="I13" s="187">
        <f t="shared" si="16"/>
        <v>0.5</v>
      </c>
      <c r="J13" s="187">
        <f t="shared" si="19"/>
        <v>2.5</v>
      </c>
      <c r="K13" s="115">
        <f t="shared" si="3"/>
        <v>0.002585315408</v>
      </c>
      <c r="L13" s="336">
        <f t="shared" si="17"/>
        <v>0.22</v>
      </c>
      <c r="M13" s="191">
        <f t="shared" si="20"/>
        <v>1.1</v>
      </c>
      <c r="N13" s="198">
        <f t="shared" si="6"/>
        <v>0.5</v>
      </c>
      <c r="O13" s="337">
        <v>0.5</v>
      </c>
      <c r="P13" s="328"/>
      <c r="Q13" s="328">
        <f>Roles!$D$5</f>
        <v>0.44</v>
      </c>
      <c r="R13" s="328">
        <f t="shared" si="7"/>
        <v>0.22</v>
      </c>
      <c r="S13" s="198">
        <f t="shared" si="8"/>
        <v>0</v>
      </c>
      <c r="T13" s="327"/>
      <c r="U13" s="328"/>
      <c r="V13" s="328">
        <f>Roles!$D$8</f>
        <v>0.09</v>
      </c>
      <c r="W13" s="328"/>
      <c r="X13" s="198">
        <f t="shared" si="9"/>
        <v>0</v>
      </c>
      <c r="Y13" s="327"/>
      <c r="Z13" s="328"/>
      <c r="AA13" s="328">
        <f>Roles!$D$8</f>
        <v>0.09</v>
      </c>
      <c r="AB13" s="328"/>
      <c r="AC13" s="198">
        <f t="shared" si="10"/>
        <v>0</v>
      </c>
      <c r="AD13" s="327"/>
      <c r="AE13" s="328"/>
      <c r="AF13" s="328">
        <f>Roles!$D$8</f>
        <v>0.09</v>
      </c>
      <c r="AG13" s="328"/>
      <c r="AH13" s="198">
        <f t="shared" si="11"/>
        <v>0</v>
      </c>
      <c r="AI13" s="327"/>
      <c r="AJ13" s="328"/>
      <c r="AK13" s="328">
        <f>Roles!$D$8</f>
        <v>0.09</v>
      </c>
      <c r="AL13" s="328"/>
      <c r="AM13" s="198">
        <f t="shared" si="12"/>
        <v>0</v>
      </c>
      <c r="AN13" s="327"/>
      <c r="AO13" s="328"/>
      <c r="AP13" s="328">
        <f>Roles!$D$8</f>
        <v>0.09</v>
      </c>
      <c r="AQ13" s="328"/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 t="shared" si="1"/>
        <v>1</v>
      </c>
      <c r="F14" s="185">
        <v>1.0</v>
      </c>
      <c r="G14" s="105">
        <f t="shared" si="2"/>
        <v>0.0008613264427</v>
      </c>
      <c r="H14" s="186">
        <f t="shared" si="18"/>
        <v>0.01119724376</v>
      </c>
      <c r="I14" s="187">
        <f t="shared" si="16"/>
        <v>1</v>
      </c>
      <c r="J14" s="187">
        <f t="shared" si="19"/>
        <v>3.5</v>
      </c>
      <c r="K14" s="115">
        <f t="shared" si="3"/>
        <v>0.003619441572</v>
      </c>
      <c r="L14" s="336">
        <f t="shared" si="17"/>
        <v>0.44</v>
      </c>
      <c r="M14" s="191">
        <f t="shared" si="20"/>
        <v>1.54</v>
      </c>
      <c r="N14" s="198">
        <f t="shared" si="6"/>
        <v>1</v>
      </c>
      <c r="O14" s="337">
        <v>1.0</v>
      </c>
      <c r="P14" s="328"/>
      <c r="Q14" s="328">
        <f>Roles!$D$5</f>
        <v>0.44</v>
      </c>
      <c r="R14" s="328">
        <f t="shared" si="7"/>
        <v>0.44</v>
      </c>
      <c r="S14" s="198">
        <f t="shared" si="8"/>
        <v>0</v>
      </c>
      <c r="T14" s="327"/>
      <c r="U14" s="328"/>
      <c r="V14" s="328">
        <f>Roles!$D$8</f>
        <v>0.09</v>
      </c>
      <c r="W14" s="328"/>
      <c r="X14" s="198">
        <f t="shared" si="9"/>
        <v>0</v>
      </c>
      <c r="Y14" s="327"/>
      <c r="Z14" s="328"/>
      <c r="AA14" s="328">
        <f>Roles!$D$8</f>
        <v>0.09</v>
      </c>
      <c r="AB14" s="328"/>
      <c r="AC14" s="198">
        <f t="shared" si="10"/>
        <v>0</v>
      </c>
      <c r="AD14" s="327"/>
      <c r="AE14" s="328"/>
      <c r="AF14" s="328">
        <f>Roles!$D$8</f>
        <v>0.09</v>
      </c>
      <c r="AG14" s="328"/>
      <c r="AH14" s="198">
        <f t="shared" si="11"/>
        <v>0</v>
      </c>
      <c r="AI14" s="327"/>
      <c r="AJ14" s="328"/>
      <c r="AK14" s="328">
        <f>Roles!$D$8</f>
        <v>0.09</v>
      </c>
      <c r="AL14" s="328"/>
      <c r="AM14" s="198">
        <f t="shared" si="12"/>
        <v>0</v>
      </c>
      <c r="AN14" s="327"/>
      <c r="AO14" s="328"/>
      <c r="AP14" s="328">
        <f>Roles!$D$8</f>
        <v>0.09</v>
      </c>
      <c r="AQ14" s="328"/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 t="shared" si="1"/>
        <v>1</v>
      </c>
      <c r="F15" s="185">
        <v>1.0</v>
      </c>
      <c r="G15" s="105">
        <f t="shared" si="2"/>
        <v>0.0008613264427</v>
      </c>
      <c r="H15" s="186">
        <f t="shared" si="18"/>
        <v>0.0120585702</v>
      </c>
      <c r="I15" s="187">
        <f t="shared" si="16"/>
        <v>1</v>
      </c>
      <c r="J15" s="187">
        <f t="shared" si="19"/>
        <v>4.5</v>
      </c>
      <c r="K15" s="115">
        <f t="shared" si="3"/>
        <v>0.004653567735</v>
      </c>
      <c r="L15" s="336">
        <f t="shared" si="17"/>
        <v>0.44</v>
      </c>
      <c r="M15" s="191">
        <f t="shared" si="20"/>
        <v>1.98</v>
      </c>
      <c r="N15" s="198">
        <f t="shared" si="6"/>
        <v>1</v>
      </c>
      <c r="O15" s="337">
        <v>1.0</v>
      </c>
      <c r="P15" s="328"/>
      <c r="Q15" s="328">
        <f>Roles!$D$5</f>
        <v>0.44</v>
      </c>
      <c r="R15" s="328">
        <f t="shared" si="7"/>
        <v>0.44</v>
      </c>
      <c r="S15" s="198">
        <f t="shared" si="8"/>
        <v>0</v>
      </c>
      <c r="T15" s="327"/>
      <c r="U15" s="328"/>
      <c r="V15" s="328">
        <f>Roles!$D$8</f>
        <v>0.09</v>
      </c>
      <c r="W15" s="328"/>
      <c r="X15" s="198">
        <f t="shared" si="9"/>
        <v>0</v>
      </c>
      <c r="Y15" s="327"/>
      <c r="Z15" s="328"/>
      <c r="AA15" s="328">
        <f>Roles!$D$8</f>
        <v>0.09</v>
      </c>
      <c r="AB15" s="328"/>
      <c r="AC15" s="198">
        <f t="shared" si="10"/>
        <v>0</v>
      </c>
      <c r="AD15" s="327"/>
      <c r="AE15" s="328"/>
      <c r="AF15" s="328">
        <f>Roles!$D$8</f>
        <v>0.09</v>
      </c>
      <c r="AG15" s="328"/>
      <c r="AH15" s="198">
        <f t="shared" si="11"/>
        <v>0</v>
      </c>
      <c r="AI15" s="327"/>
      <c r="AJ15" s="328"/>
      <c r="AK15" s="328">
        <f>Roles!$D$8</f>
        <v>0.09</v>
      </c>
      <c r="AL15" s="328"/>
      <c r="AM15" s="198">
        <f t="shared" si="12"/>
        <v>0</v>
      </c>
      <c r="AN15" s="327"/>
      <c r="AO15" s="328"/>
      <c r="AP15" s="328">
        <f>Roles!$D$8</f>
        <v>0.09</v>
      </c>
      <c r="AQ15" s="328"/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 t="shared" si="1"/>
        <v>2</v>
      </c>
      <c r="F16" s="185">
        <v>2.0</v>
      </c>
      <c r="G16" s="105">
        <f t="shared" si="2"/>
        <v>0.001722652885</v>
      </c>
      <c r="H16" s="186">
        <f t="shared" si="18"/>
        <v>0.01378122308</v>
      </c>
      <c r="I16" s="187">
        <f t="shared" si="16"/>
        <v>22.5</v>
      </c>
      <c r="J16" s="187">
        <f t="shared" si="19"/>
        <v>27</v>
      </c>
      <c r="K16" s="115">
        <f t="shared" si="3"/>
        <v>0.02792140641</v>
      </c>
      <c r="L16" s="336">
        <f t="shared" si="17"/>
        <v>9.9</v>
      </c>
      <c r="M16" s="191">
        <f t="shared" si="20"/>
        <v>11.88</v>
      </c>
      <c r="N16" s="198">
        <f t="shared" si="6"/>
        <v>11.25</v>
      </c>
      <c r="O16" s="337">
        <v>22.5</v>
      </c>
      <c r="P16" s="328"/>
      <c r="Q16" s="328">
        <f>Roles!$D$5</f>
        <v>0.44</v>
      </c>
      <c r="R16" s="328">
        <f t="shared" si="7"/>
        <v>9.9</v>
      </c>
      <c r="S16" s="198">
        <f t="shared" si="8"/>
        <v>0</v>
      </c>
      <c r="T16" s="327"/>
      <c r="U16" s="328"/>
      <c r="V16" s="328">
        <f>Roles!$D$8</f>
        <v>0.09</v>
      </c>
      <c r="W16" s="328"/>
      <c r="X16" s="198">
        <f t="shared" si="9"/>
        <v>0</v>
      </c>
      <c r="Y16" s="327"/>
      <c r="Z16" s="328"/>
      <c r="AA16" s="328">
        <f>Roles!$D$8</f>
        <v>0.09</v>
      </c>
      <c r="AB16" s="328"/>
      <c r="AC16" s="198">
        <f t="shared" si="10"/>
        <v>0</v>
      </c>
      <c r="AD16" s="327"/>
      <c r="AE16" s="328"/>
      <c r="AF16" s="328">
        <f>Roles!$D$8</f>
        <v>0.09</v>
      </c>
      <c r="AG16" s="328"/>
      <c r="AH16" s="198">
        <f t="shared" si="11"/>
        <v>0</v>
      </c>
      <c r="AI16" s="327"/>
      <c r="AJ16" s="328"/>
      <c r="AK16" s="328">
        <f>Roles!$D$8</f>
        <v>0.09</v>
      </c>
      <c r="AL16" s="328"/>
      <c r="AM16" s="198">
        <f t="shared" si="12"/>
        <v>0</v>
      </c>
      <c r="AN16" s="327"/>
      <c r="AO16" s="328"/>
      <c r="AP16" s="328">
        <f>Roles!$D$8</f>
        <v>0.09</v>
      </c>
      <c r="AQ16" s="328"/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 t="shared" si="1"/>
        <v>2</v>
      </c>
      <c r="F17" s="185">
        <v>2.0</v>
      </c>
      <c r="G17" s="105">
        <f t="shared" si="2"/>
        <v>0.001722652885</v>
      </c>
      <c r="H17" s="186">
        <f t="shared" si="18"/>
        <v>0.01550387597</v>
      </c>
      <c r="I17" s="187">
        <f t="shared" si="16"/>
        <v>2</v>
      </c>
      <c r="J17" s="187">
        <f t="shared" si="19"/>
        <v>29</v>
      </c>
      <c r="K17" s="115">
        <f t="shared" si="3"/>
        <v>0.02998965874</v>
      </c>
      <c r="L17" s="336">
        <f t="shared" si="17"/>
        <v>0.88</v>
      </c>
      <c r="M17" s="191">
        <f t="shared" si="20"/>
        <v>12.76</v>
      </c>
      <c r="N17" s="198">
        <f t="shared" si="6"/>
        <v>1</v>
      </c>
      <c r="O17" s="337">
        <v>2.0</v>
      </c>
      <c r="P17" s="328"/>
      <c r="Q17" s="328">
        <f>Roles!$D$5</f>
        <v>0.44</v>
      </c>
      <c r="R17" s="328">
        <f t="shared" si="7"/>
        <v>0.88</v>
      </c>
      <c r="S17" s="198">
        <f t="shared" si="8"/>
        <v>0</v>
      </c>
      <c r="T17" s="327"/>
      <c r="U17" s="328"/>
      <c r="V17" s="328">
        <f>Roles!$D$8</f>
        <v>0.09</v>
      </c>
      <c r="W17" s="328"/>
      <c r="X17" s="198">
        <f t="shared" si="9"/>
        <v>0</v>
      </c>
      <c r="Y17" s="327"/>
      <c r="Z17" s="328"/>
      <c r="AA17" s="328">
        <f>Roles!$D$8</f>
        <v>0.09</v>
      </c>
      <c r="AB17" s="328"/>
      <c r="AC17" s="198">
        <f t="shared" si="10"/>
        <v>0</v>
      </c>
      <c r="AD17" s="327"/>
      <c r="AE17" s="328"/>
      <c r="AF17" s="328">
        <f>Roles!$D$8</f>
        <v>0.09</v>
      </c>
      <c r="AG17" s="328"/>
      <c r="AH17" s="198">
        <f t="shared" si="11"/>
        <v>0</v>
      </c>
      <c r="AI17" s="327"/>
      <c r="AJ17" s="328"/>
      <c r="AK17" s="328">
        <f>Roles!$D$8</f>
        <v>0.09</v>
      </c>
      <c r="AL17" s="328"/>
      <c r="AM17" s="198">
        <f t="shared" si="12"/>
        <v>0</v>
      </c>
      <c r="AN17" s="327"/>
      <c r="AO17" s="328"/>
      <c r="AP17" s="328">
        <f>Roles!$D$8</f>
        <v>0.09</v>
      </c>
      <c r="AQ17" s="328"/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 t="shared" si="1"/>
        <v>4</v>
      </c>
      <c r="F18" s="185">
        <v>5.0</v>
      </c>
      <c r="G18" s="105">
        <f t="shared" si="2"/>
        <v>0.004306632214</v>
      </c>
      <c r="H18" s="186">
        <f t="shared" si="18"/>
        <v>0.01981050818</v>
      </c>
      <c r="I18" s="187">
        <f t="shared" si="16"/>
        <v>2</v>
      </c>
      <c r="J18" s="187">
        <f t="shared" si="19"/>
        <v>31</v>
      </c>
      <c r="K18" s="115">
        <f t="shared" si="3"/>
        <v>0.03205791107</v>
      </c>
      <c r="L18" s="336">
        <f t="shared" si="17"/>
        <v>0.88</v>
      </c>
      <c r="M18" s="191">
        <f t="shared" si="20"/>
        <v>13.64</v>
      </c>
      <c r="N18" s="198">
        <f t="shared" si="6"/>
        <v>0.4</v>
      </c>
      <c r="O18" s="337">
        <v>2.0</v>
      </c>
      <c r="P18" s="328"/>
      <c r="Q18" s="328">
        <f>Roles!$D$5</f>
        <v>0.44</v>
      </c>
      <c r="R18" s="328">
        <f t="shared" si="7"/>
        <v>0.88</v>
      </c>
      <c r="S18" s="198">
        <f t="shared" si="8"/>
        <v>0</v>
      </c>
      <c r="T18" s="327"/>
      <c r="U18" s="328"/>
      <c r="V18" s="328">
        <f>Roles!$D$8</f>
        <v>0.09</v>
      </c>
      <c r="W18" s="328"/>
      <c r="X18" s="198">
        <f t="shared" si="9"/>
        <v>0</v>
      </c>
      <c r="Y18" s="327"/>
      <c r="Z18" s="328"/>
      <c r="AA18" s="328">
        <f>Roles!$D$8</f>
        <v>0.09</v>
      </c>
      <c r="AB18" s="328"/>
      <c r="AC18" s="198">
        <f t="shared" si="10"/>
        <v>0</v>
      </c>
      <c r="AD18" s="327"/>
      <c r="AE18" s="328"/>
      <c r="AF18" s="328">
        <f>Roles!$D$8</f>
        <v>0.09</v>
      </c>
      <c r="AG18" s="328"/>
      <c r="AH18" s="198">
        <f t="shared" si="11"/>
        <v>0</v>
      </c>
      <c r="AI18" s="327"/>
      <c r="AJ18" s="328"/>
      <c r="AK18" s="328">
        <f>Roles!$D$8</f>
        <v>0.09</v>
      </c>
      <c r="AL18" s="328"/>
      <c r="AM18" s="198">
        <f t="shared" si="12"/>
        <v>0</v>
      </c>
      <c r="AN18" s="327"/>
      <c r="AO18" s="328"/>
      <c r="AP18" s="328">
        <f>Roles!$D$8</f>
        <v>0.09</v>
      </c>
      <c r="AQ18" s="328"/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 t="shared" si="1"/>
        <v>5</v>
      </c>
      <c r="F19" s="185">
        <v>5.0</v>
      </c>
      <c r="G19" s="105">
        <f t="shared" si="2"/>
        <v>0.004306632214</v>
      </c>
      <c r="H19" s="186">
        <f t="shared" si="18"/>
        <v>0.0241171404</v>
      </c>
      <c r="I19" s="187">
        <f t="shared" si="16"/>
        <v>3</v>
      </c>
      <c r="J19" s="187">
        <f t="shared" si="19"/>
        <v>34</v>
      </c>
      <c r="K19" s="115">
        <f t="shared" si="3"/>
        <v>0.03516028956</v>
      </c>
      <c r="L19" s="336">
        <f t="shared" si="17"/>
        <v>1.32</v>
      </c>
      <c r="M19" s="191">
        <f t="shared" si="20"/>
        <v>14.96</v>
      </c>
      <c r="N19" s="198">
        <f t="shared" si="6"/>
        <v>0.6</v>
      </c>
      <c r="O19" s="337">
        <v>3.0</v>
      </c>
      <c r="P19" s="328"/>
      <c r="Q19" s="328">
        <f>Roles!$D$5</f>
        <v>0.44</v>
      </c>
      <c r="R19" s="328">
        <f t="shared" si="7"/>
        <v>1.32</v>
      </c>
      <c r="S19" s="198">
        <f t="shared" si="8"/>
        <v>0</v>
      </c>
      <c r="T19" s="327"/>
      <c r="U19" s="328"/>
      <c r="V19" s="328">
        <f>Roles!$D$8</f>
        <v>0.09</v>
      </c>
      <c r="W19" s="328"/>
      <c r="X19" s="198">
        <f t="shared" si="9"/>
        <v>0</v>
      </c>
      <c r="Y19" s="327"/>
      <c r="Z19" s="328"/>
      <c r="AA19" s="328">
        <f>Roles!$D$8</f>
        <v>0.09</v>
      </c>
      <c r="AB19" s="328"/>
      <c r="AC19" s="198">
        <f t="shared" si="10"/>
        <v>0</v>
      </c>
      <c r="AD19" s="327"/>
      <c r="AE19" s="328"/>
      <c r="AF19" s="328">
        <f>Roles!$D$8</f>
        <v>0.09</v>
      </c>
      <c r="AG19" s="328"/>
      <c r="AH19" s="198">
        <f t="shared" si="11"/>
        <v>0</v>
      </c>
      <c r="AI19" s="327"/>
      <c r="AJ19" s="328"/>
      <c r="AK19" s="328">
        <f>Roles!$D$8</f>
        <v>0.09</v>
      </c>
      <c r="AL19" s="328"/>
      <c r="AM19" s="198">
        <f t="shared" si="12"/>
        <v>0</v>
      </c>
      <c r="AN19" s="327"/>
      <c r="AO19" s="328"/>
      <c r="AP19" s="328">
        <f>Roles!$D$8</f>
        <v>0.09</v>
      </c>
      <c r="AQ19" s="328"/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 t="shared" si="1"/>
        <v>2</v>
      </c>
      <c r="F20" s="185">
        <v>4.0</v>
      </c>
      <c r="G20" s="105">
        <f t="shared" si="2"/>
        <v>0.003445305771</v>
      </c>
      <c r="H20" s="186">
        <f t="shared" si="18"/>
        <v>0.02756244617</v>
      </c>
      <c r="I20" s="187">
        <f t="shared" si="16"/>
        <v>2</v>
      </c>
      <c r="J20" s="187">
        <f t="shared" si="19"/>
        <v>36</v>
      </c>
      <c r="K20" s="115">
        <f t="shared" si="3"/>
        <v>0.03722854188</v>
      </c>
      <c r="L20" s="336">
        <f t="shared" si="17"/>
        <v>0.88</v>
      </c>
      <c r="M20" s="191">
        <f t="shared" si="20"/>
        <v>15.84</v>
      </c>
      <c r="N20" s="198">
        <f t="shared" si="6"/>
        <v>0.5</v>
      </c>
      <c r="O20" s="337">
        <v>2.0</v>
      </c>
      <c r="P20" s="328"/>
      <c r="Q20" s="328">
        <f>Roles!$D$5</f>
        <v>0.44</v>
      </c>
      <c r="R20" s="328">
        <f t="shared" si="7"/>
        <v>0.88</v>
      </c>
      <c r="S20" s="198">
        <f t="shared" si="8"/>
        <v>0</v>
      </c>
      <c r="T20" s="327"/>
      <c r="U20" s="328"/>
      <c r="V20" s="328">
        <f>Roles!$D$8</f>
        <v>0.09</v>
      </c>
      <c r="W20" s="328"/>
      <c r="X20" s="198">
        <f t="shared" si="9"/>
        <v>0</v>
      </c>
      <c r="Y20" s="327"/>
      <c r="Z20" s="328"/>
      <c r="AA20" s="328">
        <f>Roles!$D$8</f>
        <v>0.09</v>
      </c>
      <c r="AB20" s="328"/>
      <c r="AC20" s="198">
        <f t="shared" si="10"/>
        <v>0</v>
      </c>
      <c r="AD20" s="327"/>
      <c r="AE20" s="328"/>
      <c r="AF20" s="328">
        <f>Roles!$D$8</f>
        <v>0.09</v>
      </c>
      <c r="AG20" s="328"/>
      <c r="AH20" s="198">
        <f t="shared" si="11"/>
        <v>0</v>
      </c>
      <c r="AI20" s="327"/>
      <c r="AJ20" s="328"/>
      <c r="AK20" s="328">
        <f>Roles!$D$8</f>
        <v>0.09</v>
      </c>
      <c r="AL20" s="328"/>
      <c r="AM20" s="198">
        <f t="shared" si="12"/>
        <v>0</v>
      </c>
      <c r="AN20" s="327"/>
      <c r="AO20" s="328"/>
      <c r="AP20" s="328">
        <f>Roles!$D$8</f>
        <v>0.09</v>
      </c>
      <c r="AQ20" s="328"/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 t="shared" si="1"/>
        <v>2</v>
      </c>
      <c r="F21" s="80">
        <v>3.0</v>
      </c>
      <c r="G21" s="105">
        <f t="shared" si="2"/>
        <v>0.002583979328</v>
      </c>
      <c r="H21" s="186">
        <f t="shared" si="18"/>
        <v>0.0301464255</v>
      </c>
      <c r="I21" s="187">
        <f t="shared" si="16"/>
        <v>4</v>
      </c>
      <c r="J21" s="172">
        <f t="shared" si="19"/>
        <v>40</v>
      </c>
      <c r="K21" s="115">
        <f t="shared" si="3"/>
        <v>0.04136504654</v>
      </c>
      <c r="L21" s="336">
        <f t="shared" si="17"/>
        <v>1.76</v>
      </c>
      <c r="M21" s="172">
        <f t="shared" si="20"/>
        <v>17.6</v>
      </c>
      <c r="N21" s="198">
        <f t="shared" si="6"/>
        <v>1.333333333</v>
      </c>
      <c r="O21" s="337">
        <v>4.0</v>
      </c>
      <c r="P21" s="328"/>
      <c r="Q21" s="328">
        <f>Roles!$D$5</f>
        <v>0.44</v>
      </c>
      <c r="R21" s="328">
        <f t="shared" si="7"/>
        <v>1.76</v>
      </c>
      <c r="S21" s="198">
        <f t="shared" si="8"/>
        <v>0</v>
      </c>
      <c r="T21" s="327"/>
      <c r="U21" s="328"/>
      <c r="V21" s="328">
        <f>Roles!$D$8</f>
        <v>0.09</v>
      </c>
      <c r="W21" s="328"/>
      <c r="X21" s="198">
        <f t="shared" si="9"/>
        <v>0</v>
      </c>
      <c r="Y21" s="327"/>
      <c r="Z21" s="328"/>
      <c r="AA21" s="328">
        <f>Roles!$D$8</f>
        <v>0.09</v>
      </c>
      <c r="AB21" s="328"/>
      <c r="AC21" s="198">
        <f t="shared" si="10"/>
        <v>0</v>
      </c>
      <c r="AD21" s="327"/>
      <c r="AE21" s="328"/>
      <c r="AF21" s="328">
        <f>Roles!$D$8</f>
        <v>0.09</v>
      </c>
      <c r="AG21" s="328"/>
      <c r="AH21" s="198">
        <f t="shared" si="11"/>
        <v>0</v>
      </c>
      <c r="AI21" s="327"/>
      <c r="AJ21" s="328"/>
      <c r="AK21" s="328">
        <f>Roles!$D$8</f>
        <v>0.09</v>
      </c>
      <c r="AL21" s="328"/>
      <c r="AM21" s="198">
        <f t="shared" si="12"/>
        <v>0</v>
      </c>
      <c r="AN21" s="327"/>
      <c r="AO21" s="328"/>
      <c r="AP21" s="328">
        <f>Roles!$D$8</f>
        <v>0.09</v>
      </c>
      <c r="AQ21" s="328"/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 t="shared" si="1"/>
        <v>2</v>
      </c>
      <c r="F22" s="80">
        <v>3.0</v>
      </c>
      <c r="G22" s="105">
        <f t="shared" si="2"/>
        <v>0.002583979328</v>
      </c>
      <c r="H22" s="186">
        <f t="shared" si="18"/>
        <v>0.03273040482</v>
      </c>
      <c r="I22" s="187">
        <f t="shared" si="16"/>
        <v>4</v>
      </c>
      <c r="J22" s="172">
        <f t="shared" si="19"/>
        <v>44</v>
      </c>
      <c r="K22" s="115">
        <f t="shared" si="3"/>
        <v>0.04550155119</v>
      </c>
      <c r="L22" s="336">
        <f t="shared" si="17"/>
        <v>1.76</v>
      </c>
      <c r="M22" s="172">
        <f t="shared" si="20"/>
        <v>19.36</v>
      </c>
      <c r="N22" s="198">
        <f t="shared" si="6"/>
        <v>1.333333333</v>
      </c>
      <c r="O22" s="337">
        <v>4.0</v>
      </c>
      <c r="P22" s="328"/>
      <c r="Q22" s="328">
        <f>Roles!$D$5</f>
        <v>0.44</v>
      </c>
      <c r="R22" s="328">
        <f t="shared" si="7"/>
        <v>1.76</v>
      </c>
      <c r="S22" s="198">
        <f t="shared" si="8"/>
        <v>0</v>
      </c>
      <c r="T22" s="327"/>
      <c r="U22" s="328"/>
      <c r="V22" s="328">
        <f>Roles!$D$8</f>
        <v>0.09</v>
      </c>
      <c r="W22" s="328"/>
      <c r="X22" s="198">
        <f t="shared" si="9"/>
        <v>0</v>
      </c>
      <c r="Y22" s="327"/>
      <c r="Z22" s="328"/>
      <c r="AA22" s="328">
        <f>Roles!$D$8</f>
        <v>0.09</v>
      </c>
      <c r="AB22" s="328"/>
      <c r="AC22" s="198">
        <f t="shared" si="10"/>
        <v>0</v>
      </c>
      <c r="AD22" s="327"/>
      <c r="AE22" s="328"/>
      <c r="AF22" s="328">
        <f>Roles!$D$8</f>
        <v>0.09</v>
      </c>
      <c r="AG22" s="328"/>
      <c r="AH22" s="198">
        <f t="shared" si="11"/>
        <v>0</v>
      </c>
      <c r="AI22" s="327"/>
      <c r="AJ22" s="328"/>
      <c r="AK22" s="328">
        <f>Roles!$D$8</f>
        <v>0.09</v>
      </c>
      <c r="AL22" s="328"/>
      <c r="AM22" s="198">
        <f t="shared" si="12"/>
        <v>0</v>
      </c>
      <c r="AN22" s="327"/>
      <c r="AO22" s="328"/>
      <c r="AP22" s="328">
        <f>Roles!$D$8</f>
        <v>0.09</v>
      </c>
      <c r="AQ22" s="328"/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 t="shared" si="1"/>
        <v>7</v>
      </c>
      <c r="F23" s="161">
        <f>SUM(F24:F28)</f>
        <v>20</v>
      </c>
      <c r="G23" s="105">
        <f t="shared" si="2"/>
        <v>0.01722652885</v>
      </c>
      <c r="H23" s="163">
        <f>H28</f>
        <v>0.04995693368</v>
      </c>
      <c r="I23" s="213">
        <f>SUM(I24:I28)</f>
        <v>16</v>
      </c>
      <c r="J23" s="165">
        <f>J28</f>
        <v>60</v>
      </c>
      <c r="K23" s="167">
        <f t="shared" si="3"/>
        <v>0.0620475698</v>
      </c>
      <c r="L23" s="228">
        <f>SUM(L24:L28)</f>
        <v>7.04</v>
      </c>
      <c r="M23" s="215">
        <f>M28</f>
        <v>26.4</v>
      </c>
      <c r="N23" s="198">
        <f t="shared" si="6"/>
        <v>0</v>
      </c>
      <c r="O23" s="328"/>
      <c r="P23" s="328"/>
      <c r="Q23" s="328">
        <f>Roles!$D$5</f>
        <v>0.44</v>
      </c>
      <c r="R23" s="328">
        <f t="shared" si="7"/>
        <v>0</v>
      </c>
      <c r="S23" s="198">
        <f t="shared" si="8"/>
        <v>0</v>
      </c>
      <c r="T23" s="327"/>
      <c r="U23" s="328"/>
      <c r="V23" s="328">
        <f>Roles!$D$8</f>
        <v>0.09</v>
      </c>
      <c r="W23" s="328"/>
      <c r="X23" s="198">
        <f t="shared" si="9"/>
        <v>0</v>
      </c>
      <c r="Y23" s="327"/>
      <c r="Z23" s="328"/>
      <c r="AA23" s="328">
        <f>Roles!$D$8</f>
        <v>0.09</v>
      </c>
      <c r="AB23" s="328"/>
      <c r="AC23" s="198">
        <f t="shared" si="10"/>
        <v>0</v>
      </c>
      <c r="AD23" s="327"/>
      <c r="AE23" s="328"/>
      <c r="AF23" s="328">
        <f>Roles!$D$8</f>
        <v>0.09</v>
      </c>
      <c r="AG23" s="328"/>
      <c r="AH23" s="198">
        <f t="shared" si="11"/>
        <v>0</v>
      </c>
      <c r="AI23" s="327"/>
      <c r="AJ23" s="328"/>
      <c r="AK23" s="328">
        <f>Roles!$D$8</f>
        <v>0.09</v>
      </c>
      <c r="AL23" s="328"/>
      <c r="AM23" s="198">
        <f t="shared" si="12"/>
        <v>0</v>
      </c>
      <c r="AN23" s="327"/>
      <c r="AO23" s="328"/>
      <c r="AP23" s="328">
        <f>Roles!$D$8</f>
        <v>0.09</v>
      </c>
      <c r="AQ23" s="328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 t="shared" si="1"/>
        <v>7</v>
      </c>
      <c r="F24" s="185">
        <v>8.0</v>
      </c>
      <c r="G24" s="105">
        <f t="shared" si="2"/>
        <v>0.006890611542</v>
      </c>
      <c r="H24" s="186">
        <f>H22+G24</f>
        <v>0.03962101637</v>
      </c>
      <c r="I24" s="187">
        <f t="shared" ref="I24:I28" si="21">O24+T24+Y24+AD24+AI24+AN24</f>
        <v>9</v>
      </c>
      <c r="J24" s="187">
        <f>J22+I24</f>
        <v>53</v>
      </c>
      <c r="K24" s="115">
        <f t="shared" si="3"/>
        <v>0.05480868666</v>
      </c>
      <c r="L24" s="232">
        <f t="shared" ref="L24:L28" si="22">R24+W24+AB24+AG24+AL24+AQ24</f>
        <v>3.96</v>
      </c>
      <c r="M24" s="172">
        <f>M22+L24</f>
        <v>23.32</v>
      </c>
      <c r="N24" s="198">
        <f t="shared" si="6"/>
        <v>1.125</v>
      </c>
      <c r="O24" s="337">
        <v>9.0</v>
      </c>
      <c r="P24" s="328"/>
      <c r="Q24" s="328">
        <f>Roles!$D$5</f>
        <v>0.44</v>
      </c>
      <c r="R24" s="328">
        <f t="shared" si="7"/>
        <v>3.96</v>
      </c>
      <c r="S24" s="198">
        <f t="shared" si="8"/>
        <v>0</v>
      </c>
      <c r="T24" s="327"/>
      <c r="U24" s="328"/>
      <c r="V24" s="328">
        <f>Roles!$D$8</f>
        <v>0.09</v>
      </c>
      <c r="W24" s="328"/>
      <c r="X24" s="198">
        <f t="shared" si="9"/>
        <v>0</v>
      </c>
      <c r="Y24" s="327"/>
      <c r="Z24" s="328"/>
      <c r="AA24" s="328">
        <f>Roles!$D$8</f>
        <v>0.09</v>
      </c>
      <c r="AB24" s="328"/>
      <c r="AC24" s="198">
        <f t="shared" si="10"/>
        <v>0</v>
      </c>
      <c r="AD24" s="327"/>
      <c r="AE24" s="328"/>
      <c r="AF24" s="328">
        <f>Roles!$D$8</f>
        <v>0.09</v>
      </c>
      <c r="AG24" s="328"/>
      <c r="AH24" s="198">
        <f t="shared" si="11"/>
        <v>0</v>
      </c>
      <c r="AI24" s="327"/>
      <c r="AJ24" s="328"/>
      <c r="AK24" s="328">
        <f>Roles!$D$8</f>
        <v>0.09</v>
      </c>
      <c r="AL24" s="328"/>
      <c r="AM24" s="198">
        <f t="shared" si="12"/>
        <v>0</v>
      </c>
      <c r="AN24" s="327"/>
      <c r="AO24" s="328"/>
      <c r="AP24" s="328">
        <f>Roles!$D$8</f>
        <v>0.09</v>
      </c>
      <c r="AQ24" s="328"/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 t="shared" si="1"/>
        <v>3</v>
      </c>
      <c r="F25" s="80">
        <v>4.0</v>
      </c>
      <c r="G25" s="105">
        <f t="shared" si="2"/>
        <v>0.003445305771</v>
      </c>
      <c r="H25" s="47">
        <f t="shared" ref="H25:H29" si="23">H24+G25</f>
        <v>0.04306632214</v>
      </c>
      <c r="I25" s="187">
        <f t="shared" si="21"/>
        <v>0</v>
      </c>
      <c r="J25" s="172">
        <f t="shared" ref="J25:J29" si="24">J24+I25</f>
        <v>53</v>
      </c>
      <c r="K25" s="115">
        <f t="shared" si="3"/>
        <v>0.05480868666</v>
      </c>
      <c r="L25" s="232">
        <f t="shared" si="22"/>
        <v>0</v>
      </c>
      <c r="M25" s="172">
        <f t="shared" ref="M25:M29" si="25">M24+L25</f>
        <v>23.32</v>
      </c>
      <c r="N25" s="198">
        <f t="shared" si="6"/>
        <v>0</v>
      </c>
      <c r="O25" s="337">
        <v>0.0</v>
      </c>
      <c r="P25" s="328"/>
      <c r="Q25" s="328">
        <f>Roles!$D$5</f>
        <v>0.44</v>
      </c>
      <c r="R25" s="328">
        <f t="shared" si="7"/>
        <v>0</v>
      </c>
      <c r="S25" s="198">
        <f t="shared" si="8"/>
        <v>0</v>
      </c>
      <c r="T25" s="327"/>
      <c r="U25" s="328"/>
      <c r="V25" s="328">
        <f>Roles!$D$8</f>
        <v>0.09</v>
      </c>
      <c r="W25" s="328"/>
      <c r="X25" s="198">
        <f t="shared" si="9"/>
        <v>0</v>
      </c>
      <c r="Y25" s="327"/>
      <c r="Z25" s="328"/>
      <c r="AA25" s="328">
        <f>Roles!$D$8</f>
        <v>0.09</v>
      </c>
      <c r="AB25" s="328"/>
      <c r="AC25" s="198">
        <f t="shared" si="10"/>
        <v>0</v>
      </c>
      <c r="AD25" s="327"/>
      <c r="AE25" s="328"/>
      <c r="AF25" s="328">
        <f>Roles!$D$8</f>
        <v>0.09</v>
      </c>
      <c r="AG25" s="328"/>
      <c r="AH25" s="198">
        <f t="shared" si="11"/>
        <v>0</v>
      </c>
      <c r="AI25" s="327"/>
      <c r="AJ25" s="328"/>
      <c r="AK25" s="328">
        <f>Roles!$D$8</f>
        <v>0.09</v>
      </c>
      <c r="AL25" s="328"/>
      <c r="AM25" s="198">
        <f t="shared" si="12"/>
        <v>0</v>
      </c>
      <c r="AN25" s="327"/>
      <c r="AO25" s="328"/>
      <c r="AP25" s="328">
        <f>Roles!$D$8</f>
        <v>0.09</v>
      </c>
      <c r="AQ25" s="328"/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 t="shared" si="1"/>
        <v>3</v>
      </c>
      <c r="F26" s="80">
        <v>4.0</v>
      </c>
      <c r="G26" s="105">
        <f t="shared" si="2"/>
        <v>0.003445305771</v>
      </c>
      <c r="H26" s="47">
        <f t="shared" si="23"/>
        <v>0.04651162791</v>
      </c>
      <c r="I26" s="187">
        <f t="shared" si="21"/>
        <v>0</v>
      </c>
      <c r="J26" s="172">
        <f t="shared" si="24"/>
        <v>53</v>
      </c>
      <c r="K26" s="115">
        <f t="shared" si="3"/>
        <v>0.05480868666</v>
      </c>
      <c r="L26" s="232">
        <f t="shared" si="22"/>
        <v>0</v>
      </c>
      <c r="M26" s="172">
        <f t="shared" si="25"/>
        <v>23.32</v>
      </c>
      <c r="N26" s="198">
        <f t="shared" si="6"/>
        <v>0</v>
      </c>
      <c r="O26" s="337">
        <v>0.0</v>
      </c>
      <c r="P26" s="328"/>
      <c r="Q26" s="328">
        <f>Roles!$D$5</f>
        <v>0.44</v>
      </c>
      <c r="R26" s="328">
        <f t="shared" si="7"/>
        <v>0</v>
      </c>
      <c r="S26" s="198">
        <f t="shared" si="8"/>
        <v>0</v>
      </c>
      <c r="T26" s="327"/>
      <c r="U26" s="328"/>
      <c r="V26" s="328">
        <f>Roles!$D$8</f>
        <v>0.09</v>
      </c>
      <c r="W26" s="328"/>
      <c r="X26" s="198">
        <f t="shared" si="9"/>
        <v>0</v>
      </c>
      <c r="Y26" s="327"/>
      <c r="Z26" s="328"/>
      <c r="AA26" s="328">
        <f>Roles!$D$8</f>
        <v>0.09</v>
      </c>
      <c r="AB26" s="328"/>
      <c r="AC26" s="198">
        <f t="shared" si="10"/>
        <v>0</v>
      </c>
      <c r="AD26" s="327"/>
      <c r="AE26" s="328"/>
      <c r="AF26" s="328">
        <f>Roles!$D$8</f>
        <v>0.09</v>
      </c>
      <c r="AG26" s="328"/>
      <c r="AH26" s="198">
        <f t="shared" si="11"/>
        <v>0</v>
      </c>
      <c r="AI26" s="327"/>
      <c r="AJ26" s="328"/>
      <c r="AK26" s="328">
        <f>Roles!$D$8</f>
        <v>0.09</v>
      </c>
      <c r="AL26" s="328"/>
      <c r="AM26" s="198">
        <f t="shared" si="12"/>
        <v>0</v>
      </c>
      <c r="AN26" s="327"/>
      <c r="AO26" s="328"/>
      <c r="AP26" s="328">
        <f>Roles!$D$8</f>
        <v>0.09</v>
      </c>
      <c r="AQ26" s="328"/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 t="shared" si="1"/>
        <v>1</v>
      </c>
      <c r="F27" s="185">
        <v>1.0</v>
      </c>
      <c r="G27" s="105">
        <f t="shared" si="2"/>
        <v>0.0008613264427</v>
      </c>
      <c r="H27" s="47">
        <f t="shared" si="23"/>
        <v>0.04737295435</v>
      </c>
      <c r="I27" s="187">
        <f t="shared" si="21"/>
        <v>1</v>
      </c>
      <c r="J27" s="233">
        <f t="shared" si="24"/>
        <v>54</v>
      </c>
      <c r="K27" s="115">
        <f t="shared" si="3"/>
        <v>0.05584281282</v>
      </c>
      <c r="L27" s="232">
        <f t="shared" si="22"/>
        <v>0.44</v>
      </c>
      <c r="M27" s="191">
        <f t="shared" si="25"/>
        <v>23.76</v>
      </c>
      <c r="N27" s="198">
        <f t="shared" si="6"/>
        <v>1</v>
      </c>
      <c r="O27" s="337">
        <v>1.0</v>
      </c>
      <c r="P27" s="328"/>
      <c r="Q27" s="328">
        <f>Roles!$D$5</f>
        <v>0.44</v>
      </c>
      <c r="R27" s="328">
        <f t="shared" si="7"/>
        <v>0.44</v>
      </c>
      <c r="S27" s="198">
        <f t="shared" si="8"/>
        <v>0</v>
      </c>
      <c r="T27" s="327"/>
      <c r="U27" s="328"/>
      <c r="V27" s="328">
        <f>Roles!$D$8</f>
        <v>0.09</v>
      </c>
      <c r="W27" s="328"/>
      <c r="X27" s="198">
        <f t="shared" si="9"/>
        <v>0</v>
      </c>
      <c r="Y27" s="327"/>
      <c r="Z27" s="328"/>
      <c r="AA27" s="328">
        <f>Roles!$D$8</f>
        <v>0.09</v>
      </c>
      <c r="AB27" s="328"/>
      <c r="AC27" s="198">
        <f t="shared" si="10"/>
        <v>0</v>
      </c>
      <c r="AD27" s="327"/>
      <c r="AE27" s="328"/>
      <c r="AF27" s="328">
        <f>Roles!$D$8</f>
        <v>0.09</v>
      </c>
      <c r="AG27" s="328"/>
      <c r="AH27" s="198">
        <f t="shared" si="11"/>
        <v>0</v>
      </c>
      <c r="AI27" s="327"/>
      <c r="AJ27" s="328"/>
      <c r="AK27" s="328">
        <f>Roles!$D$8</f>
        <v>0.09</v>
      </c>
      <c r="AL27" s="328"/>
      <c r="AM27" s="198">
        <f t="shared" si="12"/>
        <v>0</v>
      </c>
      <c r="AN27" s="327"/>
      <c r="AO27" s="328"/>
      <c r="AP27" s="328">
        <f>Roles!$D$8</f>
        <v>0.09</v>
      </c>
      <c r="AQ27" s="328"/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 t="shared" si="1"/>
        <v>2</v>
      </c>
      <c r="F28" s="80">
        <v>3.0</v>
      </c>
      <c r="G28" s="105">
        <f t="shared" si="2"/>
        <v>0.002583979328</v>
      </c>
      <c r="H28" s="47">
        <f t="shared" si="23"/>
        <v>0.04995693368</v>
      </c>
      <c r="I28" s="187">
        <f t="shared" si="21"/>
        <v>6</v>
      </c>
      <c r="J28" s="172">
        <f t="shared" si="24"/>
        <v>60</v>
      </c>
      <c r="K28" s="115">
        <f t="shared" si="3"/>
        <v>0.0620475698</v>
      </c>
      <c r="L28" s="232">
        <f t="shared" si="22"/>
        <v>2.64</v>
      </c>
      <c r="M28" s="172">
        <f t="shared" si="25"/>
        <v>26.4</v>
      </c>
      <c r="N28" s="198">
        <f t="shared" si="6"/>
        <v>2</v>
      </c>
      <c r="O28" s="337">
        <v>6.0</v>
      </c>
      <c r="P28" s="328"/>
      <c r="Q28" s="328">
        <f>Roles!$D$5</f>
        <v>0.44</v>
      </c>
      <c r="R28" s="328">
        <f t="shared" si="7"/>
        <v>2.64</v>
      </c>
      <c r="S28" s="198">
        <f t="shared" si="8"/>
        <v>0</v>
      </c>
      <c r="T28" s="327"/>
      <c r="U28" s="328"/>
      <c r="V28" s="328">
        <f>Roles!$D$8</f>
        <v>0.09</v>
      </c>
      <c r="W28" s="328"/>
      <c r="X28" s="198">
        <f t="shared" si="9"/>
        <v>0</v>
      </c>
      <c r="Y28" s="327"/>
      <c r="Z28" s="328"/>
      <c r="AA28" s="328">
        <f>Roles!$D$8</f>
        <v>0.09</v>
      </c>
      <c r="AB28" s="328"/>
      <c r="AC28" s="198">
        <f t="shared" si="10"/>
        <v>0</v>
      </c>
      <c r="AD28" s="327"/>
      <c r="AE28" s="328"/>
      <c r="AF28" s="328">
        <f>Roles!$D$8</f>
        <v>0.09</v>
      </c>
      <c r="AG28" s="328"/>
      <c r="AH28" s="198">
        <f t="shared" si="11"/>
        <v>0</v>
      </c>
      <c r="AI28" s="327"/>
      <c r="AJ28" s="328"/>
      <c r="AK28" s="328">
        <f>Roles!$D$8</f>
        <v>0.09</v>
      </c>
      <c r="AL28" s="328"/>
      <c r="AM28" s="198">
        <f t="shared" si="12"/>
        <v>0</v>
      </c>
      <c r="AN28" s="327"/>
      <c r="AO28" s="328"/>
      <c r="AP28" s="328">
        <f>Roles!$D$8</f>
        <v>0.09</v>
      </c>
      <c r="AQ28" s="328"/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 t="shared" si="1"/>
        <v>1</v>
      </c>
      <c r="F29" s="136">
        <v>0.0</v>
      </c>
      <c r="G29" s="105">
        <f t="shared" si="2"/>
        <v>0</v>
      </c>
      <c r="H29" s="115">
        <f t="shared" si="23"/>
        <v>0.04995693368</v>
      </c>
      <c r="I29" s="110">
        <f>F29</f>
        <v>0</v>
      </c>
      <c r="J29" s="110">
        <f t="shared" si="24"/>
        <v>60</v>
      </c>
      <c r="K29" s="115">
        <f t="shared" si="3"/>
        <v>0.0620475698</v>
      </c>
      <c r="L29" s="110">
        <v>0.0</v>
      </c>
      <c r="M29" s="110">
        <f t="shared" si="25"/>
        <v>26.4</v>
      </c>
      <c r="N29" s="198" t="str">
        <f t="shared" si="6"/>
        <v>#DIV/0!</v>
      </c>
      <c r="O29" s="328"/>
      <c r="P29" s="328"/>
      <c r="Q29" s="328">
        <f>Roles!$D$5</f>
        <v>0.44</v>
      </c>
      <c r="R29" s="328">
        <f t="shared" si="7"/>
        <v>0</v>
      </c>
      <c r="S29" s="198" t="str">
        <f t="shared" si="8"/>
        <v>#DIV/0!</v>
      </c>
      <c r="T29" s="327"/>
      <c r="U29" s="328"/>
      <c r="V29" s="328">
        <f>Roles!$D$8</f>
        <v>0.09</v>
      </c>
      <c r="W29" s="328"/>
      <c r="X29" s="198" t="str">
        <f t="shared" si="9"/>
        <v>#DIV/0!</v>
      </c>
      <c r="Y29" s="327"/>
      <c r="Z29" s="328"/>
      <c r="AA29" s="328">
        <f>Roles!$D$8</f>
        <v>0.09</v>
      </c>
      <c r="AB29" s="328"/>
      <c r="AC29" s="198" t="str">
        <f t="shared" si="10"/>
        <v>#DIV/0!</v>
      </c>
      <c r="AD29" s="327"/>
      <c r="AE29" s="328"/>
      <c r="AF29" s="328">
        <f>Roles!$D$8</f>
        <v>0.09</v>
      </c>
      <c r="AG29" s="328"/>
      <c r="AH29" s="198" t="str">
        <f t="shared" si="11"/>
        <v>#DIV/0!</v>
      </c>
      <c r="AI29" s="327"/>
      <c r="AJ29" s="328"/>
      <c r="AK29" s="328">
        <f>Roles!$D$8</f>
        <v>0.09</v>
      </c>
      <c r="AL29" s="328"/>
      <c r="AM29" s="198" t="str">
        <f t="shared" si="12"/>
        <v>#DIV/0!</v>
      </c>
      <c r="AN29" s="327"/>
      <c r="AO29" s="328"/>
      <c r="AP29" s="328">
        <f>Roles!$D$8</f>
        <v>0.09</v>
      </c>
      <c r="AQ29" s="328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 t="shared" si="1"/>
        <v>15</v>
      </c>
      <c r="F30" s="240">
        <f>F31+F39+F47+F52+F58+F62+F66+F70+F74</f>
        <v>243</v>
      </c>
      <c r="G30" s="105">
        <f t="shared" si="2"/>
        <v>0.2093023256</v>
      </c>
      <c r="H30" s="224">
        <f>H78</f>
        <v>0.2592592593</v>
      </c>
      <c r="I30" s="241">
        <f>I31+I39+I47+I52+I58+I62+I66+I70+I74</f>
        <v>548</v>
      </c>
      <c r="J30" s="241">
        <f>J78</f>
        <v>608</v>
      </c>
      <c r="K30" s="138">
        <f t="shared" si="3"/>
        <v>0.6287487073</v>
      </c>
      <c r="L30" s="241">
        <f>L31+L39+L47+L52+L58+L62+L66+L70+L74</f>
        <v>241.12</v>
      </c>
      <c r="M30" s="241">
        <f>M78</f>
        <v>267.52</v>
      </c>
      <c r="N30" s="198">
        <f t="shared" si="6"/>
        <v>0</v>
      </c>
      <c r="O30" s="328"/>
      <c r="P30" s="328"/>
      <c r="Q30" s="328">
        <f>Roles!$D$5</f>
        <v>0.44</v>
      </c>
      <c r="R30" s="328">
        <f t="shared" si="7"/>
        <v>0</v>
      </c>
      <c r="S30" s="198">
        <f t="shared" si="8"/>
        <v>0</v>
      </c>
      <c r="T30" s="327"/>
      <c r="U30" s="328"/>
      <c r="V30" s="328">
        <f>Roles!$D$8</f>
        <v>0.09</v>
      </c>
      <c r="W30" s="328"/>
      <c r="X30" s="198">
        <f t="shared" si="9"/>
        <v>0</v>
      </c>
      <c r="Y30" s="327"/>
      <c r="Z30" s="328"/>
      <c r="AA30" s="328">
        <f>Roles!$D$8</f>
        <v>0.09</v>
      </c>
      <c r="AB30" s="328"/>
      <c r="AC30" s="198">
        <f t="shared" si="10"/>
        <v>0</v>
      </c>
      <c r="AD30" s="327"/>
      <c r="AE30" s="328"/>
      <c r="AF30" s="328">
        <f>Roles!$D$8</f>
        <v>0.09</v>
      </c>
      <c r="AG30" s="328"/>
      <c r="AH30" s="198">
        <f t="shared" si="11"/>
        <v>0</v>
      </c>
      <c r="AI30" s="327"/>
      <c r="AJ30" s="328"/>
      <c r="AK30" s="328">
        <f>Roles!$D$8</f>
        <v>0.09</v>
      </c>
      <c r="AL30" s="328"/>
      <c r="AM30" s="198">
        <f t="shared" si="12"/>
        <v>0</v>
      </c>
      <c r="AN30" s="327"/>
      <c r="AO30" s="328"/>
      <c r="AP30" s="328">
        <f>Roles!$D$8</f>
        <v>0.09</v>
      </c>
      <c r="AQ30" s="328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 t="shared" si="1"/>
        <v>3</v>
      </c>
      <c r="F31" s="246">
        <f>SUM(F32:F38)</f>
        <v>18</v>
      </c>
      <c r="G31" s="105">
        <f t="shared" si="2"/>
        <v>0.01550387597</v>
      </c>
      <c r="H31" s="226">
        <f>H38</f>
        <v>0.06546080965</v>
      </c>
      <c r="I31" s="247">
        <f>SUM(I32:I38)</f>
        <v>1</v>
      </c>
      <c r="J31" s="247">
        <f>J38</f>
        <v>61</v>
      </c>
      <c r="K31" s="167">
        <f t="shared" si="3"/>
        <v>0.06308169597</v>
      </c>
      <c r="L31" s="247">
        <f>SUM(L32:L38)</f>
        <v>0.44</v>
      </c>
      <c r="M31" s="247">
        <f>M38</f>
        <v>26.84</v>
      </c>
      <c r="N31" s="198">
        <f t="shared" si="6"/>
        <v>0</v>
      </c>
      <c r="O31" s="328"/>
      <c r="P31" s="328"/>
      <c r="Q31" s="328">
        <f>Roles!$D$5</f>
        <v>0.44</v>
      </c>
      <c r="R31" s="328">
        <f t="shared" si="7"/>
        <v>0</v>
      </c>
      <c r="S31" s="198">
        <f t="shared" si="8"/>
        <v>0</v>
      </c>
      <c r="T31" s="327"/>
      <c r="U31" s="328"/>
      <c r="V31" s="328">
        <f>Roles!$D$8</f>
        <v>0.09</v>
      </c>
      <c r="W31" s="328"/>
      <c r="X31" s="198">
        <f t="shared" si="9"/>
        <v>0</v>
      </c>
      <c r="Y31" s="327"/>
      <c r="Z31" s="328"/>
      <c r="AA31" s="328">
        <f>Roles!$D$8</f>
        <v>0.09</v>
      </c>
      <c r="AB31" s="328"/>
      <c r="AC31" s="198">
        <f t="shared" si="10"/>
        <v>0</v>
      </c>
      <c r="AD31" s="327"/>
      <c r="AE31" s="328"/>
      <c r="AF31" s="328">
        <f>Roles!$D$8</f>
        <v>0.09</v>
      </c>
      <c r="AG31" s="328"/>
      <c r="AH31" s="198">
        <f t="shared" si="11"/>
        <v>0</v>
      </c>
      <c r="AI31" s="327"/>
      <c r="AJ31" s="328"/>
      <c r="AK31" s="328">
        <f>Roles!$D$8</f>
        <v>0.09</v>
      </c>
      <c r="AL31" s="328"/>
      <c r="AM31" s="198">
        <f t="shared" si="12"/>
        <v>0</v>
      </c>
      <c r="AN31" s="327"/>
      <c r="AO31" s="328"/>
      <c r="AP31" s="328">
        <f>Roles!$D$8</f>
        <v>0.09</v>
      </c>
      <c r="AQ31" s="328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 t="shared" si="1"/>
        <v>1</v>
      </c>
      <c r="F32" s="80">
        <v>3.0</v>
      </c>
      <c r="G32" s="105">
        <f t="shared" si="2"/>
        <v>0.002583979328</v>
      </c>
      <c r="H32" s="47">
        <f>H29+G32</f>
        <v>0.05254091301</v>
      </c>
      <c r="I32" s="187">
        <f t="shared" ref="I32:I38" si="26">O32+T32+Y32+AD32+AI32+AN32</f>
        <v>0</v>
      </c>
      <c r="J32" s="172">
        <f>J29+I32</f>
        <v>60</v>
      </c>
      <c r="K32" s="115">
        <f t="shared" si="3"/>
        <v>0.0620475698</v>
      </c>
      <c r="L32" s="232">
        <f t="shared" ref="L32:L38" si="27">R32+W32+AB32+AG32+AL32+AQ32</f>
        <v>0</v>
      </c>
      <c r="M32" s="172">
        <f>M29+L32</f>
        <v>26.4</v>
      </c>
      <c r="N32" s="198">
        <f t="shared" si="6"/>
        <v>0</v>
      </c>
      <c r="O32" s="337">
        <v>0.0</v>
      </c>
      <c r="P32" s="328"/>
      <c r="Q32" s="328">
        <f>Roles!$D$5</f>
        <v>0.44</v>
      </c>
      <c r="R32" s="328">
        <f t="shared" si="7"/>
        <v>0</v>
      </c>
      <c r="S32" s="198">
        <f t="shared" si="8"/>
        <v>0</v>
      </c>
      <c r="T32" s="327"/>
      <c r="U32" s="328"/>
      <c r="V32" s="328">
        <f>Roles!$D$8</f>
        <v>0.09</v>
      </c>
      <c r="W32" s="328"/>
      <c r="X32" s="198">
        <f t="shared" si="9"/>
        <v>0</v>
      </c>
      <c r="Y32" s="327"/>
      <c r="Z32" s="328"/>
      <c r="AA32" s="328">
        <f>Roles!$D$8</f>
        <v>0.09</v>
      </c>
      <c r="AB32" s="328"/>
      <c r="AC32" s="198">
        <f t="shared" si="10"/>
        <v>0</v>
      </c>
      <c r="AD32" s="327"/>
      <c r="AE32" s="328"/>
      <c r="AF32" s="328">
        <f>Roles!$D$8</f>
        <v>0.09</v>
      </c>
      <c r="AG32" s="328"/>
      <c r="AH32" s="198">
        <f t="shared" si="11"/>
        <v>0</v>
      </c>
      <c r="AI32" s="327"/>
      <c r="AJ32" s="328"/>
      <c r="AK32" s="328">
        <f>Roles!$D$8</f>
        <v>0.09</v>
      </c>
      <c r="AL32" s="328"/>
      <c r="AM32" s="198">
        <f t="shared" si="12"/>
        <v>0</v>
      </c>
      <c r="AN32" s="327"/>
      <c r="AO32" s="328"/>
      <c r="AP32" s="328">
        <f>Roles!$D$8</f>
        <v>0.09</v>
      </c>
      <c r="AQ32" s="328"/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 t="shared" si="1"/>
        <v>2</v>
      </c>
      <c r="F33" s="80">
        <v>3.0</v>
      </c>
      <c r="G33" s="105">
        <f t="shared" si="2"/>
        <v>0.002583979328</v>
      </c>
      <c r="H33" s="47">
        <f t="shared" ref="H33:H38" si="28">H32+G33</f>
        <v>0.05512489233</v>
      </c>
      <c r="I33" s="187">
        <f t="shared" si="26"/>
        <v>0</v>
      </c>
      <c r="J33" s="172">
        <f t="shared" ref="J33:J38" si="29">J32+I33</f>
        <v>60</v>
      </c>
      <c r="K33" s="115">
        <f t="shared" si="3"/>
        <v>0.0620475698</v>
      </c>
      <c r="L33" s="232">
        <f t="shared" si="27"/>
        <v>0</v>
      </c>
      <c r="M33" s="172">
        <f t="shared" ref="M33:M38" si="30">M32+L33</f>
        <v>26.4</v>
      </c>
      <c r="N33" s="198">
        <f t="shared" si="6"/>
        <v>0</v>
      </c>
      <c r="O33" s="337">
        <v>0.0</v>
      </c>
      <c r="P33" s="328"/>
      <c r="Q33" s="328">
        <f>Roles!$D$5</f>
        <v>0.44</v>
      </c>
      <c r="R33" s="328">
        <f t="shared" si="7"/>
        <v>0</v>
      </c>
      <c r="S33" s="198">
        <f t="shared" si="8"/>
        <v>0</v>
      </c>
      <c r="T33" s="327"/>
      <c r="U33" s="328"/>
      <c r="V33" s="328">
        <f>Roles!$D$8</f>
        <v>0.09</v>
      </c>
      <c r="W33" s="328"/>
      <c r="X33" s="198">
        <f t="shared" si="9"/>
        <v>0</v>
      </c>
      <c r="Y33" s="327"/>
      <c r="Z33" s="328"/>
      <c r="AA33" s="328">
        <f>Roles!$D$8</f>
        <v>0.09</v>
      </c>
      <c r="AB33" s="328"/>
      <c r="AC33" s="198">
        <f t="shared" si="10"/>
        <v>0</v>
      </c>
      <c r="AD33" s="327"/>
      <c r="AE33" s="328"/>
      <c r="AF33" s="328">
        <f>Roles!$D$8</f>
        <v>0.09</v>
      </c>
      <c r="AG33" s="328"/>
      <c r="AH33" s="198">
        <f t="shared" si="11"/>
        <v>0</v>
      </c>
      <c r="AI33" s="327"/>
      <c r="AJ33" s="328"/>
      <c r="AK33" s="328">
        <f>Roles!$D$8</f>
        <v>0.09</v>
      </c>
      <c r="AL33" s="328"/>
      <c r="AM33" s="198">
        <f t="shared" si="12"/>
        <v>0</v>
      </c>
      <c r="AN33" s="327"/>
      <c r="AO33" s="328"/>
      <c r="AP33" s="328">
        <f>Roles!$D$8</f>
        <v>0.09</v>
      </c>
      <c r="AQ33" s="328"/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 t="shared" si="1"/>
        <v>2</v>
      </c>
      <c r="F34" s="80">
        <v>3.0</v>
      </c>
      <c r="G34" s="105">
        <f t="shared" si="2"/>
        <v>0.002583979328</v>
      </c>
      <c r="H34" s="47">
        <f t="shared" si="28"/>
        <v>0.05770887166</v>
      </c>
      <c r="I34" s="187">
        <f t="shared" si="26"/>
        <v>0</v>
      </c>
      <c r="J34" s="172">
        <f t="shared" si="29"/>
        <v>60</v>
      </c>
      <c r="K34" s="115">
        <f t="shared" si="3"/>
        <v>0.0620475698</v>
      </c>
      <c r="L34" s="232">
        <f t="shared" si="27"/>
        <v>0</v>
      </c>
      <c r="M34" s="172">
        <f t="shared" si="30"/>
        <v>26.4</v>
      </c>
      <c r="N34" s="198">
        <f t="shared" si="6"/>
        <v>0</v>
      </c>
      <c r="O34" s="337">
        <v>0.0</v>
      </c>
      <c r="P34" s="328"/>
      <c r="Q34" s="328">
        <f>Roles!$D$5</f>
        <v>0.44</v>
      </c>
      <c r="R34" s="328">
        <f t="shared" si="7"/>
        <v>0</v>
      </c>
      <c r="S34" s="198">
        <f t="shared" si="8"/>
        <v>0</v>
      </c>
      <c r="T34" s="327"/>
      <c r="U34" s="328"/>
      <c r="V34" s="328">
        <f>Roles!$D$8</f>
        <v>0.09</v>
      </c>
      <c r="W34" s="328"/>
      <c r="X34" s="198">
        <f t="shared" si="9"/>
        <v>0</v>
      </c>
      <c r="Y34" s="327"/>
      <c r="Z34" s="328"/>
      <c r="AA34" s="328">
        <f>Roles!$D$8</f>
        <v>0.09</v>
      </c>
      <c r="AB34" s="328"/>
      <c r="AC34" s="198">
        <f t="shared" si="10"/>
        <v>0</v>
      </c>
      <c r="AD34" s="327"/>
      <c r="AE34" s="328"/>
      <c r="AF34" s="328">
        <f>Roles!$D$8</f>
        <v>0.09</v>
      </c>
      <c r="AG34" s="328"/>
      <c r="AH34" s="198">
        <f t="shared" si="11"/>
        <v>0</v>
      </c>
      <c r="AI34" s="327"/>
      <c r="AJ34" s="328"/>
      <c r="AK34" s="328">
        <f>Roles!$D$8</f>
        <v>0.09</v>
      </c>
      <c r="AL34" s="328"/>
      <c r="AM34" s="198">
        <f t="shared" si="12"/>
        <v>0</v>
      </c>
      <c r="AN34" s="327"/>
      <c r="AO34" s="328"/>
      <c r="AP34" s="328">
        <f>Roles!$D$8</f>
        <v>0.09</v>
      </c>
      <c r="AQ34" s="328"/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 t="shared" si="1"/>
        <v>1</v>
      </c>
      <c r="F35" s="80">
        <v>2.0</v>
      </c>
      <c r="G35" s="105">
        <f t="shared" si="2"/>
        <v>0.001722652885</v>
      </c>
      <c r="H35" s="47">
        <f t="shared" si="28"/>
        <v>0.05943152455</v>
      </c>
      <c r="I35" s="187">
        <f t="shared" si="26"/>
        <v>0</v>
      </c>
      <c r="J35" s="172">
        <f t="shared" si="29"/>
        <v>60</v>
      </c>
      <c r="K35" s="115">
        <f t="shared" si="3"/>
        <v>0.0620475698</v>
      </c>
      <c r="L35" s="232">
        <f t="shared" si="27"/>
        <v>0</v>
      </c>
      <c r="M35" s="172">
        <f t="shared" si="30"/>
        <v>26.4</v>
      </c>
      <c r="N35" s="198">
        <f t="shared" si="6"/>
        <v>0</v>
      </c>
      <c r="O35" s="337">
        <v>0.0</v>
      </c>
      <c r="P35" s="328"/>
      <c r="Q35" s="328">
        <f>Roles!$D$5</f>
        <v>0.44</v>
      </c>
      <c r="R35" s="328">
        <f t="shared" si="7"/>
        <v>0</v>
      </c>
      <c r="S35" s="198">
        <f t="shared" si="8"/>
        <v>0</v>
      </c>
      <c r="T35" s="327"/>
      <c r="U35" s="328"/>
      <c r="V35" s="328">
        <f>Roles!$D$8</f>
        <v>0.09</v>
      </c>
      <c r="W35" s="328"/>
      <c r="X35" s="198">
        <f t="shared" si="9"/>
        <v>0</v>
      </c>
      <c r="Y35" s="327"/>
      <c r="Z35" s="328"/>
      <c r="AA35" s="328">
        <f>Roles!$D$8</f>
        <v>0.09</v>
      </c>
      <c r="AB35" s="328"/>
      <c r="AC35" s="198">
        <f t="shared" si="10"/>
        <v>0</v>
      </c>
      <c r="AD35" s="327"/>
      <c r="AE35" s="328"/>
      <c r="AF35" s="328">
        <f>Roles!$D$8</f>
        <v>0.09</v>
      </c>
      <c r="AG35" s="328"/>
      <c r="AH35" s="198">
        <f t="shared" si="11"/>
        <v>0</v>
      </c>
      <c r="AI35" s="327"/>
      <c r="AJ35" s="328"/>
      <c r="AK35" s="328">
        <f>Roles!$D$8</f>
        <v>0.09</v>
      </c>
      <c r="AL35" s="328"/>
      <c r="AM35" s="198">
        <f t="shared" si="12"/>
        <v>0</v>
      </c>
      <c r="AN35" s="327"/>
      <c r="AO35" s="328"/>
      <c r="AP35" s="328">
        <f>Roles!$D$8</f>
        <v>0.09</v>
      </c>
      <c r="AQ35" s="328"/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 t="shared" si="1"/>
        <v>2</v>
      </c>
      <c r="F36" s="80">
        <v>4.0</v>
      </c>
      <c r="G36" s="105">
        <f t="shared" si="2"/>
        <v>0.003445305771</v>
      </c>
      <c r="H36" s="47">
        <f t="shared" si="28"/>
        <v>0.06287683032</v>
      </c>
      <c r="I36" s="187">
        <f t="shared" si="26"/>
        <v>0</v>
      </c>
      <c r="J36" s="172">
        <f t="shared" si="29"/>
        <v>60</v>
      </c>
      <c r="K36" s="115">
        <f t="shared" si="3"/>
        <v>0.0620475698</v>
      </c>
      <c r="L36" s="232">
        <f t="shared" si="27"/>
        <v>0</v>
      </c>
      <c r="M36" s="172">
        <f t="shared" si="30"/>
        <v>26.4</v>
      </c>
      <c r="N36" s="198">
        <f t="shared" si="6"/>
        <v>0</v>
      </c>
      <c r="O36" s="337">
        <v>0.0</v>
      </c>
      <c r="P36" s="328"/>
      <c r="Q36" s="328">
        <f>Roles!$D$5</f>
        <v>0.44</v>
      </c>
      <c r="R36" s="328">
        <f t="shared" si="7"/>
        <v>0</v>
      </c>
      <c r="S36" s="198">
        <f t="shared" si="8"/>
        <v>0</v>
      </c>
      <c r="T36" s="327"/>
      <c r="U36" s="328"/>
      <c r="V36" s="328">
        <f>Roles!$D$8</f>
        <v>0.09</v>
      </c>
      <c r="W36" s="328"/>
      <c r="X36" s="198">
        <f t="shared" si="9"/>
        <v>0</v>
      </c>
      <c r="Y36" s="327"/>
      <c r="Z36" s="328"/>
      <c r="AA36" s="328">
        <f>Roles!$D$8</f>
        <v>0.09</v>
      </c>
      <c r="AB36" s="328"/>
      <c r="AC36" s="198">
        <f t="shared" si="10"/>
        <v>0</v>
      </c>
      <c r="AD36" s="327"/>
      <c r="AE36" s="328"/>
      <c r="AF36" s="328">
        <f>Roles!$D$8</f>
        <v>0.09</v>
      </c>
      <c r="AG36" s="328"/>
      <c r="AH36" s="198">
        <f t="shared" si="11"/>
        <v>0</v>
      </c>
      <c r="AI36" s="327"/>
      <c r="AJ36" s="328"/>
      <c r="AK36" s="328">
        <f>Roles!$D$8</f>
        <v>0.09</v>
      </c>
      <c r="AL36" s="328"/>
      <c r="AM36" s="198">
        <f t="shared" si="12"/>
        <v>0</v>
      </c>
      <c r="AN36" s="327"/>
      <c r="AO36" s="328"/>
      <c r="AP36" s="328">
        <f>Roles!$D$8</f>
        <v>0.09</v>
      </c>
      <c r="AQ36" s="328"/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 t="shared" si="1"/>
        <v>1</v>
      </c>
      <c r="F37" s="80">
        <v>2.0</v>
      </c>
      <c r="G37" s="105">
        <f t="shared" si="2"/>
        <v>0.001722652885</v>
      </c>
      <c r="H37" s="47">
        <f t="shared" si="28"/>
        <v>0.0645994832</v>
      </c>
      <c r="I37" s="187">
        <f t="shared" si="26"/>
        <v>0</v>
      </c>
      <c r="J37" s="172">
        <f t="shared" si="29"/>
        <v>60</v>
      </c>
      <c r="K37" s="115">
        <f t="shared" si="3"/>
        <v>0.0620475698</v>
      </c>
      <c r="L37" s="232">
        <f t="shared" si="27"/>
        <v>0</v>
      </c>
      <c r="M37" s="172">
        <f t="shared" si="30"/>
        <v>26.4</v>
      </c>
      <c r="N37" s="198">
        <f t="shared" si="6"/>
        <v>0</v>
      </c>
      <c r="O37" s="337">
        <v>0.0</v>
      </c>
      <c r="P37" s="328"/>
      <c r="Q37" s="328">
        <f>Roles!$D$5</f>
        <v>0.44</v>
      </c>
      <c r="R37" s="328">
        <f t="shared" si="7"/>
        <v>0</v>
      </c>
      <c r="S37" s="198">
        <f t="shared" si="8"/>
        <v>0</v>
      </c>
      <c r="T37" s="327"/>
      <c r="U37" s="328"/>
      <c r="V37" s="328">
        <f>Roles!$D$8</f>
        <v>0.09</v>
      </c>
      <c r="W37" s="328"/>
      <c r="X37" s="198">
        <f t="shared" si="9"/>
        <v>0</v>
      </c>
      <c r="Y37" s="327"/>
      <c r="Z37" s="328"/>
      <c r="AA37" s="328">
        <f>Roles!$D$8</f>
        <v>0.09</v>
      </c>
      <c r="AB37" s="328"/>
      <c r="AC37" s="198">
        <f t="shared" si="10"/>
        <v>0</v>
      </c>
      <c r="AD37" s="327"/>
      <c r="AE37" s="328"/>
      <c r="AF37" s="328">
        <f>Roles!$D$8</f>
        <v>0.09</v>
      </c>
      <c r="AG37" s="328"/>
      <c r="AH37" s="198">
        <f t="shared" si="11"/>
        <v>0</v>
      </c>
      <c r="AI37" s="327"/>
      <c r="AJ37" s="328"/>
      <c r="AK37" s="328">
        <f>Roles!$D$8</f>
        <v>0.09</v>
      </c>
      <c r="AL37" s="328"/>
      <c r="AM37" s="198">
        <f t="shared" si="12"/>
        <v>0</v>
      </c>
      <c r="AN37" s="327"/>
      <c r="AO37" s="328"/>
      <c r="AP37" s="328">
        <f>Roles!$D$8</f>
        <v>0.09</v>
      </c>
      <c r="AQ37" s="328"/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 t="shared" si="1"/>
        <v>1</v>
      </c>
      <c r="F38" s="80">
        <v>1.0</v>
      </c>
      <c r="G38" s="105">
        <f t="shared" si="2"/>
        <v>0.0008613264427</v>
      </c>
      <c r="H38" s="47">
        <f t="shared" si="28"/>
        <v>0.06546080965</v>
      </c>
      <c r="I38" s="187">
        <f t="shared" si="26"/>
        <v>1</v>
      </c>
      <c r="J38" s="172">
        <f t="shared" si="29"/>
        <v>61</v>
      </c>
      <c r="K38" s="248">
        <f t="shared" si="3"/>
        <v>0.06308169597</v>
      </c>
      <c r="L38" s="232">
        <f t="shared" si="27"/>
        <v>0.44</v>
      </c>
      <c r="M38" s="172">
        <f t="shared" si="30"/>
        <v>26.84</v>
      </c>
      <c r="N38" s="198">
        <f t="shared" si="6"/>
        <v>1</v>
      </c>
      <c r="O38" s="337">
        <v>1.0</v>
      </c>
      <c r="P38" s="328"/>
      <c r="Q38" s="328">
        <f>Roles!$D$5</f>
        <v>0.44</v>
      </c>
      <c r="R38" s="328">
        <f t="shared" si="7"/>
        <v>0.44</v>
      </c>
      <c r="S38" s="198">
        <f t="shared" si="8"/>
        <v>0</v>
      </c>
      <c r="T38" s="327"/>
      <c r="U38" s="328"/>
      <c r="V38" s="328">
        <f>Roles!$D$8</f>
        <v>0.09</v>
      </c>
      <c r="W38" s="328"/>
      <c r="X38" s="198">
        <f t="shared" si="9"/>
        <v>0</v>
      </c>
      <c r="Y38" s="327"/>
      <c r="Z38" s="328"/>
      <c r="AA38" s="328">
        <f>Roles!$D$8</f>
        <v>0.09</v>
      </c>
      <c r="AB38" s="328"/>
      <c r="AC38" s="198">
        <f t="shared" si="10"/>
        <v>0</v>
      </c>
      <c r="AD38" s="327"/>
      <c r="AE38" s="328"/>
      <c r="AF38" s="328">
        <f>Roles!$D$8</f>
        <v>0.09</v>
      </c>
      <c r="AG38" s="328"/>
      <c r="AH38" s="198">
        <f t="shared" si="11"/>
        <v>0</v>
      </c>
      <c r="AI38" s="327"/>
      <c r="AJ38" s="328"/>
      <c r="AK38" s="328">
        <f>Roles!$D$8</f>
        <v>0.09</v>
      </c>
      <c r="AL38" s="328"/>
      <c r="AM38" s="198">
        <f t="shared" si="12"/>
        <v>0</v>
      </c>
      <c r="AN38" s="327"/>
      <c r="AO38" s="328"/>
      <c r="AP38" s="328">
        <f>Roles!$D$8</f>
        <v>0.09</v>
      </c>
      <c r="AQ38" s="328"/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 t="shared" si="1"/>
        <v>6</v>
      </c>
      <c r="F39" s="246">
        <f>SUM(F40:F46)</f>
        <v>36</v>
      </c>
      <c r="G39" s="105">
        <f t="shared" si="2"/>
        <v>0.03100775194</v>
      </c>
      <c r="H39" s="226">
        <f>H46</f>
        <v>0.09646856158</v>
      </c>
      <c r="I39" s="247">
        <f>SUM(I40:I46)</f>
        <v>54</v>
      </c>
      <c r="J39" s="247">
        <f>J46</f>
        <v>115</v>
      </c>
      <c r="K39" s="167">
        <f t="shared" si="3"/>
        <v>0.1189245088</v>
      </c>
      <c r="L39" s="247">
        <f>SUM(L40:L46)</f>
        <v>23.76</v>
      </c>
      <c r="M39" s="247">
        <f>M46</f>
        <v>50.6</v>
      </c>
      <c r="N39" s="198">
        <f t="shared" si="6"/>
        <v>0</v>
      </c>
      <c r="O39" s="328"/>
      <c r="P39" s="328"/>
      <c r="Q39" s="328">
        <f>Roles!$D$5</f>
        <v>0.44</v>
      </c>
      <c r="R39" s="328">
        <f t="shared" si="7"/>
        <v>0</v>
      </c>
      <c r="S39" s="198">
        <f t="shared" si="8"/>
        <v>0</v>
      </c>
      <c r="T39" s="327"/>
      <c r="U39" s="328"/>
      <c r="V39" s="328">
        <f>Roles!$D$8</f>
        <v>0.09</v>
      </c>
      <c r="W39" s="328"/>
      <c r="X39" s="198">
        <f t="shared" si="9"/>
        <v>0</v>
      </c>
      <c r="Y39" s="327"/>
      <c r="Z39" s="328"/>
      <c r="AA39" s="328">
        <f>Roles!$D$8</f>
        <v>0.09</v>
      </c>
      <c r="AB39" s="328"/>
      <c r="AC39" s="198">
        <f t="shared" si="10"/>
        <v>0</v>
      </c>
      <c r="AD39" s="327"/>
      <c r="AE39" s="328"/>
      <c r="AF39" s="328">
        <f>Roles!$D$8</f>
        <v>0.09</v>
      </c>
      <c r="AG39" s="328"/>
      <c r="AH39" s="198">
        <f t="shared" si="11"/>
        <v>0</v>
      </c>
      <c r="AI39" s="327"/>
      <c r="AJ39" s="328"/>
      <c r="AK39" s="328">
        <f>Roles!$D$8</f>
        <v>0.09</v>
      </c>
      <c r="AL39" s="328"/>
      <c r="AM39" s="198">
        <f t="shared" si="12"/>
        <v>0</v>
      </c>
      <c r="AN39" s="327"/>
      <c r="AO39" s="328"/>
      <c r="AP39" s="328">
        <f>Roles!$D$8</f>
        <v>0.09</v>
      </c>
      <c r="AQ39" s="328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 t="shared" si="1"/>
        <v>3</v>
      </c>
      <c r="F40" s="80">
        <v>10.0</v>
      </c>
      <c r="G40" s="105">
        <f t="shared" si="2"/>
        <v>0.008613264427</v>
      </c>
      <c r="H40" s="47">
        <f>H38+G40</f>
        <v>0.07407407407</v>
      </c>
      <c r="I40" s="187">
        <f t="shared" ref="I40:I46" si="31">O40+T40+Y40+AD40+AI40+AN40</f>
        <v>17</v>
      </c>
      <c r="J40" s="172">
        <f>J38+I40</f>
        <v>78</v>
      </c>
      <c r="K40" s="115">
        <f t="shared" si="3"/>
        <v>0.08066184074</v>
      </c>
      <c r="L40" s="232">
        <f t="shared" ref="L40:L46" si="32">R40+W40+AB40+AG40+AL40+AQ40</f>
        <v>7.48</v>
      </c>
      <c r="M40" s="172">
        <f>M38+L40</f>
        <v>34.32</v>
      </c>
      <c r="N40" s="198">
        <f t="shared" si="6"/>
        <v>1.7</v>
      </c>
      <c r="O40" s="337">
        <v>17.0</v>
      </c>
      <c r="P40" s="328"/>
      <c r="Q40" s="328">
        <f>Roles!$D$5</f>
        <v>0.44</v>
      </c>
      <c r="R40" s="328">
        <f t="shared" si="7"/>
        <v>7.48</v>
      </c>
      <c r="S40" s="198">
        <f t="shared" si="8"/>
        <v>0</v>
      </c>
      <c r="T40" s="327"/>
      <c r="U40" s="328"/>
      <c r="V40" s="328">
        <f>Roles!$D$8</f>
        <v>0.09</v>
      </c>
      <c r="W40" s="328"/>
      <c r="X40" s="198">
        <f t="shared" si="9"/>
        <v>0</v>
      </c>
      <c r="Y40" s="327"/>
      <c r="Z40" s="328"/>
      <c r="AA40" s="328">
        <f>Roles!$D$8</f>
        <v>0.09</v>
      </c>
      <c r="AB40" s="328"/>
      <c r="AC40" s="198">
        <f t="shared" si="10"/>
        <v>0</v>
      </c>
      <c r="AD40" s="327"/>
      <c r="AE40" s="328"/>
      <c r="AF40" s="328">
        <f>Roles!$D$8</f>
        <v>0.09</v>
      </c>
      <c r="AG40" s="328"/>
      <c r="AH40" s="198">
        <f t="shared" si="11"/>
        <v>0</v>
      </c>
      <c r="AI40" s="327"/>
      <c r="AJ40" s="328"/>
      <c r="AK40" s="328">
        <f>Roles!$D$8</f>
        <v>0.09</v>
      </c>
      <c r="AL40" s="328"/>
      <c r="AM40" s="198">
        <f t="shared" si="12"/>
        <v>0</v>
      </c>
      <c r="AN40" s="327"/>
      <c r="AO40" s="328"/>
      <c r="AP40" s="328">
        <f>Roles!$D$8</f>
        <v>0.09</v>
      </c>
      <c r="AQ40" s="328"/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 t="shared" si="1"/>
        <v>5</v>
      </c>
      <c r="F41" s="80">
        <v>5.0</v>
      </c>
      <c r="G41" s="105">
        <f t="shared" si="2"/>
        <v>0.004306632214</v>
      </c>
      <c r="H41" s="47">
        <f t="shared" ref="H41:H46" si="33">H40+G41</f>
        <v>0.07838070629</v>
      </c>
      <c r="I41" s="187">
        <f t="shared" si="31"/>
        <v>18</v>
      </c>
      <c r="J41" s="172">
        <f t="shared" ref="J41:J46" si="34">J40+I41</f>
        <v>96</v>
      </c>
      <c r="K41" s="115">
        <f t="shared" si="3"/>
        <v>0.09927611169</v>
      </c>
      <c r="L41" s="232">
        <f t="shared" si="32"/>
        <v>7.92</v>
      </c>
      <c r="M41" s="172">
        <f t="shared" ref="M41:M46" si="35">M40+L41</f>
        <v>42.24</v>
      </c>
      <c r="N41" s="198">
        <f t="shared" si="6"/>
        <v>3.6</v>
      </c>
      <c r="O41" s="337">
        <v>18.0</v>
      </c>
      <c r="P41" s="328"/>
      <c r="Q41" s="328">
        <f>Roles!$D$5</f>
        <v>0.44</v>
      </c>
      <c r="R41" s="328">
        <f t="shared" si="7"/>
        <v>7.92</v>
      </c>
      <c r="S41" s="198">
        <f t="shared" si="8"/>
        <v>0</v>
      </c>
      <c r="T41" s="327"/>
      <c r="U41" s="328"/>
      <c r="V41" s="328">
        <f>Roles!$D$8</f>
        <v>0.09</v>
      </c>
      <c r="W41" s="328"/>
      <c r="X41" s="198">
        <f t="shared" si="9"/>
        <v>0</v>
      </c>
      <c r="Y41" s="327"/>
      <c r="Z41" s="328"/>
      <c r="AA41" s="328">
        <f>Roles!$D$8</f>
        <v>0.09</v>
      </c>
      <c r="AB41" s="328"/>
      <c r="AC41" s="198">
        <f t="shared" si="10"/>
        <v>0</v>
      </c>
      <c r="AD41" s="327"/>
      <c r="AE41" s="328"/>
      <c r="AF41" s="328">
        <f>Roles!$D$8</f>
        <v>0.09</v>
      </c>
      <c r="AG41" s="328"/>
      <c r="AH41" s="198">
        <f t="shared" si="11"/>
        <v>0</v>
      </c>
      <c r="AI41" s="327"/>
      <c r="AJ41" s="328"/>
      <c r="AK41" s="328">
        <f>Roles!$D$8</f>
        <v>0.09</v>
      </c>
      <c r="AL41" s="328"/>
      <c r="AM41" s="198">
        <f t="shared" si="12"/>
        <v>0</v>
      </c>
      <c r="AN41" s="327"/>
      <c r="AO41" s="328"/>
      <c r="AP41" s="328">
        <f>Roles!$D$8</f>
        <v>0.09</v>
      </c>
      <c r="AQ41" s="328"/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 t="shared" si="1"/>
        <v>5</v>
      </c>
      <c r="F42" s="80">
        <v>5.0</v>
      </c>
      <c r="G42" s="105">
        <f t="shared" si="2"/>
        <v>0.004306632214</v>
      </c>
      <c r="H42" s="47">
        <f t="shared" si="33"/>
        <v>0.0826873385</v>
      </c>
      <c r="I42" s="187">
        <f t="shared" si="31"/>
        <v>13</v>
      </c>
      <c r="J42" s="172">
        <f t="shared" si="34"/>
        <v>109</v>
      </c>
      <c r="K42" s="115">
        <f t="shared" si="3"/>
        <v>0.1127197518</v>
      </c>
      <c r="L42" s="232">
        <f t="shared" si="32"/>
        <v>5.72</v>
      </c>
      <c r="M42" s="172">
        <f t="shared" si="35"/>
        <v>47.96</v>
      </c>
      <c r="N42" s="198">
        <f t="shared" si="6"/>
        <v>2.6</v>
      </c>
      <c r="O42" s="337">
        <v>13.0</v>
      </c>
      <c r="P42" s="328"/>
      <c r="Q42" s="328">
        <f>Roles!$D$5</f>
        <v>0.44</v>
      </c>
      <c r="R42" s="328">
        <f t="shared" si="7"/>
        <v>5.72</v>
      </c>
      <c r="S42" s="198">
        <f t="shared" si="8"/>
        <v>0</v>
      </c>
      <c r="T42" s="327"/>
      <c r="U42" s="328"/>
      <c r="V42" s="328">
        <f>Roles!$D$8</f>
        <v>0.09</v>
      </c>
      <c r="W42" s="328"/>
      <c r="X42" s="198">
        <f t="shared" si="9"/>
        <v>0</v>
      </c>
      <c r="Y42" s="327"/>
      <c r="Z42" s="328"/>
      <c r="AA42" s="328">
        <f>Roles!$D$8</f>
        <v>0.09</v>
      </c>
      <c r="AB42" s="328"/>
      <c r="AC42" s="198">
        <f t="shared" si="10"/>
        <v>0</v>
      </c>
      <c r="AD42" s="327"/>
      <c r="AE42" s="328"/>
      <c r="AF42" s="328">
        <f>Roles!$D$8</f>
        <v>0.09</v>
      </c>
      <c r="AG42" s="328"/>
      <c r="AH42" s="198">
        <f t="shared" si="11"/>
        <v>0</v>
      </c>
      <c r="AI42" s="327"/>
      <c r="AJ42" s="328"/>
      <c r="AK42" s="328">
        <f>Roles!$D$8</f>
        <v>0.09</v>
      </c>
      <c r="AL42" s="328"/>
      <c r="AM42" s="198">
        <f t="shared" si="12"/>
        <v>0</v>
      </c>
      <c r="AN42" s="327"/>
      <c r="AO42" s="328"/>
      <c r="AP42" s="328">
        <f>Roles!$D$8</f>
        <v>0.09</v>
      </c>
      <c r="AQ42" s="328"/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 t="shared" si="1"/>
        <v>2</v>
      </c>
      <c r="F43" s="80">
        <v>5.0</v>
      </c>
      <c r="G43" s="105">
        <f t="shared" si="2"/>
        <v>0.004306632214</v>
      </c>
      <c r="H43" s="47">
        <f t="shared" si="33"/>
        <v>0.08699397071</v>
      </c>
      <c r="I43" s="187">
        <f t="shared" si="31"/>
        <v>0</v>
      </c>
      <c r="J43" s="172">
        <f t="shared" si="34"/>
        <v>109</v>
      </c>
      <c r="K43" s="115">
        <f t="shared" si="3"/>
        <v>0.1127197518</v>
      </c>
      <c r="L43" s="232">
        <f t="shared" si="32"/>
        <v>0</v>
      </c>
      <c r="M43" s="172">
        <f t="shared" si="35"/>
        <v>47.96</v>
      </c>
      <c r="N43" s="198">
        <f t="shared" si="6"/>
        <v>0</v>
      </c>
      <c r="O43" s="337">
        <v>0.0</v>
      </c>
      <c r="P43" s="328"/>
      <c r="Q43" s="328">
        <f>Roles!$D$5</f>
        <v>0.44</v>
      </c>
      <c r="R43" s="328">
        <f t="shared" si="7"/>
        <v>0</v>
      </c>
      <c r="S43" s="198">
        <f t="shared" si="8"/>
        <v>0</v>
      </c>
      <c r="T43" s="327"/>
      <c r="U43" s="328"/>
      <c r="V43" s="328">
        <f>Roles!$D$8</f>
        <v>0.09</v>
      </c>
      <c r="W43" s="328"/>
      <c r="X43" s="198">
        <f t="shared" si="9"/>
        <v>0</v>
      </c>
      <c r="Y43" s="327"/>
      <c r="Z43" s="328"/>
      <c r="AA43" s="328">
        <f>Roles!$D$8</f>
        <v>0.09</v>
      </c>
      <c r="AB43" s="328"/>
      <c r="AC43" s="198">
        <f t="shared" si="10"/>
        <v>0</v>
      </c>
      <c r="AD43" s="327"/>
      <c r="AE43" s="328"/>
      <c r="AF43" s="328">
        <f>Roles!$D$8</f>
        <v>0.09</v>
      </c>
      <c r="AG43" s="328"/>
      <c r="AH43" s="198">
        <f t="shared" si="11"/>
        <v>0</v>
      </c>
      <c r="AI43" s="327"/>
      <c r="AJ43" s="328"/>
      <c r="AK43" s="328">
        <f>Roles!$D$8</f>
        <v>0.09</v>
      </c>
      <c r="AL43" s="328"/>
      <c r="AM43" s="198">
        <f t="shared" si="12"/>
        <v>0</v>
      </c>
      <c r="AN43" s="327"/>
      <c r="AO43" s="328"/>
      <c r="AP43" s="328">
        <f>Roles!$D$8</f>
        <v>0.09</v>
      </c>
      <c r="AQ43" s="328"/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 t="shared" si="1"/>
        <v>2</v>
      </c>
      <c r="F44" s="80">
        <v>4.0</v>
      </c>
      <c r="G44" s="105">
        <f t="shared" si="2"/>
        <v>0.003445305771</v>
      </c>
      <c r="H44" s="47">
        <f t="shared" si="33"/>
        <v>0.09043927649</v>
      </c>
      <c r="I44" s="187">
        <f t="shared" si="31"/>
        <v>0</v>
      </c>
      <c r="J44" s="172">
        <f t="shared" si="34"/>
        <v>109</v>
      </c>
      <c r="K44" s="115">
        <f t="shared" si="3"/>
        <v>0.1127197518</v>
      </c>
      <c r="L44" s="232">
        <f t="shared" si="32"/>
        <v>0</v>
      </c>
      <c r="M44" s="172">
        <f t="shared" si="35"/>
        <v>47.96</v>
      </c>
      <c r="N44" s="198">
        <f t="shared" si="6"/>
        <v>0</v>
      </c>
      <c r="O44" s="337">
        <v>0.0</v>
      </c>
      <c r="P44" s="328"/>
      <c r="Q44" s="328">
        <f>Roles!$D$5</f>
        <v>0.44</v>
      </c>
      <c r="R44" s="328">
        <f t="shared" si="7"/>
        <v>0</v>
      </c>
      <c r="S44" s="198">
        <f t="shared" si="8"/>
        <v>0</v>
      </c>
      <c r="T44" s="327"/>
      <c r="U44" s="328"/>
      <c r="V44" s="328">
        <f>Roles!$D$8</f>
        <v>0.09</v>
      </c>
      <c r="W44" s="328"/>
      <c r="X44" s="198">
        <f t="shared" si="9"/>
        <v>0</v>
      </c>
      <c r="Y44" s="327"/>
      <c r="Z44" s="328"/>
      <c r="AA44" s="328">
        <f>Roles!$D$8</f>
        <v>0.09</v>
      </c>
      <c r="AB44" s="328"/>
      <c r="AC44" s="198">
        <f t="shared" si="10"/>
        <v>0</v>
      </c>
      <c r="AD44" s="327"/>
      <c r="AE44" s="328"/>
      <c r="AF44" s="328">
        <f>Roles!$D$8</f>
        <v>0.09</v>
      </c>
      <c r="AG44" s="328"/>
      <c r="AH44" s="198">
        <f t="shared" si="11"/>
        <v>0</v>
      </c>
      <c r="AI44" s="327"/>
      <c r="AJ44" s="328"/>
      <c r="AK44" s="328">
        <f>Roles!$D$8</f>
        <v>0.09</v>
      </c>
      <c r="AL44" s="328"/>
      <c r="AM44" s="198">
        <f t="shared" si="12"/>
        <v>0</v>
      </c>
      <c r="AN44" s="327"/>
      <c r="AO44" s="328"/>
      <c r="AP44" s="328">
        <f>Roles!$D$8</f>
        <v>0.09</v>
      </c>
      <c r="AQ44" s="328"/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 t="shared" si="1"/>
        <v>1</v>
      </c>
      <c r="F45" s="80">
        <v>3.0</v>
      </c>
      <c r="G45" s="105">
        <f t="shared" si="2"/>
        <v>0.002583979328</v>
      </c>
      <c r="H45" s="47">
        <f t="shared" si="33"/>
        <v>0.09302325581</v>
      </c>
      <c r="I45" s="187">
        <f t="shared" si="31"/>
        <v>6</v>
      </c>
      <c r="J45" s="172">
        <f t="shared" si="34"/>
        <v>115</v>
      </c>
      <c r="K45" s="115">
        <f t="shared" si="3"/>
        <v>0.1189245088</v>
      </c>
      <c r="L45" s="232">
        <f t="shared" si="32"/>
        <v>2.64</v>
      </c>
      <c r="M45" s="172">
        <f t="shared" si="35"/>
        <v>50.6</v>
      </c>
      <c r="N45" s="198">
        <f t="shared" si="6"/>
        <v>2</v>
      </c>
      <c r="O45" s="337">
        <v>6.0</v>
      </c>
      <c r="P45" s="328"/>
      <c r="Q45" s="328">
        <f>Roles!$D$5</f>
        <v>0.44</v>
      </c>
      <c r="R45" s="328">
        <f t="shared" si="7"/>
        <v>2.64</v>
      </c>
      <c r="S45" s="198">
        <f t="shared" si="8"/>
        <v>0</v>
      </c>
      <c r="T45" s="327"/>
      <c r="U45" s="328"/>
      <c r="V45" s="328">
        <f>Roles!$D$8</f>
        <v>0.09</v>
      </c>
      <c r="W45" s="328"/>
      <c r="X45" s="198">
        <f t="shared" si="9"/>
        <v>0</v>
      </c>
      <c r="Y45" s="327"/>
      <c r="Z45" s="328"/>
      <c r="AA45" s="328">
        <f>Roles!$D$8</f>
        <v>0.09</v>
      </c>
      <c r="AB45" s="328"/>
      <c r="AC45" s="198">
        <f t="shared" si="10"/>
        <v>0</v>
      </c>
      <c r="AD45" s="327"/>
      <c r="AE45" s="328"/>
      <c r="AF45" s="328">
        <f>Roles!$D$8</f>
        <v>0.09</v>
      </c>
      <c r="AG45" s="328"/>
      <c r="AH45" s="198">
        <f t="shared" si="11"/>
        <v>0</v>
      </c>
      <c r="AI45" s="327"/>
      <c r="AJ45" s="328"/>
      <c r="AK45" s="328">
        <f>Roles!$D$8</f>
        <v>0.09</v>
      </c>
      <c r="AL45" s="328"/>
      <c r="AM45" s="198">
        <f t="shared" si="12"/>
        <v>0</v>
      </c>
      <c r="AN45" s="327"/>
      <c r="AO45" s="328"/>
      <c r="AP45" s="328">
        <f>Roles!$D$8</f>
        <v>0.09</v>
      </c>
      <c r="AQ45" s="328"/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 t="shared" si="1"/>
        <v>2</v>
      </c>
      <c r="F46" s="80">
        <v>4.0</v>
      </c>
      <c r="G46" s="105">
        <f t="shared" si="2"/>
        <v>0.003445305771</v>
      </c>
      <c r="H46" s="47">
        <f t="shared" si="33"/>
        <v>0.09646856158</v>
      </c>
      <c r="I46" s="187">
        <f t="shared" si="31"/>
        <v>0</v>
      </c>
      <c r="J46" s="172">
        <f t="shared" si="34"/>
        <v>115</v>
      </c>
      <c r="K46" s="115">
        <f t="shared" si="3"/>
        <v>0.1189245088</v>
      </c>
      <c r="L46" s="232">
        <f t="shared" si="32"/>
        <v>0</v>
      </c>
      <c r="M46" s="172">
        <f t="shared" si="35"/>
        <v>50.6</v>
      </c>
      <c r="N46" s="198">
        <f t="shared" si="6"/>
        <v>0</v>
      </c>
      <c r="O46" s="337">
        <v>0.0</v>
      </c>
      <c r="P46" s="328"/>
      <c r="Q46" s="328">
        <f>Roles!$D$5</f>
        <v>0.44</v>
      </c>
      <c r="R46" s="328">
        <f t="shared" si="7"/>
        <v>0</v>
      </c>
      <c r="S46" s="198">
        <f t="shared" si="8"/>
        <v>0</v>
      </c>
      <c r="T46" s="327"/>
      <c r="U46" s="328"/>
      <c r="V46" s="328">
        <f>Roles!$D$8</f>
        <v>0.09</v>
      </c>
      <c r="W46" s="328"/>
      <c r="X46" s="198">
        <f t="shared" si="9"/>
        <v>0</v>
      </c>
      <c r="Y46" s="327"/>
      <c r="Z46" s="328"/>
      <c r="AA46" s="328">
        <f>Roles!$D$8</f>
        <v>0.09</v>
      </c>
      <c r="AB46" s="328"/>
      <c r="AC46" s="198">
        <f t="shared" si="10"/>
        <v>0</v>
      </c>
      <c r="AD46" s="327"/>
      <c r="AE46" s="328"/>
      <c r="AF46" s="328">
        <f>Roles!$D$8</f>
        <v>0.09</v>
      </c>
      <c r="AG46" s="328"/>
      <c r="AH46" s="198">
        <f t="shared" si="11"/>
        <v>0</v>
      </c>
      <c r="AI46" s="327"/>
      <c r="AJ46" s="328"/>
      <c r="AK46" s="328">
        <f>Roles!$D$8</f>
        <v>0.09</v>
      </c>
      <c r="AL46" s="328"/>
      <c r="AM46" s="198">
        <f t="shared" si="12"/>
        <v>0</v>
      </c>
      <c r="AN46" s="327"/>
      <c r="AO46" s="328"/>
      <c r="AP46" s="328">
        <f>Roles!$D$8</f>
        <v>0.09</v>
      </c>
      <c r="AQ46" s="328"/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 t="shared" si="1"/>
        <v>6</v>
      </c>
      <c r="F47" s="246">
        <f>SUM(F48:F51)</f>
        <v>15</v>
      </c>
      <c r="G47" s="105">
        <f t="shared" si="2"/>
        <v>0.01291989664</v>
      </c>
      <c r="H47" s="226">
        <f>H51</f>
        <v>0.1093884582</v>
      </c>
      <c r="I47" s="247">
        <f>SUM(I48:I51)</f>
        <v>0</v>
      </c>
      <c r="J47" s="247">
        <f>J51</f>
        <v>115</v>
      </c>
      <c r="K47" s="167">
        <f t="shared" si="3"/>
        <v>0.1189245088</v>
      </c>
      <c r="L47" s="247">
        <f>SUM(L48:L51)</f>
        <v>0</v>
      </c>
      <c r="M47" s="247">
        <f>M51</f>
        <v>50.6</v>
      </c>
      <c r="N47" s="198">
        <f t="shared" si="6"/>
        <v>0</v>
      </c>
      <c r="O47" s="328"/>
      <c r="P47" s="328"/>
      <c r="Q47" s="328">
        <f>Roles!$D$5</f>
        <v>0.44</v>
      </c>
      <c r="R47" s="328">
        <f t="shared" si="7"/>
        <v>0</v>
      </c>
      <c r="S47" s="198">
        <f t="shared" si="8"/>
        <v>0</v>
      </c>
      <c r="T47" s="327"/>
      <c r="U47" s="328"/>
      <c r="V47" s="328">
        <f>Roles!$D$8</f>
        <v>0.09</v>
      </c>
      <c r="W47" s="328"/>
      <c r="X47" s="198">
        <f t="shared" si="9"/>
        <v>0</v>
      </c>
      <c r="Y47" s="327"/>
      <c r="Z47" s="328"/>
      <c r="AA47" s="328">
        <f>Roles!$D$8</f>
        <v>0.09</v>
      </c>
      <c r="AB47" s="328"/>
      <c r="AC47" s="198">
        <f t="shared" si="10"/>
        <v>0</v>
      </c>
      <c r="AD47" s="327"/>
      <c r="AE47" s="328"/>
      <c r="AF47" s="328">
        <f>Roles!$D$8</f>
        <v>0.09</v>
      </c>
      <c r="AG47" s="328"/>
      <c r="AH47" s="198">
        <f t="shared" si="11"/>
        <v>0</v>
      </c>
      <c r="AI47" s="327"/>
      <c r="AJ47" s="328"/>
      <c r="AK47" s="328">
        <f>Roles!$D$8</f>
        <v>0.09</v>
      </c>
      <c r="AL47" s="328"/>
      <c r="AM47" s="198">
        <f t="shared" si="12"/>
        <v>0</v>
      </c>
      <c r="AN47" s="327"/>
      <c r="AO47" s="328"/>
      <c r="AP47" s="328">
        <f>Roles!$D$8</f>
        <v>0.09</v>
      </c>
      <c r="AQ47" s="328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 t="shared" si="1"/>
        <v>2</v>
      </c>
      <c r="F48" s="80">
        <v>4.0</v>
      </c>
      <c r="G48" s="105">
        <f t="shared" si="2"/>
        <v>0.003445305771</v>
      </c>
      <c r="H48" s="47">
        <f>H46+G48</f>
        <v>0.09991386736</v>
      </c>
      <c r="I48" s="187">
        <f t="shared" ref="I48:I51" si="36">O48+T48+Y48+AD48+AI48+AN48</f>
        <v>0</v>
      </c>
      <c r="J48" s="172">
        <f>J46+I48</f>
        <v>115</v>
      </c>
      <c r="K48" s="115">
        <f t="shared" si="3"/>
        <v>0.1189245088</v>
      </c>
      <c r="L48" s="232">
        <f t="shared" ref="L48:L51" si="37">R48+W48+AB48+AG48+AL48+AQ48</f>
        <v>0</v>
      </c>
      <c r="M48" s="172">
        <f>M46+L48</f>
        <v>50.6</v>
      </c>
      <c r="N48" s="198">
        <f t="shared" si="6"/>
        <v>0</v>
      </c>
      <c r="O48" s="337">
        <v>0.0</v>
      </c>
      <c r="P48" s="328"/>
      <c r="Q48" s="328">
        <f>Roles!$D$5</f>
        <v>0.44</v>
      </c>
      <c r="R48" s="328">
        <f t="shared" si="7"/>
        <v>0</v>
      </c>
      <c r="S48" s="198">
        <f t="shared" si="8"/>
        <v>0</v>
      </c>
      <c r="T48" s="327"/>
      <c r="U48" s="328"/>
      <c r="V48" s="328">
        <f>Roles!$D$8</f>
        <v>0.09</v>
      </c>
      <c r="W48" s="328"/>
      <c r="X48" s="198">
        <f t="shared" si="9"/>
        <v>0</v>
      </c>
      <c r="Y48" s="327"/>
      <c r="Z48" s="328"/>
      <c r="AA48" s="328">
        <f>Roles!$D$8</f>
        <v>0.09</v>
      </c>
      <c r="AB48" s="328"/>
      <c r="AC48" s="198">
        <f t="shared" si="10"/>
        <v>0</v>
      </c>
      <c r="AD48" s="327"/>
      <c r="AE48" s="328"/>
      <c r="AF48" s="328">
        <f>Roles!$D$8</f>
        <v>0.09</v>
      </c>
      <c r="AG48" s="328"/>
      <c r="AH48" s="198">
        <f t="shared" si="11"/>
        <v>0</v>
      </c>
      <c r="AI48" s="327"/>
      <c r="AJ48" s="328"/>
      <c r="AK48" s="328">
        <f>Roles!$D$8</f>
        <v>0.09</v>
      </c>
      <c r="AL48" s="328"/>
      <c r="AM48" s="198">
        <f t="shared" si="12"/>
        <v>0</v>
      </c>
      <c r="AN48" s="327"/>
      <c r="AO48" s="328"/>
      <c r="AP48" s="328">
        <f>Roles!$D$8</f>
        <v>0.09</v>
      </c>
      <c r="AQ48" s="328"/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 t="shared" si="1"/>
        <v>1</v>
      </c>
      <c r="F49" s="80">
        <v>3.0</v>
      </c>
      <c r="G49" s="105">
        <f t="shared" si="2"/>
        <v>0.002583979328</v>
      </c>
      <c r="H49" s="47">
        <f t="shared" ref="H49:H51" si="38">H48+G49</f>
        <v>0.1024978467</v>
      </c>
      <c r="I49" s="187">
        <f t="shared" si="36"/>
        <v>0</v>
      </c>
      <c r="J49" s="172">
        <f t="shared" ref="J49:J51" si="39">J48+I49</f>
        <v>115</v>
      </c>
      <c r="K49" s="115">
        <f t="shared" si="3"/>
        <v>0.1189245088</v>
      </c>
      <c r="L49" s="232">
        <f t="shared" si="37"/>
        <v>0</v>
      </c>
      <c r="M49" s="172">
        <f t="shared" ref="M49:M51" si="40">M48+L49</f>
        <v>50.6</v>
      </c>
      <c r="N49" s="198">
        <f t="shared" si="6"/>
        <v>0</v>
      </c>
      <c r="O49" s="337">
        <v>0.0</v>
      </c>
      <c r="P49" s="328"/>
      <c r="Q49" s="328">
        <f>Roles!$D$5</f>
        <v>0.44</v>
      </c>
      <c r="R49" s="328">
        <f t="shared" si="7"/>
        <v>0</v>
      </c>
      <c r="S49" s="198">
        <f t="shared" si="8"/>
        <v>0</v>
      </c>
      <c r="T49" s="327"/>
      <c r="U49" s="328"/>
      <c r="V49" s="328">
        <f>Roles!$D$8</f>
        <v>0.09</v>
      </c>
      <c r="W49" s="328"/>
      <c r="X49" s="198">
        <f t="shared" si="9"/>
        <v>0</v>
      </c>
      <c r="Y49" s="327"/>
      <c r="Z49" s="328"/>
      <c r="AA49" s="328">
        <f>Roles!$D$8</f>
        <v>0.09</v>
      </c>
      <c r="AB49" s="328"/>
      <c r="AC49" s="198">
        <f t="shared" si="10"/>
        <v>0</v>
      </c>
      <c r="AD49" s="327"/>
      <c r="AE49" s="328"/>
      <c r="AF49" s="328">
        <f>Roles!$D$8</f>
        <v>0.09</v>
      </c>
      <c r="AG49" s="328"/>
      <c r="AH49" s="198">
        <f t="shared" si="11"/>
        <v>0</v>
      </c>
      <c r="AI49" s="327"/>
      <c r="AJ49" s="328"/>
      <c r="AK49" s="328">
        <f>Roles!$D$8</f>
        <v>0.09</v>
      </c>
      <c r="AL49" s="328"/>
      <c r="AM49" s="198">
        <f t="shared" si="12"/>
        <v>0</v>
      </c>
      <c r="AN49" s="327"/>
      <c r="AO49" s="328"/>
      <c r="AP49" s="328">
        <f>Roles!$D$8</f>
        <v>0.09</v>
      </c>
      <c r="AQ49" s="328"/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 t="shared" si="1"/>
        <v>3</v>
      </c>
      <c r="F50" s="80">
        <v>5.0</v>
      </c>
      <c r="G50" s="105">
        <f t="shared" si="2"/>
        <v>0.004306632214</v>
      </c>
      <c r="H50" s="47">
        <f t="shared" si="38"/>
        <v>0.1068044789</v>
      </c>
      <c r="I50" s="187">
        <f t="shared" si="36"/>
        <v>0</v>
      </c>
      <c r="J50" s="172">
        <f t="shared" si="39"/>
        <v>115</v>
      </c>
      <c r="K50" s="115">
        <f t="shared" si="3"/>
        <v>0.1189245088</v>
      </c>
      <c r="L50" s="232">
        <f t="shared" si="37"/>
        <v>0</v>
      </c>
      <c r="M50" s="172">
        <f t="shared" si="40"/>
        <v>50.6</v>
      </c>
      <c r="N50" s="198">
        <f t="shared" si="6"/>
        <v>0</v>
      </c>
      <c r="O50" s="337">
        <v>0.0</v>
      </c>
      <c r="P50" s="328"/>
      <c r="Q50" s="328">
        <f>Roles!$D$5</f>
        <v>0.44</v>
      </c>
      <c r="R50" s="328">
        <f t="shared" si="7"/>
        <v>0</v>
      </c>
      <c r="S50" s="198">
        <f t="shared" si="8"/>
        <v>0</v>
      </c>
      <c r="T50" s="327"/>
      <c r="U50" s="328"/>
      <c r="V50" s="328">
        <f>Roles!$D$8</f>
        <v>0.09</v>
      </c>
      <c r="W50" s="328"/>
      <c r="X50" s="198">
        <f t="shared" si="9"/>
        <v>0</v>
      </c>
      <c r="Y50" s="327"/>
      <c r="Z50" s="328"/>
      <c r="AA50" s="328">
        <f>Roles!$D$8</f>
        <v>0.09</v>
      </c>
      <c r="AB50" s="328"/>
      <c r="AC50" s="198">
        <f t="shared" si="10"/>
        <v>0</v>
      </c>
      <c r="AD50" s="327"/>
      <c r="AE50" s="328"/>
      <c r="AF50" s="328">
        <f>Roles!$D$8</f>
        <v>0.09</v>
      </c>
      <c r="AG50" s="328"/>
      <c r="AH50" s="198">
        <f t="shared" si="11"/>
        <v>0</v>
      </c>
      <c r="AI50" s="327"/>
      <c r="AJ50" s="328"/>
      <c r="AK50" s="328">
        <f>Roles!$D$8</f>
        <v>0.09</v>
      </c>
      <c r="AL50" s="328"/>
      <c r="AM50" s="198">
        <f t="shared" si="12"/>
        <v>0</v>
      </c>
      <c r="AN50" s="327"/>
      <c r="AO50" s="328"/>
      <c r="AP50" s="328">
        <f>Roles!$D$8</f>
        <v>0.09</v>
      </c>
      <c r="AQ50" s="328"/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 t="shared" si="1"/>
        <v>2</v>
      </c>
      <c r="F51" s="80">
        <v>3.0</v>
      </c>
      <c r="G51" s="105">
        <f t="shared" si="2"/>
        <v>0.002583979328</v>
      </c>
      <c r="H51" s="47">
        <f t="shared" si="38"/>
        <v>0.1093884582</v>
      </c>
      <c r="I51" s="187">
        <f t="shared" si="36"/>
        <v>0</v>
      </c>
      <c r="J51" s="172">
        <f t="shared" si="39"/>
        <v>115</v>
      </c>
      <c r="K51" s="115">
        <f t="shared" si="3"/>
        <v>0.1189245088</v>
      </c>
      <c r="L51" s="232">
        <f t="shared" si="37"/>
        <v>0</v>
      </c>
      <c r="M51" s="172">
        <f t="shared" si="40"/>
        <v>50.6</v>
      </c>
      <c r="N51" s="198">
        <f t="shared" si="6"/>
        <v>0</v>
      </c>
      <c r="O51" s="337">
        <v>0.0</v>
      </c>
      <c r="P51" s="328"/>
      <c r="Q51" s="328">
        <f>Roles!$D$5</f>
        <v>0.44</v>
      </c>
      <c r="R51" s="328">
        <f t="shared" si="7"/>
        <v>0</v>
      </c>
      <c r="S51" s="198">
        <f t="shared" si="8"/>
        <v>0</v>
      </c>
      <c r="T51" s="327"/>
      <c r="U51" s="328"/>
      <c r="V51" s="328">
        <f>Roles!$D$8</f>
        <v>0.09</v>
      </c>
      <c r="W51" s="328"/>
      <c r="X51" s="198">
        <f t="shared" si="9"/>
        <v>0</v>
      </c>
      <c r="Y51" s="327"/>
      <c r="Z51" s="328"/>
      <c r="AA51" s="328">
        <f>Roles!$D$8</f>
        <v>0.09</v>
      </c>
      <c r="AB51" s="328"/>
      <c r="AC51" s="198">
        <f t="shared" si="10"/>
        <v>0</v>
      </c>
      <c r="AD51" s="327"/>
      <c r="AE51" s="328"/>
      <c r="AF51" s="328">
        <f>Roles!$D$8</f>
        <v>0.09</v>
      </c>
      <c r="AG51" s="328"/>
      <c r="AH51" s="198">
        <f t="shared" si="11"/>
        <v>0</v>
      </c>
      <c r="AI51" s="327"/>
      <c r="AJ51" s="328"/>
      <c r="AK51" s="328">
        <f>Roles!$D$8</f>
        <v>0.09</v>
      </c>
      <c r="AL51" s="328"/>
      <c r="AM51" s="198">
        <f t="shared" si="12"/>
        <v>0</v>
      </c>
      <c r="AN51" s="327"/>
      <c r="AO51" s="328"/>
      <c r="AP51" s="328">
        <f>Roles!$D$8</f>
        <v>0.09</v>
      </c>
      <c r="AQ51" s="328"/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 t="shared" si="1"/>
        <v>4</v>
      </c>
      <c r="F52" s="246">
        <f>SUM(F53:F57)</f>
        <v>19</v>
      </c>
      <c r="G52" s="105">
        <f t="shared" si="2"/>
        <v>0.01636520241</v>
      </c>
      <c r="H52" s="226">
        <f>H57</f>
        <v>0.1257536606</v>
      </c>
      <c r="I52" s="247">
        <f>SUM(I53:I57)</f>
        <v>16</v>
      </c>
      <c r="J52" s="247">
        <f>J57</f>
        <v>131</v>
      </c>
      <c r="K52" s="167">
        <f t="shared" si="3"/>
        <v>0.1354705274</v>
      </c>
      <c r="L52" s="247">
        <f>SUM(L53:L57)</f>
        <v>7.04</v>
      </c>
      <c r="M52" s="247">
        <f>M57</f>
        <v>57.64</v>
      </c>
      <c r="N52" s="198">
        <f t="shared" si="6"/>
        <v>0</v>
      </c>
      <c r="O52" s="328"/>
      <c r="P52" s="328"/>
      <c r="Q52" s="328">
        <f>Roles!$D$5</f>
        <v>0.44</v>
      </c>
      <c r="R52" s="328">
        <f t="shared" si="7"/>
        <v>0</v>
      </c>
      <c r="S52" s="198">
        <f t="shared" si="8"/>
        <v>0</v>
      </c>
      <c r="T52" s="327"/>
      <c r="U52" s="328"/>
      <c r="V52" s="328">
        <f>Roles!$D$8</f>
        <v>0.09</v>
      </c>
      <c r="W52" s="328"/>
      <c r="X52" s="198">
        <f t="shared" si="9"/>
        <v>0</v>
      </c>
      <c r="Y52" s="327"/>
      <c r="Z52" s="328"/>
      <c r="AA52" s="328">
        <f>Roles!$D$8</f>
        <v>0.09</v>
      </c>
      <c r="AB52" s="328"/>
      <c r="AC52" s="198">
        <f t="shared" si="10"/>
        <v>0</v>
      </c>
      <c r="AD52" s="327"/>
      <c r="AE52" s="328"/>
      <c r="AF52" s="328">
        <f>Roles!$D$8</f>
        <v>0.09</v>
      </c>
      <c r="AG52" s="328"/>
      <c r="AH52" s="198">
        <f t="shared" si="11"/>
        <v>0</v>
      </c>
      <c r="AI52" s="327"/>
      <c r="AJ52" s="328"/>
      <c r="AK52" s="328">
        <f>Roles!$D$8</f>
        <v>0.09</v>
      </c>
      <c r="AL52" s="328"/>
      <c r="AM52" s="198">
        <f t="shared" si="12"/>
        <v>0</v>
      </c>
      <c r="AN52" s="327"/>
      <c r="AO52" s="328"/>
      <c r="AP52" s="328">
        <f>Roles!$D$8</f>
        <v>0.09</v>
      </c>
      <c r="AQ52" s="328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 t="shared" si="1"/>
        <v>1</v>
      </c>
      <c r="F53" s="80">
        <v>3.0</v>
      </c>
      <c r="G53" s="105">
        <f t="shared" si="2"/>
        <v>0.002583979328</v>
      </c>
      <c r="H53" s="47">
        <f>H51+G53</f>
        <v>0.1119724376</v>
      </c>
      <c r="I53" s="187">
        <f t="shared" ref="I53:I57" si="41">O53+T53+Y53+AD53+AI53+AN53</f>
        <v>0</v>
      </c>
      <c r="J53" s="172">
        <f>J51+I53</f>
        <v>115</v>
      </c>
      <c r="K53" s="115">
        <f t="shared" si="3"/>
        <v>0.1189245088</v>
      </c>
      <c r="L53" s="232">
        <f t="shared" ref="L53:L57" si="42">R53+W53+AB53+AG53+AL53+AQ53</f>
        <v>0</v>
      </c>
      <c r="M53" s="172">
        <f>M51+L53</f>
        <v>50.6</v>
      </c>
      <c r="N53" s="198">
        <f t="shared" si="6"/>
        <v>0</v>
      </c>
      <c r="O53" s="337">
        <v>0.0</v>
      </c>
      <c r="P53" s="328"/>
      <c r="Q53" s="328">
        <f>Roles!$D$5</f>
        <v>0.44</v>
      </c>
      <c r="R53" s="328">
        <f t="shared" si="7"/>
        <v>0</v>
      </c>
      <c r="S53" s="198">
        <f t="shared" si="8"/>
        <v>0</v>
      </c>
      <c r="T53" s="327"/>
      <c r="U53" s="328"/>
      <c r="V53" s="328">
        <f>Roles!$D$8</f>
        <v>0.09</v>
      </c>
      <c r="W53" s="328"/>
      <c r="X53" s="198">
        <f t="shared" si="9"/>
        <v>0</v>
      </c>
      <c r="Y53" s="327"/>
      <c r="Z53" s="328"/>
      <c r="AA53" s="328">
        <f>Roles!$D$8</f>
        <v>0.09</v>
      </c>
      <c r="AB53" s="328"/>
      <c r="AC53" s="198">
        <f t="shared" si="10"/>
        <v>0</v>
      </c>
      <c r="AD53" s="327"/>
      <c r="AE53" s="328"/>
      <c r="AF53" s="328">
        <f>Roles!$D$8</f>
        <v>0.09</v>
      </c>
      <c r="AG53" s="328"/>
      <c r="AH53" s="198">
        <f t="shared" si="11"/>
        <v>0</v>
      </c>
      <c r="AI53" s="327"/>
      <c r="AJ53" s="328"/>
      <c r="AK53" s="328">
        <f>Roles!$D$8</f>
        <v>0.09</v>
      </c>
      <c r="AL53" s="328"/>
      <c r="AM53" s="198">
        <f t="shared" si="12"/>
        <v>0</v>
      </c>
      <c r="AN53" s="327"/>
      <c r="AO53" s="328"/>
      <c r="AP53" s="328">
        <f>Roles!$D$8</f>
        <v>0.09</v>
      </c>
      <c r="AQ53" s="328"/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 t="shared" si="1"/>
        <v>3</v>
      </c>
      <c r="F54" s="80">
        <v>6.0</v>
      </c>
      <c r="G54" s="105">
        <f t="shared" si="2"/>
        <v>0.005167958656</v>
      </c>
      <c r="H54" s="47">
        <f t="shared" ref="H54:H57" si="43">H53+G54</f>
        <v>0.1171403962</v>
      </c>
      <c r="I54" s="187">
        <f t="shared" si="41"/>
        <v>4</v>
      </c>
      <c r="J54" s="172">
        <f t="shared" ref="J54:J57" si="44">J53+I54</f>
        <v>119</v>
      </c>
      <c r="K54" s="115">
        <f t="shared" si="3"/>
        <v>0.1230610134</v>
      </c>
      <c r="L54" s="232">
        <f t="shared" si="42"/>
        <v>1.76</v>
      </c>
      <c r="M54" s="172">
        <f t="shared" ref="M54:M57" si="45">M53+L54</f>
        <v>52.36</v>
      </c>
      <c r="N54" s="198">
        <f t="shared" si="6"/>
        <v>0.6666666667</v>
      </c>
      <c r="O54" s="337">
        <v>4.0</v>
      </c>
      <c r="P54" s="328"/>
      <c r="Q54" s="328">
        <f>Roles!$D$5</f>
        <v>0.44</v>
      </c>
      <c r="R54" s="328">
        <f t="shared" si="7"/>
        <v>1.76</v>
      </c>
      <c r="S54" s="198">
        <f t="shared" si="8"/>
        <v>0</v>
      </c>
      <c r="T54" s="327"/>
      <c r="U54" s="328"/>
      <c r="V54" s="328">
        <f>Roles!$D$8</f>
        <v>0.09</v>
      </c>
      <c r="W54" s="328"/>
      <c r="X54" s="198">
        <f t="shared" si="9"/>
        <v>0</v>
      </c>
      <c r="Y54" s="327"/>
      <c r="Z54" s="328"/>
      <c r="AA54" s="328">
        <f>Roles!$D$8</f>
        <v>0.09</v>
      </c>
      <c r="AB54" s="328"/>
      <c r="AC54" s="198">
        <f t="shared" si="10"/>
        <v>0</v>
      </c>
      <c r="AD54" s="327"/>
      <c r="AE54" s="328"/>
      <c r="AF54" s="328">
        <f>Roles!$D$8</f>
        <v>0.09</v>
      </c>
      <c r="AG54" s="328"/>
      <c r="AH54" s="198">
        <f t="shared" si="11"/>
        <v>0</v>
      </c>
      <c r="AI54" s="327"/>
      <c r="AJ54" s="328"/>
      <c r="AK54" s="328">
        <f>Roles!$D$8</f>
        <v>0.09</v>
      </c>
      <c r="AL54" s="328"/>
      <c r="AM54" s="198">
        <f t="shared" si="12"/>
        <v>0</v>
      </c>
      <c r="AN54" s="327"/>
      <c r="AO54" s="328"/>
      <c r="AP54" s="328">
        <f>Roles!$D$8</f>
        <v>0.09</v>
      </c>
      <c r="AQ54" s="328"/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 t="shared" si="1"/>
        <v>3</v>
      </c>
      <c r="F55" s="80">
        <v>6.0</v>
      </c>
      <c r="G55" s="105">
        <f t="shared" si="2"/>
        <v>0.005167958656</v>
      </c>
      <c r="H55" s="47">
        <f t="shared" si="43"/>
        <v>0.1223083549</v>
      </c>
      <c r="I55" s="187">
        <f t="shared" si="41"/>
        <v>4</v>
      </c>
      <c r="J55" s="172">
        <f t="shared" si="44"/>
        <v>123</v>
      </c>
      <c r="K55" s="115">
        <f t="shared" si="3"/>
        <v>0.1271975181</v>
      </c>
      <c r="L55" s="232">
        <f t="shared" si="42"/>
        <v>1.76</v>
      </c>
      <c r="M55" s="172">
        <f t="shared" si="45"/>
        <v>54.12</v>
      </c>
      <c r="N55" s="198">
        <f t="shared" si="6"/>
        <v>0.6666666667</v>
      </c>
      <c r="O55" s="337">
        <v>4.0</v>
      </c>
      <c r="P55" s="328"/>
      <c r="Q55" s="328">
        <f>Roles!$D$5</f>
        <v>0.44</v>
      </c>
      <c r="R55" s="328">
        <f t="shared" si="7"/>
        <v>1.76</v>
      </c>
      <c r="S55" s="198">
        <f t="shared" si="8"/>
        <v>0</v>
      </c>
      <c r="T55" s="327"/>
      <c r="U55" s="328"/>
      <c r="V55" s="328">
        <f>Roles!$D$8</f>
        <v>0.09</v>
      </c>
      <c r="W55" s="328"/>
      <c r="X55" s="198">
        <f t="shared" si="9"/>
        <v>0</v>
      </c>
      <c r="Y55" s="327"/>
      <c r="Z55" s="328"/>
      <c r="AA55" s="328">
        <f>Roles!$D$8</f>
        <v>0.09</v>
      </c>
      <c r="AB55" s="328"/>
      <c r="AC55" s="198">
        <f t="shared" si="10"/>
        <v>0</v>
      </c>
      <c r="AD55" s="327"/>
      <c r="AE55" s="328"/>
      <c r="AF55" s="328">
        <f>Roles!$D$8</f>
        <v>0.09</v>
      </c>
      <c r="AG55" s="328"/>
      <c r="AH55" s="198">
        <f t="shared" si="11"/>
        <v>0</v>
      </c>
      <c r="AI55" s="327"/>
      <c r="AJ55" s="328"/>
      <c r="AK55" s="328">
        <f>Roles!$D$8</f>
        <v>0.09</v>
      </c>
      <c r="AL55" s="328"/>
      <c r="AM55" s="198">
        <f t="shared" si="12"/>
        <v>0</v>
      </c>
      <c r="AN55" s="327"/>
      <c r="AO55" s="328"/>
      <c r="AP55" s="328">
        <f>Roles!$D$8</f>
        <v>0.09</v>
      </c>
      <c r="AQ55" s="328"/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 t="shared" si="1"/>
        <v>2</v>
      </c>
      <c r="F56" s="80">
        <v>3.0</v>
      </c>
      <c r="G56" s="105">
        <f t="shared" si="2"/>
        <v>0.002583979328</v>
      </c>
      <c r="H56" s="47">
        <f t="shared" si="43"/>
        <v>0.1248923342</v>
      </c>
      <c r="I56" s="187">
        <f t="shared" si="41"/>
        <v>6</v>
      </c>
      <c r="J56" s="172">
        <f t="shared" si="44"/>
        <v>129</v>
      </c>
      <c r="K56" s="115">
        <f t="shared" si="3"/>
        <v>0.1334022751</v>
      </c>
      <c r="L56" s="232">
        <f t="shared" si="42"/>
        <v>2.64</v>
      </c>
      <c r="M56" s="172">
        <f t="shared" si="45"/>
        <v>56.76</v>
      </c>
      <c r="N56" s="198">
        <f t="shared" si="6"/>
        <v>2</v>
      </c>
      <c r="O56" s="337">
        <v>6.0</v>
      </c>
      <c r="P56" s="328"/>
      <c r="Q56" s="328">
        <f>Roles!$D$5</f>
        <v>0.44</v>
      </c>
      <c r="R56" s="328">
        <f t="shared" si="7"/>
        <v>2.64</v>
      </c>
      <c r="S56" s="198">
        <f t="shared" si="8"/>
        <v>0</v>
      </c>
      <c r="T56" s="327"/>
      <c r="U56" s="328"/>
      <c r="V56" s="328">
        <f>Roles!$D$8</f>
        <v>0.09</v>
      </c>
      <c r="W56" s="328"/>
      <c r="X56" s="198">
        <f t="shared" si="9"/>
        <v>0</v>
      </c>
      <c r="Y56" s="327"/>
      <c r="Z56" s="328"/>
      <c r="AA56" s="328">
        <f>Roles!$D$8</f>
        <v>0.09</v>
      </c>
      <c r="AB56" s="328"/>
      <c r="AC56" s="198">
        <f t="shared" si="10"/>
        <v>0</v>
      </c>
      <c r="AD56" s="327"/>
      <c r="AE56" s="328"/>
      <c r="AF56" s="328">
        <f>Roles!$D$8</f>
        <v>0.09</v>
      </c>
      <c r="AG56" s="328"/>
      <c r="AH56" s="198">
        <f t="shared" si="11"/>
        <v>0</v>
      </c>
      <c r="AI56" s="327"/>
      <c r="AJ56" s="328"/>
      <c r="AK56" s="328">
        <f>Roles!$D$8</f>
        <v>0.09</v>
      </c>
      <c r="AL56" s="328"/>
      <c r="AM56" s="198">
        <f t="shared" si="12"/>
        <v>0</v>
      </c>
      <c r="AN56" s="327"/>
      <c r="AO56" s="328"/>
      <c r="AP56" s="328">
        <f>Roles!$D$8</f>
        <v>0.09</v>
      </c>
      <c r="AQ56" s="328"/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 t="shared" si="1"/>
        <v>1</v>
      </c>
      <c r="F57" s="80">
        <v>1.0</v>
      </c>
      <c r="G57" s="105">
        <f t="shared" si="2"/>
        <v>0.0008613264427</v>
      </c>
      <c r="H57" s="47">
        <f t="shared" si="43"/>
        <v>0.1257536606</v>
      </c>
      <c r="I57" s="187">
        <f t="shared" si="41"/>
        <v>2</v>
      </c>
      <c r="J57" s="172">
        <f t="shared" si="44"/>
        <v>131</v>
      </c>
      <c r="K57" s="115">
        <f t="shared" si="3"/>
        <v>0.1354705274</v>
      </c>
      <c r="L57" s="232">
        <f t="shared" si="42"/>
        <v>0.88</v>
      </c>
      <c r="M57" s="172">
        <f t="shared" si="45"/>
        <v>57.64</v>
      </c>
      <c r="N57" s="198">
        <f t="shared" si="6"/>
        <v>2</v>
      </c>
      <c r="O57" s="337">
        <v>2.0</v>
      </c>
      <c r="P57" s="328"/>
      <c r="Q57" s="328">
        <f>Roles!$D$5</f>
        <v>0.44</v>
      </c>
      <c r="R57" s="328">
        <f t="shared" si="7"/>
        <v>0.88</v>
      </c>
      <c r="S57" s="198">
        <f t="shared" si="8"/>
        <v>0</v>
      </c>
      <c r="T57" s="327"/>
      <c r="U57" s="328"/>
      <c r="V57" s="328">
        <f>Roles!$D$8</f>
        <v>0.09</v>
      </c>
      <c r="W57" s="328"/>
      <c r="X57" s="198">
        <f t="shared" si="9"/>
        <v>0</v>
      </c>
      <c r="Y57" s="327"/>
      <c r="Z57" s="328"/>
      <c r="AA57" s="328">
        <f>Roles!$D$8</f>
        <v>0.09</v>
      </c>
      <c r="AB57" s="328"/>
      <c r="AC57" s="198">
        <f t="shared" si="10"/>
        <v>0</v>
      </c>
      <c r="AD57" s="327"/>
      <c r="AE57" s="328"/>
      <c r="AF57" s="328">
        <f>Roles!$D$8</f>
        <v>0.09</v>
      </c>
      <c r="AG57" s="328"/>
      <c r="AH57" s="198">
        <f t="shared" si="11"/>
        <v>0</v>
      </c>
      <c r="AI57" s="327"/>
      <c r="AJ57" s="328"/>
      <c r="AK57" s="328">
        <f>Roles!$D$8</f>
        <v>0.09</v>
      </c>
      <c r="AL57" s="328"/>
      <c r="AM57" s="198">
        <f t="shared" si="12"/>
        <v>0</v>
      </c>
      <c r="AN57" s="327"/>
      <c r="AO57" s="328"/>
      <c r="AP57" s="328">
        <f>Roles!$D$8</f>
        <v>0.09</v>
      </c>
      <c r="AQ57" s="328"/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 t="shared" si="1"/>
        <v>3</v>
      </c>
      <c r="F58" s="246">
        <f>SUM(F59:F61)</f>
        <v>22</v>
      </c>
      <c r="G58" s="105">
        <f t="shared" si="2"/>
        <v>0.01894918174</v>
      </c>
      <c r="H58" s="226">
        <f>H61</f>
        <v>0.1447028424</v>
      </c>
      <c r="I58" s="247">
        <f>SUM(I59:I61)</f>
        <v>236</v>
      </c>
      <c r="J58" s="247">
        <f>J61</f>
        <v>367</v>
      </c>
      <c r="K58" s="167">
        <f t="shared" si="3"/>
        <v>0.379524302</v>
      </c>
      <c r="L58" s="247">
        <f>SUM(L59:L61)</f>
        <v>103.84</v>
      </c>
      <c r="M58" s="247">
        <f>M61</f>
        <v>161.48</v>
      </c>
      <c r="N58" s="198">
        <f t="shared" si="6"/>
        <v>0</v>
      </c>
      <c r="O58" s="328"/>
      <c r="P58" s="328"/>
      <c r="Q58" s="328">
        <f>Roles!$D$5</f>
        <v>0.44</v>
      </c>
      <c r="R58" s="328">
        <f t="shared" si="7"/>
        <v>0</v>
      </c>
      <c r="S58" s="198">
        <f t="shared" si="8"/>
        <v>0</v>
      </c>
      <c r="T58" s="327"/>
      <c r="U58" s="328"/>
      <c r="V58" s="328">
        <f>Roles!$D$8</f>
        <v>0.09</v>
      </c>
      <c r="W58" s="328"/>
      <c r="X58" s="198">
        <f t="shared" si="9"/>
        <v>0</v>
      </c>
      <c r="Y58" s="327"/>
      <c r="Z58" s="328"/>
      <c r="AA58" s="328">
        <f>Roles!$D$8</f>
        <v>0.09</v>
      </c>
      <c r="AB58" s="328"/>
      <c r="AC58" s="198">
        <f t="shared" si="10"/>
        <v>0</v>
      </c>
      <c r="AD58" s="327"/>
      <c r="AE58" s="328"/>
      <c r="AF58" s="328">
        <f>Roles!$D$8</f>
        <v>0.09</v>
      </c>
      <c r="AG58" s="328"/>
      <c r="AH58" s="198">
        <f t="shared" si="11"/>
        <v>0</v>
      </c>
      <c r="AI58" s="327"/>
      <c r="AJ58" s="328"/>
      <c r="AK58" s="328">
        <f>Roles!$D$8</f>
        <v>0.09</v>
      </c>
      <c r="AL58" s="328"/>
      <c r="AM58" s="198">
        <f t="shared" si="12"/>
        <v>0</v>
      </c>
      <c r="AN58" s="327"/>
      <c r="AO58" s="328"/>
      <c r="AP58" s="328">
        <f>Roles!$D$8</f>
        <v>0.09</v>
      </c>
      <c r="AQ58" s="328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 t="shared" si="1"/>
        <v>3</v>
      </c>
      <c r="F59" s="80">
        <v>10.0</v>
      </c>
      <c r="G59" s="105">
        <f t="shared" si="2"/>
        <v>0.008613264427</v>
      </c>
      <c r="H59" s="47">
        <f>H57+G59</f>
        <v>0.1343669251</v>
      </c>
      <c r="I59" s="187">
        <f t="shared" ref="I59:I61" si="46">O59+T59+Y59+AD59+AI59+AN59</f>
        <v>184</v>
      </c>
      <c r="J59" s="172">
        <f>J57+I59</f>
        <v>315</v>
      </c>
      <c r="K59" s="115">
        <f t="shared" si="3"/>
        <v>0.3257497415</v>
      </c>
      <c r="L59" s="232">
        <f t="shared" ref="L59:L61" si="47">R59+W59+AB59+AG59+AL59+AQ59</f>
        <v>80.96</v>
      </c>
      <c r="M59" s="172">
        <f>M57+L59</f>
        <v>138.6</v>
      </c>
      <c r="N59" s="198">
        <f t="shared" si="6"/>
        <v>18.4</v>
      </c>
      <c r="O59" s="337">
        <v>184.0</v>
      </c>
      <c r="P59" s="328"/>
      <c r="Q59" s="328">
        <f>Roles!$D$5</f>
        <v>0.44</v>
      </c>
      <c r="R59" s="328">
        <f t="shared" si="7"/>
        <v>80.96</v>
      </c>
      <c r="S59" s="198">
        <f t="shared" si="8"/>
        <v>0</v>
      </c>
      <c r="T59" s="327"/>
      <c r="U59" s="328"/>
      <c r="V59" s="328">
        <f>Roles!$D$8</f>
        <v>0.09</v>
      </c>
      <c r="W59" s="328"/>
      <c r="X59" s="198">
        <f t="shared" si="9"/>
        <v>0</v>
      </c>
      <c r="Y59" s="327"/>
      <c r="Z59" s="328"/>
      <c r="AA59" s="328">
        <f>Roles!$D$8</f>
        <v>0.09</v>
      </c>
      <c r="AB59" s="328"/>
      <c r="AC59" s="198">
        <f t="shared" si="10"/>
        <v>0</v>
      </c>
      <c r="AD59" s="327"/>
      <c r="AE59" s="328"/>
      <c r="AF59" s="328">
        <f>Roles!$D$8</f>
        <v>0.09</v>
      </c>
      <c r="AG59" s="328"/>
      <c r="AH59" s="198">
        <f t="shared" si="11"/>
        <v>0</v>
      </c>
      <c r="AI59" s="327"/>
      <c r="AJ59" s="328"/>
      <c r="AK59" s="328">
        <f>Roles!$D$8</f>
        <v>0.09</v>
      </c>
      <c r="AL59" s="328"/>
      <c r="AM59" s="198">
        <f t="shared" si="12"/>
        <v>0</v>
      </c>
      <c r="AN59" s="327"/>
      <c r="AO59" s="328"/>
      <c r="AP59" s="328">
        <f>Roles!$D$8</f>
        <v>0.09</v>
      </c>
      <c r="AQ59" s="328"/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 t="shared" si="1"/>
        <v>2</v>
      </c>
      <c r="F60" s="80">
        <v>10.0</v>
      </c>
      <c r="G60" s="105">
        <f t="shared" si="2"/>
        <v>0.008613264427</v>
      </c>
      <c r="H60" s="47">
        <f t="shared" ref="H60:H61" si="48">H59+G60</f>
        <v>0.1429801895</v>
      </c>
      <c r="I60" s="187">
        <f t="shared" si="46"/>
        <v>50</v>
      </c>
      <c r="J60" s="172">
        <f t="shared" ref="J60:J61" si="49">J59+I60</f>
        <v>365</v>
      </c>
      <c r="K60" s="115">
        <f t="shared" si="3"/>
        <v>0.3774560496</v>
      </c>
      <c r="L60" s="232">
        <f t="shared" si="47"/>
        <v>22</v>
      </c>
      <c r="M60" s="172">
        <f t="shared" ref="M60:M61" si="50">M59+L60</f>
        <v>160.6</v>
      </c>
      <c r="N60" s="198">
        <f t="shared" si="6"/>
        <v>5</v>
      </c>
      <c r="O60" s="337">
        <v>50.0</v>
      </c>
      <c r="P60" s="328"/>
      <c r="Q60" s="328">
        <f>Roles!$D$5</f>
        <v>0.44</v>
      </c>
      <c r="R60" s="328">
        <f t="shared" si="7"/>
        <v>22</v>
      </c>
      <c r="S60" s="198">
        <f t="shared" si="8"/>
        <v>0</v>
      </c>
      <c r="T60" s="327"/>
      <c r="U60" s="328"/>
      <c r="V60" s="328">
        <f>Roles!$D$8</f>
        <v>0.09</v>
      </c>
      <c r="W60" s="328"/>
      <c r="X60" s="198">
        <f t="shared" si="9"/>
        <v>0</v>
      </c>
      <c r="Y60" s="327"/>
      <c r="Z60" s="328"/>
      <c r="AA60" s="328">
        <f>Roles!$D$8</f>
        <v>0.09</v>
      </c>
      <c r="AB60" s="328"/>
      <c r="AC60" s="198">
        <f t="shared" si="10"/>
        <v>0</v>
      </c>
      <c r="AD60" s="327"/>
      <c r="AE60" s="328"/>
      <c r="AF60" s="328">
        <f>Roles!$D$8</f>
        <v>0.09</v>
      </c>
      <c r="AG60" s="328"/>
      <c r="AH60" s="198">
        <f t="shared" si="11"/>
        <v>0</v>
      </c>
      <c r="AI60" s="327"/>
      <c r="AJ60" s="328"/>
      <c r="AK60" s="328">
        <f>Roles!$D$8</f>
        <v>0.09</v>
      </c>
      <c r="AL60" s="328"/>
      <c r="AM60" s="198">
        <f t="shared" si="12"/>
        <v>0</v>
      </c>
      <c r="AN60" s="327"/>
      <c r="AO60" s="328"/>
      <c r="AP60" s="328">
        <f>Roles!$D$8</f>
        <v>0.09</v>
      </c>
      <c r="AQ60" s="328"/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 t="shared" si="1"/>
        <v>1</v>
      </c>
      <c r="F61" s="80">
        <v>2.0</v>
      </c>
      <c r="G61" s="105">
        <f t="shared" si="2"/>
        <v>0.001722652885</v>
      </c>
      <c r="H61" s="47">
        <f t="shared" si="48"/>
        <v>0.1447028424</v>
      </c>
      <c r="I61" s="187">
        <f t="shared" si="46"/>
        <v>2</v>
      </c>
      <c r="J61" s="172">
        <f t="shared" si="49"/>
        <v>367</v>
      </c>
      <c r="K61" s="115">
        <f t="shared" si="3"/>
        <v>0.379524302</v>
      </c>
      <c r="L61" s="232">
        <f t="shared" si="47"/>
        <v>0.88</v>
      </c>
      <c r="M61" s="172">
        <f t="shared" si="50"/>
        <v>161.48</v>
      </c>
      <c r="N61" s="198">
        <f t="shared" si="6"/>
        <v>1</v>
      </c>
      <c r="O61" s="337">
        <v>2.0</v>
      </c>
      <c r="P61" s="328"/>
      <c r="Q61" s="328">
        <f>Roles!$D$5</f>
        <v>0.44</v>
      </c>
      <c r="R61" s="328">
        <f t="shared" si="7"/>
        <v>0.88</v>
      </c>
      <c r="S61" s="198">
        <f t="shared" si="8"/>
        <v>0</v>
      </c>
      <c r="T61" s="327"/>
      <c r="U61" s="328"/>
      <c r="V61" s="328">
        <f>Roles!$D$8</f>
        <v>0.09</v>
      </c>
      <c r="W61" s="328"/>
      <c r="X61" s="198">
        <f t="shared" si="9"/>
        <v>0</v>
      </c>
      <c r="Y61" s="327"/>
      <c r="Z61" s="328"/>
      <c r="AA61" s="328">
        <f>Roles!$D$8</f>
        <v>0.09</v>
      </c>
      <c r="AB61" s="328"/>
      <c r="AC61" s="198">
        <f t="shared" si="10"/>
        <v>0</v>
      </c>
      <c r="AD61" s="327"/>
      <c r="AE61" s="328"/>
      <c r="AF61" s="328">
        <f>Roles!$D$8</f>
        <v>0.09</v>
      </c>
      <c r="AG61" s="328"/>
      <c r="AH61" s="198">
        <f t="shared" si="11"/>
        <v>0</v>
      </c>
      <c r="AI61" s="327"/>
      <c r="AJ61" s="328"/>
      <c r="AK61" s="328">
        <f>Roles!$D$8</f>
        <v>0.09</v>
      </c>
      <c r="AL61" s="328"/>
      <c r="AM61" s="198">
        <f t="shared" si="12"/>
        <v>0</v>
      </c>
      <c r="AN61" s="327"/>
      <c r="AO61" s="328"/>
      <c r="AP61" s="328">
        <f>Roles!$D$8</f>
        <v>0.09</v>
      </c>
      <c r="AQ61" s="328"/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 t="shared" si="1"/>
        <v>3</v>
      </c>
      <c r="F62" s="246">
        <f>SUM(F63:F65)</f>
        <v>25</v>
      </c>
      <c r="G62" s="105">
        <f t="shared" si="2"/>
        <v>0.02153316107</v>
      </c>
      <c r="H62" s="226">
        <f>H65</f>
        <v>0.1662360034</v>
      </c>
      <c r="I62" s="247">
        <f>SUM(I63:I65)</f>
        <v>50</v>
      </c>
      <c r="J62" s="247">
        <f>J65</f>
        <v>417</v>
      </c>
      <c r="K62" s="167">
        <f t="shared" si="3"/>
        <v>0.4312306101</v>
      </c>
      <c r="L62" s="247">
        <f>SUM(L63:L65)</f>
        <v>22</v>
      </c>
      <c r="M62" s="247">
        <f>M65</f>
        <v>183.48</v>
      </c>
      <c r="N62" s="198">
        <f t="shared" si="6"/>
        <v>0</v>
      </c>
      <c r="O62" s="328"/>
      <c r="P62" s="328"/>
      <c r="Q62" s="328">
        <f>Roles!$D$5</f>
        <v>0.44</v>
      </c>
      <c r="R62" s="328">
        <f t="shared" si="7"/>
        <v>0</v>
      </c>
      <c r="S62" s="198">
        <f t="shared" si="8"/>
        <v>0</v>
      </c>
      <c r="T62" s="327"/>
      <c r="U62" s="328"/>
      <c r="V62" s="328">
        <f>Roles!$D$8</f>
        <v>0.09</v>
      </c>
      <c r="W62" s="328"/>
      <c r="X62" s="198">
        <f t="shared" si="9"/>
        <v>0</v>
      </c>
      <c r="Y62" s="327"/>
      <c r="Z62" s="328"/>
      <c r="AA62" s="328">
        <f>Roles!$D$8</f>
        <v>0.09</v>
      </c>
      <c r="AB62" s="328"/>
      <c r="AC62" s="198">
        <f t="shared" si="10"/>
        <v>0</v>
      </c>
      <c r="AD62" s="327"/>
      <c r="AE62" s="328"/>
      <c r="AF62" s="328">
        <f>Roles!$D$8</f>
        <v>0.09</v>
      </c>
      <c r="AG62" s="328"/>
      <c r="AH62" s="198">
        <f t="shared" si="11"/>
        <v>0</v>
      </c>
      <c r="AI62" s="327"/>
      <c r="AJ62" s="328"/>
      <c r="AK62" s="328">
        <f>Roles!$D$8</f>
        <v>0.09</v>
      </c>
      <c r="AL62" s="328"/>
      <c r="AM62" s="198">
        <f t="shared" si="12"/>
        <v>0</v>
      </c>
      <c r="AN62" s="327"/>
      <c r="AO62" s="328"/>
      <c r="AP62" s="328">
        <f>Roles!$D$8</f>
        <v>0.09</v>
      </c>
      <c r="AQ62" s="328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 t="shared" si="1"/>
        <v>2</v>
      </c>
      <c r="F63" s="80">
        <v>10.0</v>
      </c>
      <c r="G63" s="105">
        <f t="shared" si="2"/>
        <v>0.008613264427</v>
      </c>
      <c r="H63" s="47">
        <f>H61+G63</f>
        <v>0.1533161068</v>
      </c>
      <c r="I63" s="187">
        <f t="shared" ref="I63:I65" si="51">O63+T63+Y63+AD63+AI63+AN63</f>
        <v>25</v>
      </c>
      <c r="J63" s="172">
        <f>J61+I63</f>
        <v>392</v>
      </c>
      <c r="K63" s="115">
        <f t="shared" si="3"/>
        <v>0.405377456</v>
      </c>
      <c r="L63" s="232">
        <f t="shared" ref="L63:L65" si="52">R63+W63+AB63+AG63+AL63+AQ63</f>
        <v>11</v>
      </c>
      <c r="M63" s="172">
        <f>M61+L63</f>
        <v>172.48</v>
      </c>
      <c r="N63" s="198">
        <f t="shared" si="6"/>
        <v>2.5</v>
      </c>
      <c r="O63" s="337">
        <v>25.0</v>
      </c>
      <c r="P63" s="328"/>
      <c r="Q63" s="328">
        <f>Roles!$D$5</f>
        <v>0.44</v>
      </c>
      <c r="R63" s="328">
        <f t="shared" si="7"/>
        <v>11</v>
      </c>
      <c r="S63" s="198">
        <f t="shared" si="8"/>
        <v>0</v>
      </c>
      <c r="T63" s="327"/>
      <c r="U63" s="328"/>
      <c r="V63" s="328">
        <f>Roles!$D$8</f>
        <v>0.09</v>
      </c>
      <c r="W63" s="328"/>
      <c r="X63" s="198">
        <f t="shared" si="9"/>
        <v>0</v>
      </c>
      <c r="Y63" s="327"/>
      <c r="Z63" s="328"/>
      <c r="AA63" s="328">
        <f>Roles!$D$8</f>
        <v>0.09</v>
      </c>
      <c r="AB63" s="328"/>
      <c r="AC63" s="198">
        <f t="shared" si="10"/>
        <v>0</v>
      </c>
      <c r="AD63" s="327"/>
      <c r="AE63" s="328"/>
      <c r="AF63" s="328">
        <f>Roles!$D$8</f>
        <v>0.09</v>
      </c>
      <c r="AG63" s="328"/>
      <c r="AH63" s="198">
        <f t="shared" si="11"/>
        <v>0</v>
      </c>
      <c r="AI63" s="327"/>
      <c r="AJ63" s="328"/>
      <c r="AK63" s="328">
        <f>Roles!$D$8</f>
        <v>0.09</v>
      </c>
      <c r="AL63" s="328"/>
      <c r="AM63" s="198">
        <f t="shared" si="12"/>
        <v>0</v>
      </c>
      <c r="AN63" s="327"/>
      <c r="AO63" s="328"/>
      <c r="AP63" s="328">
        <f>Roles!$D$8</f>
        <v>0.09</v>
      </c>
      <c r="AQ63" s="328"/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 t="shared" si="1"/>
        <v>2</v>
      </c>
      <c r="F64" s="80">
        <v>10.0</v>
      </c>
      <c r="G64" s="105">
        <f t="shared" si="2"/>
        <v>0.008613264427</v>
      </c>
      <c r="H64" s="47">
        <f t="shared" ref="H64:H65" si="53">H63+G64</f>
        <v>0.1619293712</v>
      </c>
      <c r="I64" s="187">
        <f t="shared" si="51"/>
        <v>25</v>
      </c>
      <c r="J64" s="172">
        <f t="shared" ref="J64:J65" si="54">J63+I64</f>
        <v>417</v>
      </c>
      <c r="K64" s="115">
        <f t="shared" si="3"/>
        <v>0.4312306101</v>
      </c>
      <c r="L64" s="232">
        <f t="shared" si="52"/>
        <v>11</v>
      </c>
      <c r="M64" s="172">
        <f t="shared" ref="M64:M65" si="55">M63+L64</f>
        <v>183.48</v>
      </c>
      <c r="N64" s="198">
        <f t="shared" si="6"/>
        <v>2.5</v>
      </c>
      <c r="O64" s="337">
        <v>25.0</v>
      </c>
      <c r="P64" s="328"/>
      <c r="Q64" s="328">
        <f>Roles!$D$5</f>
        <v>0.44</v>
      </c>
      <c r="R64" s="328">
        <f t="shared" si="7"/>
        <v>11</v>
      </c>
      <c r="S64" s="198">
        <f t="shared" si="8"/>
        <v>0</v>
      </c>
      <c r="T64" s="327"/>
      <c r="U64" s="328"/>
      <c r="V64" s="328">
        <f>Roles!$D$8</f>
        <v>0.09</v>
      </c>
      <c r="W64" s="328"/>
      <c r="X64" s="198">
        <f t="shared" si="9"/>
        <v>0</v>
      </c>
      <c r="Y64" s="327"/>
      <c r="Z64" s="328"/>
      <c r="AA64" s="328">
        <f>Roles!$D$8</f>
        <v>0.09</v>
      </c>
      <c r="AB64" s="328"/>
      <c r="AC64" s="198">
        <f t="shared" si="10"/>
        <v>0</v>
      </c>
      <c r="AD64" s="327"/>
      <c r="AE64" s="328"/>
      <c r="AF64" s="328">
        <f>Roles!$D$8</f>
        <v>0.09</v>
      </c>
      <c r="AG64" s="328"/>
      <c r="AH64" s="198">
        <f t="shared" si="11"/>
        <v>0</v>
      </c>
      <c r="AI64" s="327"/>
      <c r="AJ64" s="328"/>
      <c r="AK64" s="328">
        <f>Roles!$D$8</f>
        <v>0.09</v>
      </c>
      <c r="AL64" s="328"/>
      <c r="AM64" s="198">
        <f t="shared" si="12"/>
        <v>0</v>
      </c>
      <c r="AN64" s="327"/>
      <c r="AO64" s="328"/>
      <c r="AP64" s="328">
        <f>Roles!$D$8</f>
        <v>0.09</v>
      </c>
      <c r="AQ64" s="328"/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 t="shared" si="1"/>
        <v>1</v>
      </c>
      <c r="F65" s="80">
        <v>5.0</v>
      </c>
      <c r="G65" s="105">
        <f t="shared" si="2"/>
        <v>0.004306632214</v>
      </c>
      <c r="H65" s="47">
        <f t="shared" si="53"/>
        <v>0.1662360034</v>
      </c>
      <c r="I65" s="187">
        <f t="shared" si="51"/>
        <v>0</v>
      </c>
      <c r="J65" s="172">
        <f t="shared" si="54"/>
        <v>417</v>
      </c>
      <c r="K65" s="115">
        <f t="shared" si="3"/>
        <v>0.4312306101</v>
      </c>
      <c r="L65" s="232">
        <f t="shared" si="52"/>
        <v>0</v>
      </c>
      <c r="M65" s="172">
        <f t="shared" si="55"/>
        <v>183.48</v>
      </c>
      <c r="N65" s="198">
        <f t="shared" si="6"/>
        <v>0</v>
      </c>
      <c r="O65" s="337">
        <v>0.0</v>
      </c>
      <c r="P65" s="328"/>
      <c r="Q65" s="328">
        <f>Roles!$D$5</f>
        <v>0.44</v>
      </c>
      <c r="R65" s="328">
        <f t="shared" si="7"/>
        <v>0</v>
      </c>
      <c r="S65" s="198">
        <f t="shared" si="8"/>
        <v>0</v>
      </c>
      <c r="T65" s="327"/>
      <c r="U65" s="328"/>
      <c r="V65" s="328">
        <f>Roles!$D$8</f>
        <v>0.09</v>
      </c>
      <c r="W65" s="328"/>
      <c r="X65" s="198">
        <f t="shared" si="9"/>
        <v>0</v>
      </c>
      <c r="Y65" s="327"/>
      <c r="Z65" s="328"/>
      <c r="AA65" s="328">
        <f>Roles!$D$8</f>
        <v>0.09</v>
      </c>
      <c r="AB65" s="328"/>
      <c r="AC65" s="198">
        <f t="shared" si="10"/>
        <v>0</v>
      </c>
      <c r="AD65" s="327"/>
      <c r="AE65" s="328"/>
      <c r="AF65" s="328">
        <f>Roles!$D$8</f>
        <v>0.09</v>
      </c>
      <c r="AG65" s="328"/>
      <c r="AH65" s="198">
        <f t="shared" si="11"/>
        <v>0</v>
      </c>
      <c r="AI65" s="327"/>
      <c r="AJ65" s="328"/>
      <c r="AK65" s="328">
        <f>Roles!$D$8</f>
        <v>0.09</v>
      </c>
      <c r="AL65" s="328"/>
      <c r="AM65" s="198">
        <f t="shared" si="12"/>
        <v>0</v>
      </c>
      <c r="AN65" s="327"/>
      <c r="AO65" s="328"/>
      <c r="AP65" s="328">
        <f>Roles!$D$8</f>
        <v>0.09</v>
      </c>
      <c r="AQ65" s="328"/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 t="shared" si="1"/>
        <v>4</v>
      </c>
      <c r="F66" s="246">
        <f>SUM(F67:F69)</f>
        <v>36</v>
      </c>
      <c r="G66" s="105">
        <f t="shared" si="2"/>
        <v>0.03100775194</v>
      </c>
      <c r="H66" s="226">
        <f>H69</f>
        <v>0.1972437554</v>
      </c>
      <c r="I66" s="247">
        <f>SUM(I67:I69)</f>
        <v>90</v>
      </c>
      <c r="J66" s="247">
        <f>J69</f>
        <v>507</v>
      </c>
      <c r="K66" s="167">
        <f t="shared" si="3"/>
        <v>0.5243019648</v>
      </c>
      <c r="L66" s="247">
        <f>SUM(L67:L69)</f>
        <v>39.6</v>
      </c>
      <c r="M66" s="247">
        <f>M69</f>
        <v>223.08</v>
      </c>
      <c r="N66" s="198">
        <f t="shared" si="6"/>
        <v>0</v>
      </c>
      <c r="O66" s="328"/>
      <c r="P66" s="328"/>
      <c r="Q66" s="328">
        <f>Roles!$D$5</f>
        <v>0.44</v>
      </c>
      <c r="R66" s="328">
        <f t="shared" si="7"/>
        <v>0</v>
      </c>
      <c r="S66" s="198">
        <f t="shared" si="8"/>
        <v>0</v>
      </c>
      <c r="T66" s="327"/>
      <c r="U66" s="328"/>
      <c r="V66" s="328">
        <f>Roles!$D$8</f>
        <v>0.09</v>
      </c>
      <c r="W66" s="328"/>
      <c r="X66" s="198">
        <f t="shared" si="9"/>
        <v>0</v>
      </c>
      <c r="Y66" s="327"/>
      <c r="Z66" s="328"/>
      <c r="AA66" s="328">
        <f>Roles!$D$8</f>
        <v>0.09</v>
      </c>
      <c r="AB66" s="328"/>
      <c r="AC66" s="198">
        <f t="shared" si="10"/>
        <v>0</v>
      </c>
      <c r="AD66" s="327"/>
      <c r="AE66" s="328"/>
      <c r="AF66" s="328">
        <f>Roles!$D$8</f>
        <v>0.09</v>
      </c>
      <c r="AG66" s="328"/>
      <c r="AH66" s="198">
        <f t="shared" si="11"/>
        <v>0</v>
      </c>
      <c r="AI66" s="327"/>
      <c r="AJ66" s="328"/>
      <c r="AK66" s="328">
        <f>Roles!$D$8</f>
        <v>0.09</v>
      </c>
      <c r="AL66" s="328"/>
      <c r="AM66" s="198">
        <f t="shared" si="12"/>
        <v>0</v>
      </c>
      <c r="AN66" s="327"/>
      <c r="AO66" s="328"/>
      <c r="AP66" s="328">
        <f>Roles!$D$8</f>
        <v>0.09</v>
      </c>
      <c r="AQ66" s="328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 t="shared" si="1"/>
        <v>2</v>
      </c>
      <c r="F67" s="80">
        <v>15.0</v>
      </c>
      <c r="G67" s="105">
        <f t="shared" si="2"/>
        <v>0.01291989664</v>
      </c>
      <c r="H67" s="47">
        <f>H65+G67</f>
        <v>0.1791559001</v>
      </c>
      <c r="I67" s="187">
        <f t="shared" ref="I67:I69" si="56">O67+T67+Y67+AD67+AI67+AN67</f>
        <v>0</v>
      </c>
      <c r="J67" s="172">
        <f>J65+I67</f>
        <v>417</v>
      </c>
      <c r="K67" s="115">
        <f t="shared" si="3"/>
        <v>0.4312306101</v>
      </c>
      <c r="L67" s="232">
        <f t="shared" ref="L67:L69" si="57">R67+W67+AB67+AG67+AL67+AQ67</f>
        <v>0</v>
      </c>
      <c r="M67" s="172">
        <f>M65+L67</f>
        <v>183.48</v>
      </c>
      <c r="N67" s="198">
        <f t="shared" si="6"/>
        <v>0</v>
      </c>
      <c r="O67" s="337">
        <v>0.0</v>
      </c>
      <c r="P67" s="328"/>
      <c r="Q67" s="328">
        <f>Roles!$D$5</f>
        <v>0.44</v>
      </c>
      <c r="R67" s="328">
        <f t="shared" si="7"/>
        <v>0</v>
      </c>
      <c r="S67" s="198">
        <f t="shared" si="8"/>
        <v>0</v>
      </c>
      <c r="T67" s="327"/>
      <c r="U67" s="328"/>
      <c r="V67" s="328">
        <f>Roles!$D$8</f>
        <v>0.09</v>
      </c>
      <c r="W67" s="328"/>
      <c r="X67" s="198">
        <f t="shared" si="9"/>
        <v>0</v>
      </c>
      <c r="Y67" s="327"/>
      <c r="Z67" s="328"/>
      <c r="AA67" s="328">
        <f>Roles!$D$8</f>
        <v>0.09</v>
      </c>
      <c r="AB67" s="328"/>
      <c r="AC67" s="198">
        <f t="shared" si="10"/>
        <v>0</v>
      </c>
      <c r="AD67" s="327"/>
      <c r="AE67" s="328"/>
      <c r="AF67" s="328">
        <f>Roles!$D$8</f>
        <v>0.09</v>
      </c>
      <c r="AG67" s="328"/>
      <c r="AH67" s="198">
        <f t="shared" si="11"/>
        <v>0</v>
      </c>
      <c r="AI67" s="327"/>
      <c r="AJ67" s="328"/>
      <c r="AK67" s="328">
        <f>Roles!$D$8</f>
        <v>0.09</v>
      </c>
      <c r="AL67" s="328"/>
      <c r="AM67" s="198">
        <f t="shared" si="12"/>
        <v>0</v>
      </c>
      <c r="AN67" s="327"/>
      <c r="AO67" s="328"/>
      <c r="AP67" s="328">
        <f>Roles!$D$8</f>
        <v>0.09</v>
      </c>
      <c r="AQ67" s="328"/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 t="shared" si="1"/>
        <v>2</v>
      </c>
      <c r="F68" s="80">
        <v>10.0</v>
      </c>
      <c r="G68" s="105">
        <f t="shared" si="2"/>
        <v>0.008613264427</v>
      </c>
      <c r="H68" s="47">
        <f t="shared" ref="H68:H69" si="58">H67+G68</f>
        <v>0.1877691645</v>
      </c>
      <c r="I68" s="187">
        <f t="shared" si="56"/>
        <v>90</v>
      </c>
      <c r="J68" s="172">
        <f t="shared" ref="J68:J69" si="59">J67+I68</f>
        <v>507</v>
      </c>
      <c r="K68" s="115">
        <f t="shared" si="3"/>
        <v>0.5243019648</v>
      </c>
      <c r="L68" s="232">
        <f t="shared" si="57"/>
        <v>39.6</v>
      </c>
      <c r="M68" s="172">
        <f t="shared" ref="M68:M69" si="60">M67+L68</f>
        <v>223.08</v>
      </c>
      <c r="N68" s="198">
        <f t="shared" si="6"/>
        <v>9</v>
      </c>
      <c r="O68" s="337">
        <v>90.0</v>
      </c>
      <c r="P68" s="328"/>
      <c r="Q68" s="328">
        <f>Roles!$D$5</f>
        <v>0.44</v>
      </c>
      <c r="R68" s="328">
        <f t="shared" si="7"/>
        <v>39.6</v>
      </c>
      <c r="S68" s="198">
        <f t="shared" si="8"/>
        <v>0</v>
      </c>
      <c r="T68" s="327"/>
      <c r="U68" s="328"/>
      <c r="V68" s="328">
        <f>Roles!$D$8</f>
        <v>0.09</v>
      </c>
      <c r="W68" s="328"/>
      <c r="X68" s="198">
        <f t="shared" si="9"/>
        <v>0</v>
      </c>
      <c r="Y68" s="327"/>
      <c r="Z68" s="328"/>
      <c r="AA68" s="328">
        <f>Roles!$D$8</f>
        <v>0.09</v>
      </c>
      <c r="AB68" s="328"/>
      <c r="AC68" s="198">
        <f t="shared" si="10"/>
        <v>0</v>
      </c>
      <c r="AD68" s="327"/>
      <c r="AE68" s="328"/>
      <c r="AF68" s="328">
        <f>Roles!$D$8</f>
        <v>0.09</v>
      </c>
      <c r="AG68" s="328"/>
      <c r="AH68" s="198">
        <f t="shared" si="11"/>
        <v>0</v>
      </c>
      <c r="AI68" s="327"/>
      <c r="AJ68" s="328"/>
      <c r="AK68" s="328">
        <f>Roles!$D$8</f>
        <v>0.09</v>
      </c>
      <c r="AL68" s="328"/>
      <c r="AM68" s="198">
        <f t="shared" si="12"/>
        <v>0</v>
      </c>
      <c r="AN68" s="327"/>
      <c r="AO68" s="328"/>
      <c r="AP68" s="328">
        <f>Roles!$D$8</f>
        <v>0.09</v>
      </c>
      <c r="AQ68" s="328"/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 t="shared" si="1"/>
        <v>2</v>
      </c>
      <c r="F69" s="80">
        <v>11.0</v>
      </c>
      <c r="G69" s="105">
        <f t="shared" si="2"/>
        <v>0.00947459087</v>
      </c>
      <c r="H69" s="47">
        <f t="shared" si="58"/>
        <v>0.1972437554</v>
      </c>
      <c r="I69" s="187">
        <f t="shared" si="56"/>
        <v>0</v>
      </c>
      <c r="J69" s="172">
        <f t="shared" si="59"/>
        <v>507</v>
      </c>
      <c r="K69" s="115">
        <f t="shared" si="3"/>
        <v>0.5243019648</v>
      </c>
      <c r="L69" s="232">
        <f t="shared" si="57"/>
        <v>0</v>
      </c>
      <c r="M69" s="172">
        <f t="shared" si="60"/>
        <v>223.08</v>
      </c>
      <c r="N69" s="198">
        <f t="shared" si="6"/>
        <v>0</v>
      </c>
      <c r="O69" s="337">
        <v>0.0</v>
      </c>
      <c r="P69" s="328"/>
      <c r="Q69" s="328">
        <f>Roles!$D$5</f>
        <v>0.44</v>
      </c>
      <c r="R69" s="328">
        <f t="shared" si="7"/>
        <v>0</v>
      </c>
      <c r="S69" s="198">
        <f t="shared" si="8"/>
        <v>0</v>
      </c>
      <c r="T69" s="327"/>
      <c r="U69" s="328"/>
      <c r="V69" s="328">
        <f>Roles!$D$8</f>
        <v>0.09</v>
      </c>
      <c r="W69" s="328"/>
      <c r="X69" s="198">
        <f t="shared" si="9"/>
        <v>0</v>
      </c>
      <c r="Y69" s="327"/>
      <c r="Z69" s="328"/>
      <c r="AA69" s="328">
        <f>Roles!$D$8</f>
        <v>0.09</v>
      </c>
      <c r="AB69" s="328"/>
      <c r="AC69" s="198">
        <f t="shared" si="10"/>
        <v>0</v>
      </c>
      <c r="AD69" s="327"/>
      <c r="AE69" s="328"/>
      <c r="AF69" s="328">
        <f>Roles!$D$8</f>
        <v>0.09</v>
      </c>
      <c r="AG69" s="328"/>
      <c r="AH69" s="198">
        <f t="shared" si="11"/>
        <v>0</v>
      </c>
      <c r="AI69" s="327"/>
      <c r="AJ69" s="328"/>
      <c r="AK69" s="328">
        <f>Roles!$D$8</f>
        <v>0.09</v>
      </c>
      <c r="AL69" s="328"/>
      <c r="AM69" s="198">
        <f t="shared" si="12"/>
        <v>0</v>
      </c>
      <c r="AN69" s="327"/>
      <c r="AO69" s="328"/>
      <c r="AP69" s="328">
        <f>Roles!$D$8</f>
        <v>0.09</v>
      </c>
      <c r="AQ69" s="328"/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 t="shared" si="1"/>
        <v>6</v>
      </c>
      <c r="F70" s="246">
        <f>SUM(F71:F73)</f>
        <v>40</v>
      </c>
      <c r="G70" s="105">
        <f t="shared" si="2"/>
        <v>0.03445305771</v>
      </c>
      <c r="H70" s="226">
        <f>H73</f>
        <v>0.2316968131</v>
      </c>
      <c r="I70" s="247">
        <f>SUM(I71:I73)</f>
        <v>0</v>
      </c>
      <c r="J70" s="247">
        <f>J73</f>
        <v>507</v>
      </c>
      <c r="K70" s="167">
        <f t="shared" si="3"/>
        <v>0.5243019648</v>
      </c>
      <c r="L70" s="247">
        <f>SUM(L71:L73)</f>
        <v>0</v>
      </c>
      <c r="M70" s="247">
        <f>M73</f>
        <v>223.08</v>
      </c>
      <c r="N70" s="198">
        <f t="shared" si="6"/>
        <v>0</v>
      </c>
      <c r="O70" s="355"/>
      <c r="P70" s="328"/>
      <c r="Q70" s="328">
        <f>Roles!$D$5</f>
        <v>0.44</v>
      </c>
      <c r="R70" s="328">
        <f t="shared" si="7"/>
        <v>0</v>
      </c>
      <c r="S70" s="198">
        <f t="shared" si="8"/>
        <v>0</v>
      </c>
      <c r="T70" s="327"/>
      <c r="U70" s="328"/>
      <c r="V70" s="328">
        <f>Roles!$D$8</f>
        <v>0.09</v>
      </c>
      <c r="W70" s="328"/>
      <c r="X70" s="198">
        <f t="shared" si="9"/>
        <v>0</v>
      </c>
      <c r="Y70" s="327"/>
      <c r="Z70" s="328"/>
      <c r="AA70" s="328">
        <f>Roles!$D$8</f>
        <v>0.09</v>
      </c>
      <c r="AB70" s="328"/>
      <c r="AC70" s="198">
        <f t="shared" si="10"/>
        <v>0</v>
      </c>
      <c r="AD70" s="327"/>
      <c r="AE70" s="328"/>
      <c r="AF70" s="328">
        <f>Roles!$D$8</f>
        <v>0.09</v>
      </c>
      <c r="AG70" s="328"/>
      <c r="AH70" s="198">
        <f t="shared" si="11"/>
        <v>0</v>
      </c>
      <c r="AI70" s="327"/>
      <c r="AJ70" s="328"/>
      <c r="AK70" s="328">
        <f>Roles!$D$8</f>
        <v>0.09</v>
      </c>
      <c r="AL70" s="328"/>
      <c r="AM70" s="198">
        <f t="shared" si="12"/>
        <v>0</v>
      </c>
      <c r="AN70" s="327"/>
      <c r="AO70" s="328"/>
      <c r="AP70" s="328">
        <f>Roles!$D$8</f>
        <v>0.09</v>
      </c>
      <c r="AQ70" s="328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 t="shared" si="1"/>
        <v>3</v>
      </c>
      <c r="F71" s="80">
        <v>15.0</v>
      </c>
      <c r="G71" s="105">
        <f t="shared" si="2"/>
        <v>0.01291989664</v>
      </c>
      <c r="H71" s="47">
        <f>H69+G71</f>
        <v>0.210163652</v>
      </c>
      <c r="I71" s="187">
        <f t="shared" ref="I71:I73" si="61">O71+T71+Y71+AD71+AI71+AN71</f>
        <v>0</v>
      </c>
      <c r="J71" s="172">
        <f>J69+I71</f>
        <v>507</v>
      </c>
      <c r="K71" s="115">
        <f t="shared" si="3"/>
        <v>0.5243019648</v>
      </c>
      <c r="L71" s="232">
        <f t="shared" ref="L71:L73" si="62">R71+W71+AB71+AG71+AL71+AQ71</f>
        <v>0</v>
      </c>
      <c r="M71" s="172">
        <f>M69+L71</f>
        <v>223.08</v>
      </c>
      <c r="N71" s="198">
        <f t="shared" si="6"/>
        <v>0</v>
      </c>
      <c r="O71" s="337">
        <v>0.0</v>
      </c>
      <c r="P71" s="328"/>
      <c r="Q71" s="328">
        <f>Roles!$D$5</f>
        <v>0.44</v>
      </c>
      <c r="R71" s="328">
        <f t="shared" si="7"/>
        <v>0</v>
      </c>
      <c r="S71" s="198">
        <f t="shared" si="8"/>
        <v>0</v>
      </c>
      <c r="T71" s="327"/>
      <c r="U71" s="328"/>
      <c r="V71" s="328">
        <f>Roles!$D$8</f>
        <v>0.09</v>
      </c>
      <c r="W71" s="328"/>
      <c r="X71" s="198">
        <f t="shared" si="9"/>
        <v>0</v>
      </c>
      <c r="Y71" s="327"/>
      <c r="Z71" s="328"/>
      <c r="AA71" s="328">
        <f>Roles!$D$8</f>
        <v>0.09</v>
      </c>
      <c r="AB71" s="328"/>
      <c r="AC71" s="198">
        <f t="shared" si="10"/>
        <v>0</v>
      </c>
      <c r="AD71" s="327"/>
      <c r="AE71" s="328"/>
      <c r="AF71" s="328">
        <f>Roles!$D$8</f>
        <v>0.09</v>
      </c>
      <c r="AG71" s="328"/>
      <c r="AH71" s="198">
        <f t="shared" si="11"/>
        <v>0</v>
      </c>
      <c r="AI71" s="327"/>
      <c r="AJ71" s="328"/>
      <c r="AK71" s="328">
        <f>Roles!$D$8</f>
        <v>0.09</v>
      </c>
      <c r="AL71" s="328"/>
      <c r="AM71" s="198">
        <f t="shared" si="12"/>
        <v>0</v>
      </c>
      <c r="AN71" s="327"/>
      <c r="AO71" s="328"/>
      <c r="AP71" s="328">
        <f>Roles!$D$8</f>
        <v>0.09</v>
      </c>
      <c r="AQ71" s="328"/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 t="shared" si="1"/>
        <v>2</v>
      </c>
      <c r="F72" s="80">
        <v>15.0</v>
      </c>
      <c r="G72" s="105">
        <f t="shared" si="2"/>
        <v>0.01291989664</v>
      </c>
      <c r="H72" s="47">
        <f t="shared" ref="H72:H73" si="63">H71+G72</f>
        <v>0.2230835487</v>
      </c>
      <c r="I72" s="187">
        <f t="shared" si="61"/>
        <v>0</v>
      </c>
      <c r="J72" s="172">
        <f t="shared" ref="J72:J73" si="64">J71+I72</f>
        <v>507</v>
      </c>
      <c r="K72" s="115">
        <f t="shared" si="3"/>
        <v>0.5243019648</v>
      </c>
      <c r="L72" s="232">
        <f t="shared" si="62"/>
        <v>0</v>
      </c>
      <c r="M72" s="172">
        <f t="shared" ref="M72:M73" si="65">M71+L72</f>
        <v>223.08</v>
      </c>
      <c r="N72" s="198">
        <f t="shared" si="6"/>
        <v>0</v>
      </c>
      <c r="O72" s="337">
        <v>0.0</v>
      </c>
      <c r="P72" s="328"/>
      <c r="Q72" s="328">
        <f>Roles!$D$5</f>
        <v>0.44</v>
      </c>
      <c r="R72" s="328">
        <f t="shared" si="7"/>
        <v>0</v>
      </c>
      <c r="S72" s="198">
        <f t="shared" si="8"/>
        <v>0</v>
      </c>
      <c r="T72" s="327"/>
      <c r="U72" s="328"/>
      <c r="V72" s="328">
        <f>Roles!$D$8</f>
        <v>0.09</v>
      </c>
      <c r="W72" s="328"/>
      <c r="X72" s="198">
        <f t="shared" si="9"/>
        <v>0</v>
      </c>
      <c r="Y72" s="327"/>
      <c r="Z72" s="328"/>
      <c r="AA72" s="328">
        <f>Roles!$D$8</f>
        <v>0.09</v>
      </c>
      <c r="AB72" s="328"/>
      <c r="AC72" s="198">
        <f t="shared" si="10"/>
        <v>0</v>
      </c>
      <c r="AD72" s="327"/>
      <c r="AE72" s="328"/>
      <c r="AF72" s="328">
        <f>Roles!$D$8</f>
        <v>0.09</v>
      </c>
      <c r="AG72" s="328"/>
      <c r="AH72" s="198">
        <f t="shared" si="11"/>
        <v>0</v>
      </c>
      <c r="AI72" s="327"/>
      <c r="AJ72" s="328"/>
      <c r="AK72" s="328">
        <f>Roles!$D$8</f>
        <v>0.09</v>
      </c>
      <c r="AL72" s="328"/>
      <c r="AM72" s="198">
        <f t="shared" si="12"/>
        <v>0</v>
      </c>
      <c r="AN72" s="327"/>
      <c r="AO72" s="328"/>
      <c r="AP72" s="328">
        <f>Roles!$D$8</f>
        <v>0.09</v>
      </c>
      <c r="AQ72" s="328"/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 t="shared" si="1"/>
        <v>1</v>
      </c>
      <c r="F73" s="80">
        <v>10.0</v>
      </c>
      <c r="G73" s="105">
        <f t="shared" si="2"/>
        <v>0.008613264427</v>
      </c>
      <c r="H73" s="47">
        <f t="shared" si="63"/>
        <v>0.2316968131</v>
      </c>
      <c r="I73" s="187">
        <f t="shared" si="61"/>
        <v>0</v>
      </c>
      <c r="J73" s="172">
        <f t="shared" si="64"/>
        <v>507</v>
      </c>
      <c r="K73" s="115">
        <f t="shared" si="3"/>
        <v>0.5243019648</v>
      </c>
      <c r="L73" s="232">
        <f t="shared" si="62"/>
        <v>0</v>
      </c>
      <c r="M73" s="172">
        <f t="shared" si="65"/>
        <v>223.08</v>
      </c>
      <c r="N73" s="198">
        <f t="shared" si="6"/>
        <v>0</v>
      </c>
      <c r="O73" s="337">
        <v>0.0</v>
      </c>
      <c r="P73" s="328"/>
      <c r="Q73" s="328">
        <f>Roles!$D$5</f>
        <v>0.44</v>
      </c>
      <c r="R73" s="328">
        <f t="shared" si="7"/>
        <v>0</v>
      </c>
      <c r="S73" s="198">
        <f t="shared" si="8"/>
        <v>0</v>
      </c>
      <c r="T73" s="327"/>
      <c r="U73" s="328"/>
      <c r="V73" s="328">
        <f>Roles!$D$8</f>
        <v>0.09</v>
      </c>
      <c r="W73" s="328"/>
      <c r="X73" s="198">
        <f t="shared" si="9"/>
        <v>0</v>
      </c>
      <c r="Y73" s="327"/>
      <c r="Z73" s="328"/>
      <c r="AA73" s="328">
        <f>Roles!$D$8</f>
        <v>0.09</v>
      </c>
      <c r="AB73" s="328"/>
      <c r="AC73" s="198">
        <f t="shared" si="10"/>
        <v>0</v>
      </c>
      <c r="AD73" s="327"/>
      <c r="AE73" s="328"/>
      <c r="AF73" s="328">
        <f>Roles!$D$8</f>
        <v>0.09</v>
      </c>
      <c r="AG73" s="328"/>
      <c r="AH73" s="198">
        <f t="shared" si="11"/>
        <v>0</v>
      </c>
      <c r="AI73" s="327"/>
      <c r="AJ73" s="328"/>
      <c r="AK73" s="328">
        <f>Roles!$D$8</f>
        <v>0.09</v>
      </c>
      <c r="AL73" s="328"/>
      <c r="AM73" s="198">
        <f t="shared" si="12"/>
        <v>0</v>
      </c>
      <c r="AN73" s="327"/>
      <c r="AO73" s="328"/>
      <c r="AP73" s="328">
        <f>Roles!$D$8</f>
        <v>0.09</v>
      </c>
      <c r="AQ73" s="328"/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 t="shared" si="1"/>
        <v>3</v>
      </c>
      <c r="F74" s="246">
        <f>SUM(F75:F78)</f>
        <v>32</v>
      </c>
      <c r="G74" s="105">
        <f t="shared" si="2"/>
        <v>0.02756244617</v>
      </c>
      <c r="H74" s="226">
        <f>H78</f>
        <v>0.2592592593</v>
      </c>
      <c r="I74" s="247">
        <f>SUM(I75:I78)</f>
        <v>101</v>
      </c>
      <c r="J74" s="247">
        <f>J78</f>
        <v>608</v>
      </c>
      <c r="K74" s="167">
        <f t="shared" si="3"/>
        <v>0.6287487073</v>
      </c>
      <c r="L74" s="247">
        <f>SUM(L75:L78)</f>
        <v>44.44</v>
      </c>
      <c r="M74" s="247">
        <f>M78</f>
        <v>267.52</v>
      </c>
      <c r="N74" s="198">
        <f t="shared" si="6"/>
        <v>0</v>
      </c>
      <c r="O74" s="355"/>
      <c r="P74" s="328"/>
      <c r="Q74" s="328">
        <f>Roles!$D$5</f>
        <v>0.44</v>
      </c>
      <c r="R74" s="328">
        <f t="shared" si="7"/>
        <v>0</v>
      </c>
      <c r="S74" s="198">
        <f t="shared" si="8"/>
        <v>0</v>
      </c>
      <c r="T74" s="327"/>
      <c r="U74" s="328"/>
      <c r="V74" s="328">
        <f>Roles!$D$8</f>
        <v>0.09</v>
      </c>
      <c r="W74" s="328"/>
      <c r="X74" s="198">
        <f t="shared" si="9"/>
        <v>0</v>
      </c>
      <c r="Y74" s="327"/>
      <c r="Z74" s="328"/>
      <c r="AA74" s="328">
        <f>Roles!$D$8</f>
        <v>0.09</v>
      </c>
      <c r="AB74" s="328"/>
      <c r="AC74" s="198">
        <f t="shared" si="10"/>
        <v>0</v>
      </c>
      <c r="AD74" s="327"/>
      <c r="AE74" s="328"/>
      <c r="AF74" s="328">
        <f>Roles!$D$8</f>
        <v>0.09</v>
      </c>
      <c r="AG74" s="328"/>
      <c r="AH74" s="198">
        <f t="shared" si="11"/>
        <v>0</v>
      </c>
      <c r="AI74" s="327"/>
      <c r="AJ74" s="328"/>
      <c r="AK74" s="328">
        <f>Roles!$D$8</f>
        <v>0.09</v>
      </c>
      <c r="AL74" s="328"/>
      <c r="AM74" s="198">
        <f t="shared" si="12"/>
        <v>0</v>
      </c>
      <c r="AN74" s="327"/>
      <c r="AO74" s="328"/>
      <c r="AP74" s="328">
        <f>Roles!$D$8</f>
        <v>0.09</v>
      </c>
      <c r="AQ74" s="328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 t="shared" si="1"/>
        <v>2</v>
      </c>
      <c r="F75" s="80">
        <v>4.0</v>
      </c>
      <c r="G75" s="105">
        <f t="shared" si="2"/>
        <v>0.003445305771</v>
      </c>
      <c r="H75" s="47">
        <f>H73+G75</f>
        <v>0.2351421189</v>
      </c>
      <c r="I75" s="187">
        <f t="shared" ref="I75:I78" si="66">O75+T75+Y75+AD75+AI75+AN75</f>
        <v>8</v>
      </c>
      <c r="J75" s="172">
        <f>J73+I75</f>
        <v>515</v>
      </c>
      <c r="K75" s="115">
        <f t="shared" si="3"/>
        <v>0.5325749741</v>
      </c>
      <c r="L75" s="232">
        <f t="shared" ref="L75:L78" si="67">R75+W75+AB75+AG75+AL75+AQ75</f>
        <v>3.52</v>
      </c>
      <c r="M75" s="172">
        <f>M73+L75</f>
        <v>226.6</v>
      </c>
      <c r="N75" s="198">
        <f t="shared" si="6"/>
        <v>2</v>
      </c>
      <c r="O75" s="337">
        <v>8.0</v>
      </c>
      <c r="P75" s="328"/>
      <c r="Q75" s="328">
        <f>Roles!$D$5</f>
        <v>0.44</v>
      </c>
      <c r="R75" s="328">
        <f t="shared" si="7"/>
        <v>3.52</v>
      </c>
      <c r="S75" s="198">
        <f t="shared" si="8"/>
        <v>0</v>
      </c>
      <c r="T75" s="327"/>
      <c r="U75" s="328"/>
      <c r="V75" s="328">
        <f>Roles!$D$8</f>
        <v>0.09</v>
      </c>
      <c r="W75" s="328"/>
      <c r="X75" s="198">
        <f t="shared" si="9"/>
        <v>0</v>
      </c>
      <c r="Y75" s="327"/>
      <c r="Z75" s="328"/>
      <c r="AA75" s="328">
        <f>Roles!$D$8</f>
        <v>0.09</v>
      </c>
      <c r="AB75" s="328"/>
      <c r="AC75" s="198">
        <f t="shared" si="10"/>
        <v>0</v>
      </c>
      <c r="AD75" s="327"/>
      <c r="AE75" s="328"/>
      <c r="AF75" s="328">
        <f>Roles!$D$8</f>
        <v>0.09</v>
      </c>
      <c r="AG75" s="328"/>
      <c r="AH75" s="198">
        <f t="shared" si="11"/>
        <v>0</v>
      </c>
      <c r="AI75" s="327"/>
      <c r="AJ75" s="328"/>
      <c r="AK75" s="328">
        <f>Roles!$D$8</f>
        <v>0.09</v>
      </c>
      <c r="AL75" s="328"/>
      <c r="AM75" s="198">
        <f t="shared" si="12"/>
        <v>0</v>
      </c>
      <c r="AN75" s="327"/>
      <c r="AO75" s="328"/>
      <c r="AP75" s="328">
        <f>Roles!$D$8</f>
        <v>0.09</v>
      </c>
      <c r="AQ75" s="328"/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 t="shared" si="1"/>
        <v>2</v>
      </c>
      <c r="F76" s="80">
        <v>15.0</v>
      </c>
      <c r="G76" s="105">
        <f t="shared" si="2"/>
        <v>0.01291989664</v>
      </c>
      <c r="H76" s="47">
        <f t="shared" ref="H76:H79" si="68">H75+G76</f>
        <v>0.2480620155</v>
      </c>
      <c r="I76" s="187">
        <f t="shared" si="66"/>
        <v>48</v>
      </c>
      <c r="J76" s="172">
        <f t="shared" ref="J76:J79" si="69">J75+I76</f>
        <v>563</v>
      </c>
      <c r="K76" s="115">
        <f t="shared" si="3"/>
        <v>0.58221303</v>
      </c>
      <c r="L76" s="232">
        <f t="shared" si="67"/>
        <v>21.12</v>
      </c>
      <c r="M76" s="172">
        <f t="shared" ref="M76:M79" si="70">M75+L76</f>
        <v>247.72</v>
      </c>
      <c r="N76" s="198">
        <f t="shared" si="6"/>
        <v>3.2</v>
      </c>
      <c r="O76" s="337">
        <v>48.0</v>
      </c>
      <c r="P76" s="328"/>
      <c r="Q76" s="328">
        <f>Roles!$D$5</f>
        <v>0.44</v>
      </c>
      <c r="R76" s="328">
        <f t="shared" si="7"/>
        <v>21.12</v>
      </c>
      <c r="S76" s="198">
        <f t="shared" si="8"/>
        <v>0</v>
      </c>
      <c r="T76" s="327"/>
      <c r="U76" s="328"/>
      <c r="V76" s="328">
        <f>Roles!$D$8</f>
        <v>0.09</v>
      </c>
      <c r="W76" s="328"/>
      <c r="X76" s="198">
        <f t="shared" si="9"/>
        <v>0</v>
      </c>
      <c r="Y76" s="327"/>
      <c r="Z76" s="328"/>
      <c r="AA76" s="328">
        <f>Roles!$D$8</f>
        <v>0.09</v>
      </c>
      <c r="AB76" s="328"/>
      <c r="AC76" s="198">
        <f t="shared" si="10"/>
        <v>0</v>
      </c>
      <c r="AD76" s="327"/>
      <c r="AE76" s="328"/>
      <c r="AF76" s="328">
        <f>Roles!$D$8</f>
        <v>0.09</v>
      </c>
      <c r="AG76" s="328"/>
      <c r="AH76" s="198">
        <f t="shared" si="11"/>
        <v>0</v>
      </c>
      <c r="AI76" s="327"/>
      <c r="AJ76" s="328"/>
      <c r="AK76" s="328">
        <f>Roles!$D$8</f>
        <v>0.09</v>
      </c>
      <c r="AL76" s="328"/>
      <c r="AM76" s="198">
        <f t="shared" si="12"/>
        <v>0</v>
      </c>
      <c r="AN76" s="327"/>
      <c r="AO76" s="328"/>
      <c r="AP76" s="328">
        <f>Roles!$D$8</f>
        <v>0.09</v>
      </c>
      <c r="AQ76" s="328"/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 t="shared" si="1"/>
        <v>1</v>
      </c>
      <c r="F77" s="80">
        <v>3.0</v>
      </c>
      <c r="G77" s="105">
        <f t="shared" si="2"/>
        <v>0.002583979328</v>
      </c>
      <c r="H77" s="47">
        <f t="shared" si="68"/>
        <v>0.2506459948</v>
      </c>
      <c r="I77" s="187">
        <f t="shared" si="66"/>
        <v>3</v>
      </c>
      <c r="J77" s="172">
        <f t="shared" si="69"/>
        <v>566</v>
      </c>
      <c r="K77" s="115">
        <f t="shared" si="3"/>
        <v>0.5853154085</v>
      </c>
      <c r="L77" s="232">
        <f t="shared" si="67"/>
        <v>1.32</v>
      </c>
      <c r="M77" s="172">
        <f t="shared" si="70"/>
        <v>249.04</v>
      </c>
      <c r="N77" s="198">
        <f t="shared" si="6"/>
        <v>1</v>
      </c>
      <c r="O77" s="337">
        <v>3.0</v>
      </c>
      <c r="P77" s="328"/>
      <c r="Q77" s="328">
        <f>Roles!$D$5</f>
        <v>0.44</v>
      </c>
      <c r="R77" s="328">
        <f t="shared" si="7"/>
        <v>1.32</v>
      </c>
      <c r="S77" s="198">
        <f t="shared" si="8"/>
        <v>0</v>
      </c>
      <c r="T77" s="327"/>
      <c r="U77" s="328"/>
      <c r="V77" s="328">
        <f>Roles!$D$8</f>
        <v>0.09</v>
      </c>
      <c r="W77" s="328"/>
      <c r="X77" s="198">
        <f t="shared" si="9"/>
        <v>0</v>
      </c>
      <c r="Y77" s="327"/>
      <c r="Z77" s="328"/>
      <c r="AA77" s="328">
        <f>Roles!$D$8</f>
        <v>0.09</v>
      </c>
      <c r="AB77" s="328"/>
      <c r="AC77" s="198">
        <f t="shared" si="10"/>
        <v>0</v>
      </c>
      <c r="AD77" s="327"/>
      <c r="AE77" s="328"/>
      <c r="AF77" s="328">
        <f>Roles!$D$8</f>
        <v>0.09</v>
      </c>
      <c r="AG77" s="328"/>
      <c r="AH77" s="198">
        <f t="shared" si="11"/>
        <v>0</v>
      </c>
      <c r="AI77" s="327"/>
      <c r="AJ77" s="328"/>
      <c r="AK77" s="328">
        <f>Roles!$D$8</f>
        <v>0.09</v>
      </c>
      <c r="AL77" s="328"/>
      <c r="AM77" s="198">
        <f t="shared" si="12"/>
        <v>0</v>
      </c>
      <c r="AN77" s="327"/>
      <c r="AO77" s="328"/>
      <c r="AP77" s="328">
        <f>Roles!$D$8</f>
        <v>0.09</v>
      </c>
      <c r="AQ77" s="328"/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 t="shared" si="1"/>
        <v>1</v>
      </c>
      <c r="F78" s="80">
        <v>10.0</v>
      </c>
      <c r="G78" s="105">
        <f t="shared" si="2"/>
        <v>0.008613264427</v>
      </c>
      <c r="H78" s="47">
        <f t="shared" si="68"/>
        <v>0.2592592593</v>
      </c>
      <c r="I78" s="187">
        <f t="shared" si="66"/>
        <v>42</v>
      </c>
      <c r="J78" s="172">
        <f t="shared" si="69"/>
        <v>608</v>
      </c>
      <c r="K78" s="115">
        <f t="shared" si="3"/>
        <v>0.6287487073</v>
      </c>
      <c r="L78" s="232">
        <f t="shared" si="67"/>
        <v>18.48</v>
      </c>
      <c r="M78" s="172">
        <f t="shared" si="70"/>
        <v>267.52</v>
      </c>
      <c r="N78" s="198">
        <f t="shared" si="6"/>
        <v>4.2</v>
      </c>
      <c r="O78" s="337">
        <v>42.0</v>
      </c>
      <c r="P78" s="328"/>
      <c r="Q78" s="328">
        <f>Roles!$D$5</f>
        <v>0.44</v>
      </c>
      <c r="R78" s="328">
        <f t="shared" si="7"/>
        <v>18.48</v>
      </c>
      <c r="S78" s="198">
        <f t="shared" si="8"/>
        <v>0</v>
      </c>
      <c r="T78" s="327"/>
      <c r="U78" s="328"/>
      <c r="V78" s="328">
        <f>Roles!$D$8</f>
        <v>0.09</v>
      </c>
      <c r="W78" s="328"/>
      <c r="X78" s="198">
        <f t="shared" si="9"/>
        <v>0</v>
      </c>
      <c r="Y78" s="327"/>
      <c r="Z78" s="328"/>
      <c r="AA78" s="328">
        <f>Roles!$D$8</f>
        <v>0.09</v>
      </c>
      <c r="AB78" s="328"/>
      <c r="AC78" s="198">
        <f t="shared" si="10"/>
        <v>0</v>
      </c>
      <c r="AD78" s="327"/>
      <c r="AE78" s="328"/>
      <c r="AF78" s="328">
        <f>Roles!$D$8</f>
        <v>0.09</v>
      </c>
      <c r="AG78" s="328"/>
      <c r="AH78" s="198">
        <f t="shared" si="11"/>
        <v>0</v>
      </c>
      <c r="AI78" s="327"/>
      <c r="AJ78" s="328"/>
      <c r="AK78" s="328">
        <f>Roles!$D$8</f>
        <v>0.09</v>
      </c>
      <c r="AL78" s="328"/>
      <c r="AM78" s="198">
        <f t="shared" si="12"/>
        <v>0</v>
      </c>
      <c r="AN78" s="327"/>
      <c r="AO78" s="328"/>
      <c r="AP78" s="328">
        <f>Roles!$D$8</f>
        <v>0.09</v>
      </c>
      <c r="AQ78" s="328"/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 t="shared" si="1"/>
        <v>1</v>
      </c>
      <c r="F79" s="136">
        <v>0.0</v>
      </c>
      <c r="G79" s="105">
        <f t="shared" si="2"/>
        <v>0</v>
      </c>
      <c r="H79" s="115">
        <f t="shared" si="68"/>
        <v>0.2592592593</v>
      </c>
      <c r="I79" s="110">
        <f>F79</f>
        <v>0</v>
      </c>
      <c r="J79" s="110">
        <f t="shared" si="69"/>
        <v>608</v>
      </c>
      <c r="K79" s="115">
        <f t="shared" si="3"/>
        <v>0.6287487073</v>
      </c>
      <c r="L79" s="110">
        <v>0.0</v>
      </c>
      <c r="M79" s="110">
        <f t="shared" si="70"/>
        <v>267.52</v>
      </c>
      <c r="N79" s="198" t="str">
        <f t="shared" si="6"/>
        <v>#DIV/0!</v>
      </c>
      <c r="O79" s="328"/>
      <c r="P79" s="328"/>
      <c r="Q79" s="328">
        <f>Roles!$D$5</f>
        <v>0.44</v>
      </c>
      <c r="R79" s="328">
        <f t="shared" si="7"/>
        <v>0</v>
      </c>
      <c r="S79" s="198" t="str">
        <f t="shared" si="8"/>
        <v>#DIV/0!</v>
      </c>
      <c r="T79" s="327"/>
      <c r="U79" s="328"/>
      <c r="V79" s="328">
        <f>Roles!$D$8</f>
        <v>0.09</v>
      </c>
      <c r="W79" s="328"/>
      <c r="X79" s="198" t="str">
        <f t="shared" si="9"/>
        <v>#DIV/0!</v>
      </c>
      <c r="Y79" s="327"/>
      <c r="Z79" s="328"/>
      <c r="AA79" s="328">
        <f>Roles!$D$8</f>
        <v>0.09</v>
      </c>
      <c r="AB79" s="328"/>
      <c r="AC79" s="198" t="str">
        <f t="shared" si="10"/>
        <v>#DIV/0!</v>
      </c>
      <c r="AD79" s="327"/>
      <c r="AE79" s="328"/>
      <c r="AF79" s="328">
        <f>Roles!$D$8</f>
        <v>0.09</v>
      </c>
      <c r="AG79" s="328"/>
      <c r="AH79" s="198" t="str">
        <f t="shared" si="11"/>
        <v>#DIV/0!</v>
      </c>
      <c r="AI79" s="327"/>
      <c r="AJ79" s="328"/>
      <c r="AK79" s="328">
        <f>Roles!$D$8</f>
        <v>0.09</v>
      </c>
      <c r="AL79" s="328"/>
      <c r="AM79" s="198" t="str">
        <f t="shared" si="12"/>
        <v>#DIV/0!</v>
      </c>
      <c r="AN79" s="327"/>
      <c r="AO79" s="328"/>
      <c r="AP79" s="328">
        <f>Roles!$D$8</f>
        <v>0.09</v>
      </c>
      <c r="AQ79" s="328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 t="shared" si="1"/>
        <v>21</v>
      </c>
      <c r="F80" s="240">
        <f>F81+F86+F97+F102+F110+F117+F122+F127+F131+F135+F139</f>
        <v>313</v>
      </c>
      <c r="G80" s="105">
        <f t="shared" si="2"/>
        <v>0.2695951766</v>
      </c>
      <c r="H80" s="224">
        <f>H144</f>
        <v>0.5288544358</v>
      </c>
      <c r="I80" s="241">
        <f>I81+I86+I97+I102+I110+I117+I122+I127+I131+I135+I139</f>
        <v>158</v>
      </c>
      <c r="J80" s="241">
        <f>J144</f>
        <v>766</v>
      </c>
      <c r="K80" s="138">
        <f t="shared" si="3"/>
        <v>0.7921406412</v>
      </c>
      <c r="L80" s="241">
        <f>L81+L86+L97+L102+L110+L117+L122+L127+L131+L135+L139</f>
        <v>69.52</v>
      </c>
      <c r="M80" s="241">
        <f>M144</f>
        <v>337.04</v>
      </c>
      <c r="N80" s="198">
        <f t="shared" si="6"/>
        <v>0</v>
      </c>
      <c r="O80" s="328"/>
      <c r="P80" s="328"/>
      <c r="Q80" s="328">
        <f>Roles!$D$5</f>
        <v>0.44</v>
      </c>
      <c r="R80" s="328">
        <f t="shared" si="7"/>
        <v>0</v>
      </c>
      <c r="S80" s="198">
        <f t="shared" si="8"/>
        <v>0</v>
      </c>
      <c r="T80" s="327"/>
      <c r="U80" s="328"/>
      <c r="V80" s="328">
        <f>Roles!$D$8</f>
        <v>0.09</v>
      </c>
      <c r="W80" s="328"/>
      <c r="X80" s="198">
        <f t="shared" si="9"/>
        <v>0</v>
      </c>
      <c r="Y80" s="327"/>
      <c r="Z80" s="328"/>
      <c r="AA80" s="328">
        <f>Roles!$D$8</f>
        <v>0.09</v>
      </c>
      <c r="AB80" s="328"/>
      <c r="AC80" s="198">
        <f t="shared" si="10"/>
        <v>0</v>
      </c>
      <c r="AD80" s="327"/>
      <c r="AE80" s="328"/>
      <c r="AF80" s="328">
        <f>Roles!$D$8</f>
        <v>0.09</v>
      </c>
      <c r="AG80" s="328"/>
      <c r="AH80" s="198">
        <f t="shared" si="11"/>
        <v>0</v>
      </c>
      <c r="AI80" s="327"/>
      <c r="AJ80" s="328"/>
      <c r="AK80" s="328">
        <f>Roles!$D$8</f>
        <v>0.09</v>
      </c>
      <c r="AL80" s="328"/>
      <c r="AM80" s="198">
        <f t="shared" si="12"/>
        <v>0</v>
      </c>
      <c r="AN80" s="327"/>
      <c r="AO80" s="328"/>
      <c r="AP80" s="328">
        <f>Roles!$D$8</f>
        <v>0.09</v>
      </c>
      <c r="AQ80" s="328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 t="shared" si="1"/>
        <v>6</v>
      </c>
      <c r="F81" s="246">
        <f>SUM(F82:F85)</f>
        <v>12</v>
      </c>
      <c r="G81" s="105">
        <f t="shared" si="2"/>
        <v>0.01033591731</v>
      </c>
      <c r="H81" s="226">
        <f>H85</f>
        <v>0.2695951766</v>
      </c>
      <c r="I81" s="247">
        <f>SUM(I82:I85)</f>
        <v>16</v>
      </c>
      <c r="J81" s="247">
        <f>J85</f>
        <v>624</v>
      </c>
      <c r="K81" s="167">
        <f t="shared" si="3"/>
        <v>0.645294726</v>
      </c>
      <c r="L81" s="247">
        <f>SUM(L82:L85)</f>
        <v>7.04</v>
      </c>
      <c r="M81" s="247">
        <f>M85</f>
        <v>274.56</v>
      </c>
      <c r="N81" s="198">
        <f t="shared" si="6"/>
        <v>0</v>
      </c>
      <c r="O81" s="328"/>
      <c r="P81" s="328"/>
      <c r="Q81" s="328">
        <f>Roles!$D$5</f>
        <v>0.44</v>
      </c>
      <c r="R81" s="328">
        <f t="shared" si="7"/>
        <v>0</v>
      </c>
      <c r="S81" s="198">
        <f t="shared" si="8"/>
        <v>0</v>
      </c>
      <c r="T81" s="327"/>
      <c r="U81" s="328"/>
      <c r="V81" s="328">
        <f>Roles!$D$8</f>
        <v>0.09</v>
      </c>
      <c r="W81" s="328"/>
      <c r="X81" s="198">
        <f t="shared" si="9"/>
        <v>0</v>
      </c>
      <c r="Y81" s="327"/>
      <c r="Z81" s="328"/>
      <c r="AA81" s="328">
        <f>Roles!$D$8</f>
        <v>0.09</v>
      </c>
      <c r="AB81" s="328"/>
      <c r="AC81" s="198">
        <f t="shared" si="10"/>
        <v>0</v>
      </c>
      <c r="AD81" s="327"/>
      <c r="AE81" s="328"/>
      <c r="AF81" s="328">
        <f>Roles!$D$8</f>
        <v>0.09</v>
      </c>
      <c r="AG81" s="328"/>
      <c r="AH81" s="198">
        <f t="shared" si="11"/>
        <v>0</v>
      </c>
      <c r="AI81" s="327"/>
      <c r="AJ81" s="328"/>
      <c r="AK81" s="328">
        <f>Roles!$D$8</f>
        <v>0.09</v>
      </c>
      <c r="AL81" s="328"/>
      <c r="AM81" s="198">
        <f t="shared" si="12"/>
        <v>0</v>
      </c>
      <c r="AN81" s="327"/>
      <c r="AO81" s="328"/>
      <c r="AP81" s="328">
        <f>Roles!$D$8</f>
        <v>0.09</v>
      </c>
      <c r="AQ81" s="328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 t="shared" si="1"/>
        <v>2</v>
      </c>
      <c r="F82" s="80">
        <v>3.0</v>
      </c>
      <c r="G82" s="105">
        <f t="shared" si="2"/>
        <v>0.002583979328</v>
      </c>
      <c r="H82" s="47">
        <f>H79+G82</f>
        <v>0.2618432386</v>
      </c>
      <c r="I82" s="187">
        <f t="shared" ref="I82:I85" si="71">O82+T82+Y82+AD82+AI82+AN82</f>
        <v>1</v>
      </c>
      <c r="J82" s="172">
        <f>J79+I82</f>
        <v>609</v>
      </c>
      <c r="K82" s="115">
        <f t="shared" si="3"/>
        <v>0.6297828335</v>
      </c>
      <c r="L82" s="232">
        <f t="shared" ref="L82:L85" si="72">R82+W82+AB82+AG82+AL82+AQ82</f>
        <v>0.44</v>
      </c>
      <c r="M82" s="172">
        <f>M79+L82</f>
        <v>267.96</v>
      </c>
      <c r="N82" s="198">
        <f t="shared" si="6"/>
        <v>0.3333333333</v>
      </c>
      <c r="O82" s="337">
        <v>1.0</v>
      </c>
      <c r="P82" s="328"/>
      <c r="Q82" s="328">
        <f>Roles!$D$5</f>
        <v>0.44</v>
      </c>
      <c r="R82" s="328">
        <f t="shared" si="7"/>
        <v>0.44</v>
      </c>
      <c r="S82" s="198">
        <f t="shared" si="8"/>
        <v>0</v>
      </c>
      <c r="T82" s="327"/>
      <c r="U82" s="328"/>
      <c r="V82" s="328">
        <f>Roles!$D$8</f>
        <v>0.09</v>
      </c>
      <c r="W82" s="328"/>
      <c r="X82" s="198">
        <f t="shared" si="9"/>
        <v>0</v>
      </c>
      <c r="Y82" s="327"/>
      <c r="Z82" s="328"/>
      <c r="AA82" s="328">
        <f>Roles!$D$8</f>
        <v>0.09</v>
      </c>
      <c r="AB82" s="328"/>
      <c r="AC82" s="198">
        <f t="shared" si="10"/>
        <v>0</v>
      </c>
      <c r="AD82" s="327"/>
      <c r="AE82" s="328"/>
      <c r="AF82" s="328">
        <f>Roles!$D$8</f>
        <v>0.09</v>
      </c>
      <c r="AG82" s="328"/>
      <c r="AH82" s="198">
        <f t="shared" si="11"/>
        <v>0</v>
      </c>
      <c r="AI82" s="327"/>
      <c r="AJ82" s="328"/>
      <c r="AK82" s="328">
        <f>Roles!$D$8</f>
        <v>0.09</v>
      </c>
      <c r="AL82" s="328"/>
      <c r="AM82" s="198">
        <f t="shared" si="12"/>
        <v>0</v>
      </c>
      <c r="AN82" s="327"/>
      <c r="AO82" s="328"/>
      <c r="AP82" s="328">
        <f>Roles!$D$8</f>
        <v>0.09</v>
      </c>
      <c r="AQ82" s="328"/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 t="shared" si="1"/>
        <v>2</v>
      </c>
      <c r="F83" s="80">
        <v>4.0</v>
      </c>
      <c r="G83" s="105">
        <f t="shared" si="2"/>
        <v>0.003445305771</v>
      </c>
      <c r="H83" s="47">
        <f t="shared" ref="H83:H85" si="73">H82+G83</f>
        <v>0.2652885444</v>
      </c>
      <c r="I83" s="187">
        <f t="shared" si="71"/>
        <v>0</v>
      </c>
      <c r="J83" s="172">
        <f t="shared" ref="J83:J85" si="74">J82+I83</f>
        <v>609</v>
      </c>
      <c r="K83" s="115">
        <f t="shared" si="3"/>
        <v>0.6297828335</v>
      </c>
      <c r="L83" s="232">
        <f t="shared" si="72"/>
        <v>0</v>
      </c>
      <c r="M83" s="172">
        <f t="shared" ref="M83:M85" si="75">M82+L83</f>
        <v>267.96</v>
      </c>
      <c r="N83" s="198">
        <f t="shared" si="6"/>
        <v>0</v>
      </c>
      <c r="O83" s="337">
        <v>0.0</v>
      </c>
      <c r="P83" s="328"/>
      <c r="Q83" s="328">
        <f>Roles!$D$5</f>
        <v>0.44</v>
      </c>
      <c r="R83" s="328">
        <f t="shared" si="7"/>
        <v>0</v>
      </c>
      <c r="S83" s="198">
        <f t="shared" si="8"/>
        <v>0</v>
      </c>
      <c r="T83" s="327"/>
      <c r="U83" s="328"/>
      <c r="V83" s="328">
        <f>Roles!$D$8</f>
        <v>0.09</v>
      </c>
      <c r="W83" s="328"/>
      <c r="X83" s="198">
        <f t="shared" si="9"/>
        <v>0</v>
      </c>
      <c r="Y83" s="327"/>
      <c r="Z83" s="328"/>
      <c r="AA83" s="328">
        <f>Roles!$D$8</f>
        <v>0.09</v>
      </c>
      <c r="AB83" s="328"/>
      <c r="AC83" s="198">
        <f t="shared" si="10"/>
        <v>0</v>
      </c>
      <c r="AD83" s="327"/>
      <c r="AE83" s="328"/>
      <c r="AF83" s="328">
        <f>Roles!$D$8</f>
        <v>0.09</v>
      </c>
      <c r="AG83" s="328"/>
      <c r="AH83" s="198">
        <f t="shared" si="11"/>
        <v>0</v>
      </c>
      <c r="AI83" s="327"/>
      <c r="AJ83" s="328"/>
      <c r="AK83" s="328">
        <f>Roles!$D$8</f>
        <v>0.09</v>
      </c>
      <c r="AL83" s="328"/>
      <c r="AM83" s="198">
        <f t="shared" si="12"/>
        <v>0</v>
      </c>
      <c r="AN83" s="327"/>
      <c r="AO83" s="328"/>
      <c r="AP83" s="328">
        <f>Roles!$D$8</f>
        <v>0.09</v>
      </c>
      <c r="AQ83" s="328"/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 t="shared" si="1"/>
        <v>2</v>
      </c>
      <c r="F84" s="80">
        <v>3.0</v>
      </c>
      <c r="G84" s="105">
        <f t="shared" si="2"/>
        <v>0.002583979328</v>
      </c>
      <c r="H84" s="47">
        <f t="shared" si="73"/>
        <v>0.2678725237</v>
      </c>
      <c r="I84" s="187">
        <f t="shared" si="71"/>
        <v>3</v>
      </c>
      <c r="J84" s="172">
        <f t="shared" si="74"/>
        <v>612</v>
      </c>
      <c r="K84" s="115">
        <f t="shared" si="3"/>
        <v>0.632885212</v>
      </c>
      <c r="L84" s="232">
        <f t="shared" si="72"/>
        <v>1.32</v>
      </c>
      <c r="M84" s="172">
        <f t="shared" si="75"/>
        <v>269.28</v>
      </c>
      <c r="N84" s="198">
        <f t="shared" si="6"/>
        <v>1</v>
      </c>
      <c r="O84" s="337">
        <v>3.0</v>
      </c>
      <c r="P84" s="328"/>
      <c r="Q84" s="328">
        <f>Roles!$D$5</f>
        <v>0.44</v>
      </c>
      <c r="R84" s="328">
        <f t="shared" si="7"/>
        <v>1.32</v>
      </c>
      <c r="S84" s="198">
        <f t="shared" si="8"/>
        <v>0</v>
      </c>
      <c r="T84" s="327"/>
      <c r="U84" s="328"/>
      <c r="V84" s="328">
        <f>Roles!$D$8</f>
        <v>0.09</v>
      </c>
      <c r="W84" s="328"/>
      <c r="X84" s="198">
        <f t="shared" si="9"/>
        <v>0</v>
      </c>
      <c r="Y84" s="327"/>
      <c r="Z84" s="328"/>
      <c r="AA84" s="328">
        <f>Roles!$D$8</f>
        <v>0.09</v>
      </c>
      <c r="AB84" s="328"/>
      <c r="AC84" s="198">
        <f t="shared" si="10"/>
        <v>0</v>
      </c>
      <c r="AD84" s="327"/>
      <c r="AE84" s="328"/>
      <c r="AF84" s="328">
        <f>Roles!$D$8</f>
        <v>0.09</v>
      </c>
      <c r="AG84" s="328"/>
      <c r="AH84" s="198">
        <f t="shared" si="11"/>
        <v>0</v>
      </c>
      <c r="AI84" s="327"/>
      <c r="AJ84" s="328"/>
      <c r="AK84" s="328">
        <f>Roles!$D$8</f>
        <v>0.09</v>
      </c>
      <c r="AL84" s="328"/>
      <c r="AM84" s="198">
        <f t="shared" si="12"/>
        <v>0</v>
      </c>
      <c r="AN84" s="327"/>
      <c r="AO84" s="328"/>
      <c r="AP84" s="328">
        <f>Roles!$D$8</f>
        <v>0.09</v>
      </c>
      <c r="AQ84" s="328"/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 t="shared" si="1"/>
        <v>1</v>
      </c>
      <c r="F85" s="80">
        <v>2.0</v>
      </c>
      <c r="G85" s="105">
        <f t="shared" si="2"/>
        <v>0.001722652885</v>
      </c>
      <c r="H85" s="47">
        <f t="shared" si="73"/>
        <v>0.2695951766</v>
      </c>
      <c r="I85" s="187">
        <f t="shared" si="71"/>
        <v>12</v>
      </c>
      <c r="J85" s="172">
        <f t="shared" si="74"/>
        <v>624</v>
      </c>
      <c r="K85" s="115">
        <f t="shared" si="3"/>
        <v>0.645294726</v>
      </c>
      <c r="L85" s="232">
        <f t="shared" si="72"/>
        <v>5.28</v>
      </c>
      <c r="M85" s="172">
        <f t="shared" si="75"/>
        <v>274.56</v>
      </c>
      <c r="N85" s="198">
        <f t="shared" si="6"/>
        <v>6</v>
      </c>
      <c r="O85" s="337">
        <v>12.0</v>
      </c>
      <c r="P85" s="328"/>
      <c r="Q85" s="328">
        <f>Roles!$D$5</f>
        <v>0.44</v>
      </c>
      <c r="R85" s="328">
        <f t="shared" si="7"/>
        <v>5.28</v>
      </c>
      <c r="S85" s="198">
        <f t="shared" si="8"/>
        <v>0</v>
      </c>
      <c r="T85" s="327"/>
      <c r="U85" s="328"/>
      <c r="V85" s="328">
        <f>Roles!$D$8</f>
        <v>0.09</v>
      </c>
      <c r="W85" s="328"/>
      <c r="X85" s="198">
        <f t="shared" si="9"/>
        <v>0</v>
      </c>
      <c r="Y85" s="327"/>
      <c r="Z85" s="328"/>
      <c r="AA85" s="328">
        <f>Roles!$D$8</f>
        <v>0.09</v>
      </c>
      <c r="AB85" s="328"/>
      <c r="AC85" s="198">
        <f t="shared" si="10"/>
        <v>0</v>
      </c>
      <c r="AD85" s="327"/>
      <c r="AE85" s="328"/>
      <c r="AF85" s="328">
        <f>Roles!$D$8</f>
        <v>0.09</v>
      </c>
      <c r="AG85" s="328"/>
      <c r="AH85" s="198">
        <f t="shared" si="11"/>
        <v>0</v>
      </c>
      <c r="AI85" s="327"/>
      <c r="AJ85" s="328"/>
      <c r="AK85" s="328">
        <f>Roles!$D$8</f>
        <v>0.09</v>
      </c>
      <c r="AL85" s="328"/>
      <c r="AM85" s="198">
        <f t="shared" si="12"/>
        <v>0</v>
      </c>
      <c r="AN85" s="327"/>
      <c r="AO85" s="328"/>
      <c r="AP85" s="328">
        <f>Roles!$D$8</f>
        <v>0.09</v>
      </c>
      <c r="AQ85" s="328"/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 t="shared" si="1"/>
        <v>2</v>
      </c>
      <c r="F86" s="246">
        <f>SUM(F87:F96)</f>
        <v>42</v>
      </c>
      <c r="G86" s="105">
        <f t="shared" si="2"/>
        <v>0.03617571059</v>
      </c>
      <c r="H86" s="226">
        <f>H96</f>
        <v>0.3057708872</v>
      </c>
      <c r="I86" s="247">
        <f>SUM(I87:I96)</f>
        <v>26</v>
      </c>
      <c r="J86" s="247">
        <f>J96</f>
        <v>650</v>
      </c>
      <c r="K86" s="167">
        <f t="shared" si="3"/>
        <v>0.6721820062</v>
      </c>
      <c r="L86" s="247">
        <f>SUM(L87:L96)</f>
        <v>11.44</v>
      </c>
      <c r="M86" s="247">
        <f>M96</f>
        <v>286</v>
      </c>
      <c r="N86" s="198">
        <f t="shared" si="6"/>
        <v>0</v>
      </c>
      <c r="O86" s="328"/>
      <c r="P86" s="328"/>
      <c r="Q86" s="328">
        <f>Roles!$D$5</f>
        <v>0.44</v>
      </c>
      <c r="R86" s="328">
        <f t="shared" si="7"/>
        <v>0</v>
      </c>
      <c r="S86" s="198">
        <f t="shared" si="8"/>
        <v>0</v>
      </c>
      <c r="T86" s="327"/>
      <c r="U86" s="328"/>
      <c r="V86" s="328">
        <f>Roles!$D$8</f>
        <v>0.09</v>
      </c>
      <c r="W86" s="328"/>
      <c r="X86" s="198">
        <f t="shared" si="9"/>
        <v>0</v>
      </c>
      <c r="Y86" s="327"/>
      <c r="Z86" s="328"/>
      <c r="AA86" s="328">
        <f>Roles!$D$8</f>
        <v>0.09</v>
      </c>
      <c r="AB86" s="328"/>
      <c r="AC86" s="198">
        <f t="shared" si="10"/>
        <v>0</v>
      </c>
      <c r="AD86" s="327"/>
      <c r="AE86" s="328"/>
      <c r="AF86" s="328">
        <f>Roles!$D$8</f>
        <v>0.09</v>
      </c>
      <c r="AG86" s="328"/>
      <c r="AH86" s="198">
        <f t="shared" si="11"/>
        <v>0</v>
      </c>
      <c r="AI86" s="327"/>
      <c r="AJ86" s="328"/>
      <c r="AK86" s="328">
        <f>Roles!$D$8</f>
        <v>0.09</v>
      </c>
      <c r="AL86" s="328"/>
      <c r="AM86" s="198">
        <f t="shared" si="12"/>
        <v>0</v>
      </c>
      <c r="AN86" s="327"/>
      <c r="AO86" s="328"/>
      <c r="AP86" s="328">
        <f>Roles!$D$8</f>
        <v>0.09</v>
      </c>
      <c r="AQ86" s="328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 t="shared" si="1"/>
        <v>1</v>
      </c>
      <c r="F87" s="80">
        <v>4.0</v>
      </c>
      <c r="G87" s="105">
        <f t="shared" si="2"/>
        <v>0.003445305771</v>
      </c>
      <c r="H87" s="47">
        <f>H85+G87</f>
        <v>0.2730404823</v>
      </c>
      <c r="I87" s="187">
        <f t="shared" ref="I87:I96" si="76">O87+T87+Y87+AD87+AI87+AN87</f>
        <v>4</v>
      </c>
      <c r="J87" s="172">
        <f>J85+I87</f>
        <v>628</v>
      </c>
      <c r="K87" s="115">
        <f t="shared" si="3"/>
        <v>0.6494312306</v>
      </c>
      <c r="L87" s="232">
        <f t="shared" ref="L87:L96" si="77">R87+W87+AB87+AG87+AL87+AQ87</f>
        <v>1.76</v>
      </c>
      <c r="M87" s="172">
        <f>M85+L87</f>
        <v>276.32</v>
      </c>
      <c r="N87" s="198">
        <f t="shared" si="6"/>
        <v>1</v>
      </c>
      <c r="O87" s="337">
        <v>4.0</v>
      </c>
      <c r="P87" s="328"/>
      <c r="Q87" s="328">
        <f>Roles!$D$5</f>
        <v>0.44</v>
      </c>
      <c r="R87" s="328">
        <f t="shared" si="7"/>
        <v>1.76</v>
      </c>
      <c r="S87" s="198">
        <f t="shared" si="8"/>
        <v>0</v>
      </c>
      <c r="T87" s="327"/>
      <c r="U87" s="328"/>
      <c r="V87" s="328">
        <f>Roles!$D$8</f>
        <v>0.09</v>
      </c>
      <c r="W87" s="328"/>
      <c r="X87" s="198">
        <f t="shared" si="9"/>
        <v>0</v>
      </c>
      <c r="Y87" s="327"/>
      <c r="Z87" s="328"/>
      <c r="AA87" s="328">
        <f>Roles!$D$8</f>
        <v>0.09</v>
      </c>
      <c r="AB87" s="328"/>
      <c r="AC87" s="198">
        <f t="shared" si="10"/>
        <v>0</v>
      </c>
      <c r="AD87" s="327"/>
      <c r="AE87" s="328"/>
      <c r="AF87" s="328">
        <f>Roles!$D$8</f>
        <v>0.09</v>
      </c>
      <c r="AG87" s="328"/>
      <c r="AH87" s="198">
        <f t="shared" si="11"/>
        <v>0</v>
      </c>
      <c r="AI87" s="327"/>
      <c r="AJ87" s="328"/>
      <c r="AK87" s="328">
        <f>Roles!$D$8</f>
        <v>0.09</v>
      </c>
      <c r="AL87" s="328"/>
      <c r="AM87" s="198">
        <f t="shared" si="12"/>
        <v>0</v>
      </c>
      <c r="AN87" s="327"/>
      <c r="AO87" s="328"/>
      <c r="AP87" s="328">
        <f>Roles!$D$8</f>
        <v>0.09</v>
      </c>
      <c r="AQ87" s="328"/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 t="shared" si="1"/>
        <v>1</v>
      </c>
      <c r="F88" s="80">
        <v>4.0</v>
      </c>
      <c r="G88" s="105">
        <f t="shared" si="2"/>
        <v>0.003445305771</v>
      </c>
      <c r="H88" s="47">
        <f t="shared" ref="H88:H96" si="78">H87+G88</f>
        <v>0.2764857881</v>
      </c>
      <c r="I88" s="187">
        <f t="shared" si="76"/>
        <v>0</v>
      </c>
      <c r="J88" s="172">
        <f t="shared" ref="J88:J96" si="79">J87+I88</f>
        <v>628</v>
      </c>
      <c r="K88" s="115">
        <f t="shared" si="3"/>
        <v>0.6494312306</v>
      </c>
      <c r="L88" s="232">
        <f t="shared" si="77"/>
        <v>0</v>
      </c>
      <c r="M88" s="172">
        <f t="shared" ref="M88:M96" si="80">M87+L88</f>
        <v>276.32</v>
      </c>
      <c r="N88" s="198">
        <f t="shared" si="6"/>
        <v>0</v>
      </c>
      <c r="O88" s="337">
        <v>0.0</v>
      </c>
      <c r="P88" s="328"/>
      <c r="Q88" s="328">
        <f>Roles!$D$5</f>
        <v>0.44</v>
      </c>
      <c r="R88" s="328">
        <f t="shared" si="7"/>
        <v>0</v>
      </c>
      <c r="S88" s="198">
        <f t="shared" si="8"/>
        <v>0</v>
      </c>
      <c r="T88" s="327"/>
      <c r="U88" s="328"/>
      <c r="V88" s="328">
        <f>Roles!$D$8</f>
        <v>0.09</v>
      </c>
      <c r="W88" s="328"/>
      <c r="X88" s="198">
        <f t="shared" si="9"/>
        <v>0</v>
      </c>
      <c r="Y88" s="327"/>
      <c r="Z88" s="328"/>
      <c r="AA88" s="328">
        <f>Roles!$D$8</f>
        <v>0.09</v>
      </c>
      <c r="AB88" s="328"/>
      <c r="AC88" s="198">
        <f t="shared" si="10"/>
        <v>0</v>
      </c>
      <c r="AD88" s="327"/>
      <c r="AE88" s="328"/>
      <c r="AF88" s="328">
        <f>Roles!$D$8</f>
        <v>0.09</v>
      </c>
      <c r="AG88" s="328"/>
      <c r="AH88" s="198">
        <f t="shared" si="11"/>
        <v>0</v>
      </c>
      <c r="AI88" s="327"/>
      <c r="AJ88" s="328"/>
      <c r="AK88" s="328">
        <f>Roles!$D$8</f>
        <v>0.09</v>
      </c>
      <c r="AL88" s="328"/>
      <c r="AM88" s="198">
        <f t="shared" si="12"/>
        <v>0</v>
      </c>
      <c r="AN88" s="327"/>
      <c r="AO88" s="328"/>
      <c r="AP88" s="328">
        <f>Roles!$D$8</f>
        <v>0.09</v>
      </c>
      <c r="AQ88" s="328"/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 t="shared" si="1"/>
        <v>1</v>
      </c>
      <c r="F89" s="80">
        <v>4.0</v>
      </c>
      <c r="G89" s="105">
        <f t="shared" si="2"/>
        <v>0.003445305771</v>
      </c>
      <c r="H89" s="47">
        <f t="shared" si="78"/>
        <v>0.2799310939</v>
      </c>
      <c r="I89" s="187">
        <f t="shared" si="76"/>
        <v>4</v>
      </c>
      <c r="J89" s="172">
        <f t="shared" si="79"/>
        <v>632</v>
      </c>
      <c r="K89" s="115">
        <f t="shared" si="3"/>
        <v>0.6535677353</v>
      </c>
      <c r="L89" s="232">
        <f t="shared" si="77"/>
        <v>1.76</v>
      </c>
      <c r="M89" s="172">
        <f t="shared" si="80"/>
        <v>278.08</v>
      </c>
      <c r="N89" s="198">
        <f t="shared" si="6"/>
        <v>1</v>
      </c>
      <c r="O89" s="337">
        <v>4.0</v>
      </c>
      <c r="P89" s="328"/>
      <c r="Q89" s="328">
        <f>Roles!$D$5</f>
        <v>0.44</v>
      </c>
      <c r="R89" s="328">
        <f t="shared" si="7"/>
        <v>1.76</v>
      </c>
      <c r="S89" s="198">
        <f t="shared" si="8"/>
        <v>0</v>
      </c>
      <c r="T89" s="327"/>
      <c r="U89" s="328"/>
      <c r="V89" s="328">
        <f>Roles!$D$8</f>
        <v>0.09</v>
      </c>
      <c r="W89" s="328"/>
      <c r="X89" s="198">
        <f t="shared" si="9"/>
        <v>0</v>
      </c>
      <c r="Y89" s="327"/>
      <c r="Z89" s="328"/>
      <c r="AA89" s="328">
        <f>Roles!$D$8</f>
        <v>0.09</v>
      </c>
      <c r="AB89" s="328"/>
      <c r="AC89" s="198">
        <f t="shared" si="10"/>
        <v>0</v>
      </c>
      <c r="AD89" s="327"/>
      <c r="AE89" s="328"/>
      <c r="AF89" s="328">
        <f>Roles!$D$8</f>
        <v>0.09</v>
      </c>
      <c r="AG89" s="328"/>
      <c r="AH89" s="198">
        <f t="shared" si="11"/>
        <v>0</v>
      </c>
      <c r="AI89" s="327"/>
      <c r="AJ89" s="328"/>
      <c r="AK89" s="328">
        <f>Roles!$D$8</f>
        <v>0.09</v>
      </c>
      <c r="AL89" s="328"/>
      <c r="AM89" s="198">
        <f t="shared" si="12"/>
        <v>0</v>
      </c>
      <c r="AN89" s="327"/>
      <c r="AO89" s="328"/>
      <c r="AP89" s="328">
        <f>Roles!$D$8</f>
        <v>0.09</v>
      </c>
      <c r="AQ89" s="328"/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 t="shared" si="1"/>
        <v>1</v>
      </c>
      <c r="F90" s="80">
        <v>4.0</v>
      </c>
      <c r="G90" s="105">
        <f t="shared" si="2"/>
        <v>0.003445305771</v>
      </c>
      <c r="H90" s="47">
        <f t="shared" si="78"/>
        <v>0.2833763997</v>
      </c>
      <c r="I90" s="187">
        <f t="shared" si="76"/>
        <v>4</v>
      </c>
      <c r="J90" s="172">
        <f t="shared" si="79"/>
        <v>636</v>
      </c>
      <c r="K90" s="115">
        <f t="shared" si="3"/>
        <v>0.6577042399</v>
      </c>
      <c r="L90" s="232">
        <f t="shared" si="77"/>
        <v>1.76</v>
      </c>
      <c r="M90" s="172">
        <f t="shared" si="80"/>
        <v>279.84</v>
      </c>
      <c r="N90" s="198">
        <f t="shared" si="6"/>
        <v>1</v>
      </c>
      <c r="O90" s="337">
        <v>4.0</v>
      </c>
      <c r="P90" s="328"/>
      <c r="Q90" s="328">
        <f>Roles!$D$5</f>
        <v>0.44</v>
      </c>
      <c r="R90" s="328">
        <f t="shared" si="7"/>
        <v>1.76</v>
      </c>
      <c r="S90" s="198">
        <f t="shared" si="8"/>
        <v>0</v>
      </c>
      <c r="T90" s="327"/>
      <c r="U90" s="328"/>
      <c r="V90" s="328">
        <f>Roles!$D$8</f>
        <v>0.09</v>
      </c>
      <c r="W90" s="328"/>
      <c r="X90" s="198">
        <f t="shared" si="9"/>
        <v>0</v>
      </c>
      <c r="Y90" s="327"/>
      <c r="Z90" s="328"/>
      <c r="AA90" s="328">
        <f>Roles!$D$8</f>
        <v>0.09</v>
      </c>
      <c r="AB90" s="328"/>
      <c r="AC90" s="198">
        <f t="shared" si="10"/>
        <v>0</v>
      </c>
      <c r="AD90" s="327"/>
      <c r="AE90" s="328"/>
      <c r="AF90" s="328">
        <f>Roles!$D$8</f>
        <v>0.09</v>
      </c>
      <c r="AG90" s="328"/>
      <c r="AH90" s="198">
        <f t="shared" si="11"/>
        <v>0</v>
      </c>
      <c r="AI90" s="327"/>
      <c r="AJ90" s="328"/>
      <c r="AK90" s="328">
        <f>Roles!$D$8</f>
        <v>0.09</v>
      </c>
      <c r="AL90" s="328"/>
      <c r="AM90" s="198">
        <f t="shared" si="12"/>
        <v>0</v>
      </c>
      <c r="AN90" s="327"/>
      <c r="AO90" s="328"/>
      <c r="AP90" s="328">
        <f>Roles!$D$8</f>
        <v>0.09</v>
      </c>
      <c r="AQ90" s="328"/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 t="shared" si="1"/>
        <v>2</v>
      </c>
      <c r="F91" s="80">
        <v>6.0</v>
      </c>
      <c r="G91" s="105">
        <f t="shared" si="2"/>
        <v>0.005167958656</v>
      </c>
      <c r="H91" s="47">
        <f t="shared" si="78"/>
        <v>0.2885443583</v>
      </c>
      <c r="I91" s="187">
        <f t="shared" si="76"/>
        <v>6</v>
      </c>
      <c r="J91" s="172">
        <f t="shared" si="79"/>
        <v>642</v>
      </c>
      <c r="K91" s="115">
        <f t="shared" si="3"/>
        <v>0.6639089969</v>
      </c>
      <c r="L91" s="232">
        <f t="shared" si="77"/>
        <v>2.64</v>
      </c>
      <c r="M91" s="172">
        <f t="shared" si="80"/>
        <v>282.48</v>
      </c>
      <c r="N91" s="198">
        <f t="shared" si="6"/>
        <v>1</v>
      </c>
      <c r="O91" s="337">
        <v>6.0</v>
      </c>
      <c r="P91" s="328"/>
      <c r="Q91" s="328">
        <f>Roles!$D$5</f>
        <v>0.44</v>
      </c>
      <c r="R91" s="328">
        <f t="shared" si="7"/>
        <v>2.64</v>
      </c>
      <c r="S91" s="198">
        <f t="shared" si="8"/>
        <v>0</v>
      </c>
      <c r="T91" s="327"/>
      <c r="U91" s="328"/>
      <c r="V91" s="328">
        <f>Roles!$D$8</f>
        <v>0.09</v>
      </c>
      <c r="W91" s="328"/>
      <c r="X91" s="198">
        <f t="shared" si="9"/>
        <v>0</v>
      </c>
      <c r="Y91" s="327"/>
      <c r="Z91" s="328"/>
      <c r="AA91" s="328">
        <f>Roles!$D$8</f>
        <v>0.09</v>
      </c>
      <c r="AB91" s="328"/>
      <c r="AC91" s="198">
        <f t="shared" si="10"/>
        <v>0</v>
      </c>
      <c r="AD91" s="327"/>
      <c r="AE91" s="328"/>
      <c r="AF91" s="328">
        <f>Roles!$D$8</f>
        <v>0.09</v>
      </c>
      <c r="AG91" s="328"/>
      <c r="AH91" s="198">
        <f t="shared" si="11"/>
        <v>0</v>
      </c>
      <c r="AI91" s="327"/>
      <c r="AJ91" s="328"/>
      <c r="AK91" s="328">
        <f>Roles!$D$8</f>
        <v>0.09</v>
      </c>
      <c r="AL91" s="328"/>
      <c r="AM91" s="198">
        <f t="shared" si="12"/>
        <v>0</v>
      </c>
      <c r="AN91" s="327"/>
      <c r="AO91" s="328"/>
      <c r="AP91" s="328">
        <f>Roles!$D$8</f>
        <v>0.09</v>
      </c>
      <c r="AQ91" s="328"/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 t="shared" si="1"/>
        <v>2</v>
      </c>
      <c r="F92" s="80">
        <v>4.0</v>
      </c>
      <c r="G92" s="105">
        <f t="shared" si="2"/>
        <v>0.003445305771</v>
      </c>
      <c r="H92" s="47">
        <f t="shared" si="78"/>
        <v>0.2919896641</v>
      </c>
      <c r="I92" s="187">
        <f t="shared" si="76"/>
        <v>0</v>
      </c>
      <c r="J92" s="172">
        <f t="shared" si="79"/>
        <v>642</v>
      </c>
      <c r="K92" s="115">
        <f t="shared" si="3"/>
        <v>0.6639089969</v>
      </c>
      <c r="L92" s="232">
        <f t="shared" si="77"/>
        <v>0</v>
      </c>
      <c r="M92" s="172">
        <f t="shared" si="80"/>
        <v>282.48</v>
      </c>
      <c r="N92" s="198">
        <f t="shared" si="6"/>
        <v>0</v>
      </c>
      <c r="O92" s="337">
        <v>0.0</v>
      </c>
      <c r="P92" s="328"/>
      <c r="Q92" s="328">
        <f>Roles!$D$5</f>
        <v>0.44</v>
      </c>
      <c r="R92" s="328">
        <f t="shared" si="7"/>
        <v>0</v>
      </c>
      <c r="S92" s="198">
        <f t="shared" si="8"/>
        <v>0</v>
      </c>
      <c r="T92" s="327"/>
      <c r="U92" s="328"/>
      <c r="V92" s="328">
        <f>Roles!$D$8</f>
        <v>0.09</v>
      </c>
      <c r="W92" s="328"/>
      <c r="X92" s="198">
        <f t="shared" si="9"/>
        <v>0</v>
      </c>
      <c r="Y92" s="327"/>
      <c r="Z92" s="328"/>
      <c r="AA92" s="328">
        <f>Roles!$D$8</f>
        <v>0.09</v>
      </c>
      <c r="AB92" s="328"/>
      <c r="AC92" s="198">
        <f t="shared" si="10"/>
        <v>0</v>
      </c>
      <c r="AD92" s="327"/>
      <c r="AE92" s="328"/>
      <c r="AF92" s="328">
        <f>Roles!$D$8</f>
        <v>0.09</v>
      </c>
      <c r="AG92" s="328"/>
      <c r="AH92" s="198">
        <f t="shared" si="11"/>
        <v>0</v>
      </c>
      <c r="AI92" s="327"/>
      <c r="AJ92" s="328"/>
      <c r="AK92" s="328">
        <f>Roles!$D$8</f>
        <v>0.09</v>
      </c>
      <c r="AL92" s="328"/>
      <c r="AM92" s="198">
        <f t="shared" si="12"/>
        <v>0</v>
      </c>
      <c r="AN92" s="327"/>
      <c r="AO92" s="328"/>
      <c r="AP92" s="328">
        <f>Roles!$D$8</f>
        <v>0.09</v>
      </c>
      <c r="AQ92" s="328"/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 t="shared" si="1"/>
        <v>2</v>
      </c>
      <c r="F93" s="80">
        <v>3.0</v>
      </c>
      <c r="G93" s="105">
        <f t="shared" si="2"/>
        <v>0.002583979328</v>
      </c>
      <c r="H93" s="47">
        <f t="shared" si="78"/>
        <v>0.2945736434</v>
      </c>
      <c r="I93" s="187">
        <f t="shared" si="76"/>
        <v>0</v>
      </c>
      <c r="J93" s="172">
        <f t="shared" si="79"/>
        <v>642</v>
      </c>
      <c r="K93" s="115">
        <f t="shared" si="3"/>
        <v>0.6639089969</v>
      </c>
      <c r="L93" s="232">
        <f t="shared" si="77"/>
        <v>0</v>
      </c>
      <c r="M93" s="172">
        <f t="shared" si="80"/>
        <v>282.48</v>
      </c>
      <c r="N93" s="198">
        <f t="shared" si="6"/>
        <v>0</v>
      </c>
      <c r="O93" s="337">
        <v>0.0</v>
      </c>
      <c r="P93" s="328"/>
      <c r="Q93" s="328">
        <f>Roles!$D$5</f>
        <v>0.44</v>
      </c>
      <c r="R93" s="328">
        <f t="shared" si="7"/>
        <v>0</v>
      </c>
      <c r="S93" s="198">
        <f t="shared" si="8"/>
        <v>0</v>
      </c>
      <c r="T93" s="327"/>
      <c r="U93" s="328"/>
      <c r="V93" s="328">
        <f>Roles!$D$8</f>
        <v>0.09</v>
      </c>
      <c r="W93" s="328"/>
      <c r="X93" s="198">
        <f t="shared" si="9"/>
        <v>0</v>
      </c>
      <c r="Y93" s="327"/>
      <c r="Z93" s="328"/>
      <c r="AA93" s="328">
        <f>Roles!$D$8</f>
        <v>0.09</v>
      </c>
      <c r="AB93" s="328"/>
      <c r="AC93" s="198">
        <f t="shared" si="10"/>
        <v>0</v>
      </c>
      <c r="AD93" s="327"/>
      <c r="AE93" s="328"/>
      <c r="AF93" s="328">
        <f>Roles!$D$8</f>
        <v>0.09</v>
      </c>
      <c r="AG93" s="328"/>
      <c r="AH93" s="198">
        <f t="shared" si="11"/>
        <v>0</v>
      </c>
      <c r="AI93" s="327"/>
      <c r="AJ93" s="328"/>
      <c r="AK93" s="328">
        <f>Roles!$D$8</f>
        <v>0.09</v>
      </c>
      <c r="AL93" s="328"/>
      <c r="AM93" s="198">
        <f t="shared" si="12"/>
        <v>0</v>
      </c>
      <c r="AN93" s="327"/>
      <c r="AO93" s="328"/>
      <c r="AP93" s="328">
        <f>Roles!$D$8</f>
        <v>0.09</v>
      </c>
      <c r="AQ93" s="328"/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 t="shared" si="1"/>
        <v>1</v>
      </c>
      <c r="F94" s="80">
        <v>4.0</v>
      </c>
      <c r="G94" s="105">
        <f t="shared" si="2"/>
        <v>0.003445305771</v>
      </c>
      <c r="H94" s="47">
        <f t="shared" si="78"/>
        <v>0.2980189492</v>
      </c>
      <c r="I94" s="187">
        <f t="shared" si="76"/>
        <v>4</v>
      </c>
      <c r="J94" s="172">
        <f t="shared" si="79"/>
        <v>646</v>
      </c>
      <c r="K94" s="115">
        <f t="shared" si="3"/>
        <v>0.6680455016</v>
      </c>
      <c r="L94" s="232">
        <f t="shared" si="77"/>
        <v>1.76</v>
      </c>
      <c r="M94" s="172">
        <f t="shared" si="80"/>
        <v>284.24</v>
      </c>
      <c r="N94" s="198">
        <f t="shared" si="6"/>
        <v>1</v>
      </c>
      <c r="O94" s="337">
        <v>4.0</v>
      </c>
      <c r="P94" s="328"/>
      <c r="Q94" s="328">
        <f>Roles!$D$5</f>
        <v>0.44</v>
      </c>
      <c r="R94" s="328">
        <f t="shared" si="7"/>
        <v>1.76</v>
      </c>
      <c r="S94" s="198">
        <f t="shared" si="8"/>
        <v>0</v>
      </c>
      <c r="T94" s="327"/>
      <c r="U94" s="328"/>
      <c r="V94" s="328">
        <f>Roles!$D$8</f>
        <v>0.09</v>
      </c>
      <c r="W94" s="328"/>
      <c r="X94" s="198">
        <f t="shared" si="9"/>
        <v>0</v>
      </c>
      <c r="Y94" s="327"/>
      <c r="Z94" s="328"/>
      <c r="AA94" s="328">
        <f>Roles!$D$8</f>
        <v>0.09</v>
      </c>
      <c r="AB94" s="328"/>
      <c r="AC94" s="198">
        <f t="shared" si="10"/>
        <v>0</v>
      </c>
      <c r="AD94" s="327"/>
      <c r="AE94" s="328"/>
      <c r="AF94" s="328">
        <f>Roles!$D$8</f>
        <v>0.09</v>
      </c>
      <c r="AG94" s="328"/>
      <c r="AH94" s="198">
        <f t="shared" si="11"/>
        <v>0</v>
      </c>
      <c r="AI94" s="327"/>
      <c r="AJ94" s="328"/>
      <c r="AK94" s="328">
        <f>Roles!$D$8</f>
        <v>0.09</v>
      </c>
      <c r="AL94" s="328"/>
      <c r="AM94" s="198">
        <f t="shared" si="12"/>
        <v>0</v>
      </c>
      <c r="AN94" s="327"/>
      <c r="AO94" s="328"/>
      <c r="AP94" s="328">
        <f>Roles!$D$8</f>
        <v>0.09</v>
      </c>
      <c r="AQ94" s="328"/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 t="shared" si="1"/>
        <v>1</v>
      </c>
      <c r="F95" s="80">
        <v>4.0</v>
      </c>
      <c r="G95" s="105">
        <f t="shared" si="2"/>
        <v>0.003445305771</v>
      </c>
      <c r="H95" s="47">
        <f t="shared" si="78"/>
        <v>0.301464255</v>
      </c>
      <c r="I95" s="187">
        <f t="shared" si="76"/>
        <v>4</v>
      </c>
      <c r="J95" s="172">
        <f t="shared" si="79"/>
        <v>650</v>
      </c>
      <c r="K95" s="115">
        <f t="shared" si="3"/>
        <v>0.6721820062</v>
      </c>
      <c r="L95" s="232">
        <f t="shared" si="77"/>
        <v>1.76</v>
      </c>
      <c r="M95" s="172">
        <f t="shared" si="80"/>
        <v>286</v>
      </c>
      <c r="N95" s="198">
        <f t="shared" si="6"/>
        <v>1</v>
      </c>
      <c r="O95" s="337">
        <v>4.0</v>
      </c>
      <c r="P95" s="328"/>
      <c r="Q95" s="328">
        <f>Roles!$D$5</f>
        <v>0.44</v>
      </c>
      <c r="R95" s="328">
        <f t="shared" si="7"/>
        <v>1.76</v>
      </c>
      <c r="S95" s="198">
        <f t="shared" si="8"/>
        <v>0</v>
      </c>
      <c r="T95" s="327"/>
      <c r="U95" s="328"/>
      <c r="V95" s="328">
        <f>Roles!$D$8</f>
        <v>0.09</v>
      </c>
      <c r="W95" s="328"/>
      <c r="X95" s="198">
        <f t="shared" si="9"/>
        <v>0</v>
      </c>
      <c r="Y95" s="327"/>
      <c r="Z95" s="328"/>
      <c r="AA95" s="328">
        <f>Roles!$D$8</f>
        <v>0.09</v>
      </c>
      <c r="AB95" s="328"/>
      <c r="AC95" s="198">
        <f t="shared" si="10"/>
        <v>0</v>
      </c>
      <c r="AD95" s="327"/>
      <c r="AE95" s="328"/>
      <c r="AF95" s="328">
        <f>Roles!$D$8</f>
        <v>0.09</v>
      </c>
      <c r="AG95" s="328"/>
      <c r="AH95" s="198">
        <f t="shared" si="11"/>
        <v>0</v>
      </c>
      <c r="AI95" s="327"/>
      <c r="AJ95" s="328"/>
      <c r="AK95" s="328">
        <f>Roles!$D$8</f>
        <v>0.09</v>
      </c>
      <c r="AL95" s="328"/>
      <c r="AM95" s="198">
        <f t="shared" si="12"/>
        <v>0</v>
      </c>
      <c r="AN95" s="327"/>
      <c r="AO95" s="328"/>
      <c r="AP95" s="328">
        <f>Roles!$D$8</f>
        <v>0.09</v>
      </c>
      <c r="AQ95" s="328"/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 t="shared" si="1"/>
        <v>1</v>
      </c>
      <c r="F96" s="80">
        <v>5.0</v>
      </c>
      <c r="G96" s="105">
        <f t="shared" si="2"/>
        <v>0.004306632214</v>
      </c>
      <c r="H96" s="47">
        <f t="shared" si="78"/>
        <v>0.3057708872</v>
      </c>
      <c r="I96" s="187">
        <f t="shared" si="76"/>
        <v>0</v>
      </c>
      <c r="J96" s="172">
        <f t="shared" si="79"/>
        <v>650</v>
      </c>
      <c r="K96" s="115">
        <f t="shared" si="3"/>
        <v>0.6721820062</v>
      </c>
      <c r="L96" s="232">
        <f t="shared" si="77"/>
        <v>0</v>
      </c>
      <c r="M96" s="172">
        <f t="shared" si="80"/>
        <v>286</v>
      </c>
      <c r="N96" s="198">
        <f t="shared" si="6"/>
        <v>0</v>
      </c>
      <c r="O96" s="337">
        <v>0.0</v>
      </c>
      <c r="P96" s="328"/>
      <c r="Q96" s="328">
        <f>Roles!$D$5</f>
        <v>0.44</v>
      </c>
      <c r="R96" s="328">
        <f t="shared" si="7"/>
        <v>0</v>
      </c>
      <c r="S96" s="198">
        <f t="shared" si="8"/>
        <v>0</v>
      </c>
      <c r="T96" s="327"/>
      <c r="U96" s="328"/>
      <c r="V96" s="328">
        <f>Roles!$D$8</f>
        <v>0.09</v>
      </c>
      <c r="W96" s="328"/>
      <c r="X96" s="198">
        <f t="shared" si="9"/>
        <v>0</v>
      </c>
      <c r="Y96" s="327"/>
      <c r="Z96" s="328"/>
      <c r="AA96" s="328">
        <f>Roles!$D$8</f>
        <v>0.09</v>
      </c>
      <c r="AB96" s="328"/>
      <c r="AC96" s="198">
        <f t="shared" si="10"/>
        <v>0</v>
      </c>
      <c r="AD96" s="327"/>
      <c r="AE96" s="328"/>
      <c r="AF96" s="328">
        <f>Roles!$D$8</f>
        <v>0.09</v>
      </c>
      <c r="AG96" s="328"/>
      <c r="AH96" s="198">
        <f t="shared" si="11"/>
        <v>0</v>
      </c>
      <c r="AI96" s="327"/>
      <c r="AJ96" s="328"/>
      <c r="AK96" s="328">
        <f>Roles!$D$8</f>
        <v>0.09</v>
      </c>
      <c r="AL96" s="328"/>
      <c r="AM96" s="198">
        <f t="shared" si="12"/>
        <v>0</v>
      </c>
      <c r="AN96" s="327"/>
      <c r="AO96" s="328"/>
      <c r="AP96" s="328">
        <f>Roles!$D$8</f>
        <v>0.09</v>
      </c>
      <c r="AQ96" s="328"/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 t="shared" si="1"/>
        <v>1</v>
      </c>
      <c r="F97" s="246">
        <f>SUM(F98:F101)</f>
        <v>11</v>
      </c>
      <c r="G97" s="105">
        <f t="shared" si="2"/>
        <v>0.00947459087</v>
      </c>
      <c r="H97" s="226">
        <f>H101</f>
        <v>0.315245478</v>
      </c>
      <c r="I97" s="247">
        <f>SUM(I98:I101)</f>
        <v>41</v>
      </c>
      <c r="J97" s="247">
        <f>J101</f>
        <v>691</v>
      </c>
      <c r="K97" s="167">
        <f t="shared" si="3"/>
        <v>0.7145811789</v>
      </c>
      <c r="L97" s="247">
        <f>SUM(L98:L101)</f>
        <v>18.04</v>
      </c>
      <c r="M97" s="247">
        <f>M101</f>
        <v>304.04</v>
      </c>
      <c r="N97" s="198">
        <f t="shared" si="6"/>
        <v>0</v>
      </c>
      <c r="O97" s="328"/>
      <c r="P97" s="328"/>
      <c r="Q97" s="328">
        <f>Roles!$D$5</f>
        <v>0.44</v>
      </c>
      <c r="R97" s="328">
        <f t="shared" si="7"/>
        <v>0</v>
      </c>
      <c r="S97" s="198">
        <f t="shared" si="8"/>
        <v>0</v>
      </c>
      <c r="T97" s="327"/>
      <c r="U97" s="328"/>
      <c r="V97" s="328">
        <f>Roles!$D$8</f>
        <v>0.09</v>
      </c>
      <c r="W97" s="328"/>
      <c r="X97" s="198">
        <f t="shared" si="9"/>
        <v>0</v>
      </c>
      <c r="Y97" s="327"/>
      <c r="Z97" s="328"/>
      <c r="AA97" s="328">
        <f>Roles!$D$8</f>
        <v>0.09</v>
      </c>
      <c r="AB97" s="328"/>
      <c r="AC97" s="198">
        <f t="shared" si="10"/>
        <v>0</v>
      </c>
      <c r="AD97" s="327"/>
      <c r="AE97" s="328"/>
      <c r="AF97" s="328">
        <f>Roles!$D$8</f>
        <v>0.09</v>
      </c>
      <c r="AG97" s="328"/>
      <c r="AH97" s="198">
        <f t="shared" si="11"/>
        <v>0</v>
      </c>
      <c r="AI97" s="327"/>
      <c r="AJ97" s="328"/>
      <c r="AK97" s="328">
        <f>Roles!$D$8</f>
        <v>0.09</v>
      </c>
      <c r="AL97" s="328"/>
      <c r="AM97" s="198">
        <f t="shared" si="12"/>
        <v>0</v>
      </c>
      <c r="AN97" s="327"/>
      <c r="AO97" s="328"/>
      <c r="AP97" s="328">
        <f>Roles!$D$8</f>
        <v>0.09</v>
      </c>
      <c r="AQ97" s="328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 t="shared" si="1"/>
        <v>1</v>
      </c>
      <c r="F98" s="80">
        <v>4.0</v>
      </c>
      <c r="G98" s="105">
        <f t="shared" si="2"/>
        <v>0.003445305771</v>
      </c>
      <c r="H98" s="47">
        <f>H96+G98</f>
        <v>0.3092161929</v>
      </c>
      <c r="I98" s="187">
        <f t="shared" ref="I98:I101" si="81">O98+T98+Y98+AD98+AI98+AN98</f>
        <v>20</v>
      </c>
      <c r="J98" s="172">
        <f>J96+I98</f>
        <v>670</v>
      </c>
      <c r="K98" s="115">
        <f t="shared" si="3"/>
        <v>0.6928645295</v>
      </c>
      <c r="L98" s="232">
        <f t="shared" ref="L98:L101" si="82">R98+W98+AB98+AG98+AL98+AQ98</f>
        <v>8.8</v>
      </c>
      <c r="M98" s="172">
        <f>M96+L98</f>
        <v>294.8</v>
      </c>
      <c r="N98" s="198">
        <f t="shared" si="6"/>
        <v>5</v>
      </c>
      <c r="O98" s="337">
        <v>20.0</v>
      </c>
      <c r="P98" s="328"/>
      <c r="Q98" s="328">
        <f>Roles!$D$5</f>
        <v>0.44</v>
      </c>
      <c r="R98" s="328">
        <f t="shared" si="7"/>
        <v>8.8</v>
      </c>
      <c r="S98" s="198">
        <f t="shared" si="8"/>
        <v>0</v>
      </c>
      <c r="T98" s="327"/>
      <c r="U98" s="328"/>
      <c r="V98" s="328">
        <f>Roles!$D$8</f>
        <v>0.09</v>
      </c>
      <c r="W98" s="328"/>
      <c r="X98" s="198">
        <f t="shared" si="9"/>
        <v>0</v>
      </c>
      <c r="Y98" s="327"/>
      <c r="Z98" s="328"/>
      <c r="AA98" s="328">
        <f>Roles!$D$8</f>
        <v>0.09</v>
      </c>
      <c r="AB98" s="328"/>
      <c r="AC98" s="198">
        <f t="shared" si="10"/>
        <v>0</v>
      </c>
      <c r="AD98" s="327"/>
      <c r="AE98" s="328"/>
      <c r="AF98" s="328">
        <f>Roles!$D$8</f>
        <v>0.09</v>
      </c>
      <c r="AG98" s="328"/>
      <c r="AH98" s="198">
        <f t="shared" si="11"/>
        <v>0</v>
      </c>
      <c r="AI98" s="327"/>
      <c r="AJ98" s="328"/>
      <c r="AK98" s="328">
        <f>Roles!$D$8</f>
        <v>0.09</v>
      </c>
      <c r="AL98" s="328"/>
      <c r="AM98" s="198">
        <f t="shared" si="12"/>
        <v>0</v>
      </c>
      <c r="AN98" s="327"/>
      <c r="AO98" s="328"/>
      <c r="AP98" s="328">
        <f>Roles!$D$8</f>
        <v>0.09</v>
      </c>
      <c r="AQ98" s="328"/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 t="shared" si="1"/>
        <v>1</v>
      </c>
      <c r="F99" s="80">
        <v>2.0</v>
      </c>
      <c r="G99" s="105">
        <f t="shared" si="2"/>
        <v>0.001722652885</v>
      </c>
      <c r="H99" s="47">
        <f t="shared" ref="H99:H101" si="83">H98+G99</f>
        <v>0.3109388458</v>
      </c>
      <c r="I99" s="187">
        <f t="shared" si="81"/>
        <v>0</v>
      </c>
      <c r="J99" s="172">
        <f t="shared" ref="J99:J101" si="84">J98+I99</f>
        <v>670</v>
      </c>
      <c r="K99" s="115">
        <f t="shared" si="3"/>
        <v>0.6928645295</v>
      </c>
      <c r="L99" s="232">
        <f t="shared" si="82"/>
        <v>0</v>
      </c>
      <c r="M99" s="172">
        <f t="shared" ref="M99:M101" si="85">M98+L99</f>
        <v>294.8</v>
      </c>
      <c r="N99" s="198">
        <f t="shared" si="6"/>
        <v>0</v>
      </c>
      <c r="O99" s="337">
        <v>0.0</v>
      </c>
      <c r="P99" s="328"/>
      <c r="Q99" s="328">
        <f>Roles!$D$5</f>
        <v>0.44</v>
      </c>
      <c r="R99" s="328">
        <f t="shared" si="7"/>
        <v>0</v>
      </c>
      <c r="S99" s="198">
        <f t="shared" si="8"/>
        <v>0</v>
      </c>
      <c r="T99" s="327"/>
      <c r="U99" s="328"/>
      <c r="V99" s="328">
        <f>Roles!$D$8</f>
        <v>0.09</v>
      </c>
      <c r="W99" s="328"/>
      <c r="X99" s="198">
        <f t="shared" si="9"/>
        <v>0</v>
      </c>
      <c r="Y99" s="327"/>
      <c r="Z99" s="328"/>
      <c r="AA99" s="328">
        <f>Roles!$D$8</f>
        <v>0.09</v>
      </c>
      <c r="AB99" s="328"/>
      <c r="AC99" s="198">
        <f t="shared" si="10"/>
        <v>0</v>
      </c>
      <c r="AD99" s="327"/>
      <c r="AE99" s="328"/>
      <c r="AF99" s="328">
        <f>Roles!$D$8</f>
        <v>0.09</v>
      </c>
      <c r="AG99" s="328"/>
      <c r="AH99" s="198">
        <f t="shared" si="11"/>
        <v>0</v>
      </c>
      <c r="AI99" s="327"/>
      <c r="AJ99" s="328"/>
      <c r="AK99" s="328">
        <f>Roles!$D$8</f>
        <v>0.09</v>
      </c>
      <c r="AL99" s="328"/>
      <c r="AM99" s="198">
        <f t="shared" si="12"/>
        <v>0</v>
      </c>
      <c r="AN99" s="327"/>
      <c r="AO99" s="328"/>
      <c r="AP99" s="328">
        <f>Roles!$D$8</f>
        <v>0.09</v>
      </c>
      <c r="AQ99" s="328"/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 t="shared" si="1"/>
        <v>1</v>
      </c>
      <c r="F100" s="80">
        <v>4.0</v>
      </c>
      <c r="G100" s="105">
        <f t="shared" si="2"/>
        <v>0.003445305771</v>
      </c>
      <c r="H100" s="47">
        <f t="shared" si="83"/>
        <v>0.3143841516</v>
      </c>
      <c r="I100" s="187">
        <f t="shared" si="81"/>
        <v>20</v>
      </c>
      <c r="J100" s="172">
        <f t="shared" si="84"/>
        <v>690</v>
      </c>
      <c r="K100" s="115">
        <f t="shared" si="3"/>
        <v>0.7135470527</v>
      </c>
      <c r="L100" s="232">
        <f t="shared" si="82"/>
        <v>8.8</v>
      </c>
      <c r="M100" s="172">
        <f t="shared" si="85"/>
        <v>303.6</v>
      </c>
      <c r="N100" s="198">
        <f t="shared" si="6"/>
        <v>5</v>
      </c>
      <c r="O100" s="337">
        <v>20.0</v>
      </c>
      <c r="P100" s="328"/>
      <c r="Q100" s="328">
        <f>Roles!$D$5</f>
        <v>0.44</v>
      </c>
      <c r="R100" s="328">
        <f t="shared" si="7"/>
        <v>8.8</v>
      </c>
      <c r="S100" s="198">
        <f t="shared" si="8"/>
        <v>0</v>
      </c>
      <c r="T100" s="327"/>
      <c r="U100" s="328"/>
      <c r="V100" s="328">
        <f>Roles!$D$8</f>
        <v>0.09</v>
      </c>
      <c r="W100" s="328"/>
      <c r="X100" s="198">
        <f t="shared" si="9"/>
        <v>0</v>
      </c>
      <c r="Y100" s="327"/>
      <c r="Z100" s="328"/>
      <c r="AA100" s="328">
        <f>Roles!$D$8</f>
        <v>0.09</v>
      </c>
      <c r="AB100" s="328"/>
      <c r="AC100" s="198">
        <f t="shared" si="10"/>
        <v>0</v>
      </c>
      <c r="AD100" s="327"/>
      <c r="AE100" s="328"/>
      <c r="AF100" s="328">
        <f>Roles!$D$8</f>
        <v>0.09</v>
      </c>
      <c r="AG100" s="328"/>
      <c r="AH100" s="198">
        <f t="shared" si="11"/>
        <v>0</v>
      </c>
      <c r="AI100" s="327"/>
      <c r="AJ100" s="328"/>
      <c r="AK100" s="328">
        <f>Roles!$D$8</f>
        <v>0.09</v>
      </c>
      <c r="AL100" s="328"/>
      <c r="AM100" s="198">
        <f t="shared" si="12"/>
        <v>0</v>
      </c>
      <c r="AN100" s="327"/>
      <c r="AO100" s="328"/>
      <c r="AP100" s="328">
        <f>Roles!$D$8</f>
        <v>0.09</v>
      </c>
      <c r="AQ100" s="328"/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 t="shared" si="1"/>
        <v>1</v>
      </c>
      <c r="F101" s="80">
        <v>1.0</v>
      </c>
      <c r="G101" s="105">
        <f t="shared" si="2"/>
        <v>0.0008613264427</v>
      </c>
      <c r="H101" s="47">
        <f t="shared" si="83"/>
        <v>0.315245478</v>
      </c>
      <c r="I101" s="187">
        <f t="shared" si="81"/>
        <v>1</v>
      </c>
      <c r="J101" s="172">
        <f t="shared" si="84"/>
        <v>691</v>
      </c>
      <c r="K101" s="115">
        <f t="shared" si="3"/>
        <v>0.7145811789</v>
      </c>
      <c r="L101" s="232">
        <f t="shared" si="82"/>
        <v>0.44</v>
      </c>
      <c r="M101" s="172">
        <f t="shared" si="85"/>
        <v>304.04</v>
      </c>
      <c r="N101" s="198">
        <f t="shared" si="6"/>
        <v>1</v>
      </c>
      <c r="O101" s="337">
        <v>1.0</v>
      </c>
      <c r="P101" s="328"/>
      <c r="Q101" s="328">
        <f>Roles!$D$5</f>
        <v>0.44</v>
      </c>
      <c r="R101" s="328">
        <f t="shared" si="7"/>
        <v>0.44</v>
      </c>
      <c r="S101" s="198">
        <f t="shared" si="8"/>
        <v>0</v>
      </c>
      <c r="T101" s="327"/>
      <c r="U101" s="328"/>
      <c r="V101" s="328">
        <f>Roles!$D$8</f>
        <v>0.09</v>
      </c>
      <c r="W101" s="328"/>
      <c r="X101" s="198">
        <f t="shared" si="9"/>
        <v>0</v>
      </c>
      <c r="Y101" s="327"/>
      <c r="Z101" s="328"/>
      <c r="AA101" s="328">
        <f>Roles!$D$8</f>
        <v>0.09</v>
      </c>
      <c r="AB101" s="328"/>
      <c r="AC101" s="198">
        <f t="shared" si="10"/>
        <v>0</v>
      </c>
      <c r="AD101" s="327"/>
      <c r="AE101" s="328"/>
      <c r="AF101" s="328">
        <f>Roles!$D$8</f>
        <v>0.09</v>
      </c>
      <c r="AG101" s="328"/>
      <c r="AH101" s="198">
        <f t="shared" si="11"/>
        <v>0</v>
      </c>
      <c r="AI101" s="327"/>
      <c r="AJ101" s="328"/>
      <c r="AK101" s="328">
        <f>Roles!$D$8</f>
        <v>0.09</v>
      </c>
      <c r="AL101" s="328"/>
      <c r="AM101" s="198">
        <f t="shared" si="12"/>
        <v>0</v>
      </c>
      <c r="AN101" s="327"/>
      <c r="AO101" s="328"/>
      <c r="AP101" s="328">
        <f>Roles!$D$8</f>
        <v>0.09</v>
      </c>
      <c r="AQ101" s="328"/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 t="shared" si="1"/>
        <v>3</v>
      </c>
      <c r="F102" s="246">
        <f>SUM(F103:F109)</f>
        <v>29</v>
      </c>
      <c r="G102" s="105">
        <f t="shared" si="2"/>
        <v>0.02497846684</v>
      </c>
      <c r="H102" s="226">
        <f>H109</f>
        <v>0.3402239449</v>
      </c>
      <c r="I102" s="247">
        <f>SUM(I103:I109)</f>
        <v>19</v>
      </c>
      <c r="J102" s="247">
        <f>J109</f>
        <v>710</v>
      </c>
      <c r="K102" s="167">
        <f t="shared" si="3"/>
        <v>0.734229576</v>
      </c>
      <c r="L102" s="247">
        <f>SUM(L103:L109)</f>
        <v>8.36</v>
      </c>
      <c r="M102" s="247">
        <f>M109</f>
        <v>312.4</v>
      </c>
      <c r="N102" s="198">
        <f t="shared" si="6"/>
        <v>0</v>
      </c>
      <c r="O102" s="328"/>
      <c r="P102" s="328"/>
      <c r="Q102" s="328">
        <f>Roles!$D$5</f>
        <v>0.44</v>
      </c>
      <c r="R102" s="328">
        <f t="shared" si="7"/>
        <v>0</v>
      </c>
      <c r="S102" s="198">
        <f t="shared" si="8"/>
        <v>0</v>
      </c>
      <c r="T102" s="327"/>
      <c r="U102" s="328"/>
      <c r="V102" s="328">
        <f>Roles!$D$8</f>
        <v>0.09</v>
      </c>
      <c r="W102" s="328"/>
      <c r="X102" s="198">
        <f t="shared" si="9"/>
        <v>0</v>
      </c>
      <c r="Y102" s="327"/>
      <c r="Z102" s="328"/>
      <c r="AA102" s="328">
        <f>Roles!$D$8</f>
        <v>0.09</v>
      </c>
      <c r="AB102" s="328"/>
      <c r="AC102" s="198">
        <f t="shared" si="10"/>
        <v>0</v>
      </c>
      <c r="AD102" s="327"/>
      <c r="AE102" s="328"/>
      <c r="AF102" s="328">
        <f>Roles!$D$8</f>
        <v>0.09</v>
      </c>
      <c r="AG102" s="328"/>
      <c r="AH102" s="198">
        <f t="shared" si="11"/>
        <v>0</v>
      </c>
      <c r="AI102" s="327"/>
      <c r="AJ102" s="328"/>
      <c r="AK102" s="328">
        <f>Roles!$D$8</f>
        <v>0.09</v>
      </c>
      <c r="AL102" s="328"/>
      <c r="AM102" s="198">
        <f t="shared" si="12"/>
        <v>0</v>
      </c>
      <c r="AN102" s="327"/>
      <c r="AO102" s="328"/>
      <c r="AP102" s="328">
        <f>Roles!$D$8</f>
        <v>0.09</v>
      </c>
      <c r="AQ102" s="328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 t="shared" si="1"/>
        <v>3</v>
      </c>
      <c r="F103" s="80">
        <v>8.0</v>
      </c>
      <c r="G103" s="105">
        <f t="shared" si="2"/>
        <v>0.006890611542</v>
      </c>
      <c r="H103" s="47">
        <f>H101+G103</f>
        <v>0.3221360896</v>
      </c>
      <c r="I103" s="187">
        <f t="shared" ref="I103:I109" si="86">O103+T103+Y103+AD103+AI103+AN103</f>
        <v>0</v>
      </c>
      <c r="J103" s="172">
        <f>J101+I103</f>
        <v>691</v>
      </c>
      <c r="K103" s="115">
        <f t="shared" si="3"/>
        <v>0.7145811789</v>
      </c>
      <c r="L103" s="232">
        <f t="shared" ref="L103:L109" si="87">R103+W103+AB103+AG103+AL103+AQ103</f>
        <v>0</v>
      </c>
      <c r="M103" s="172">
        <f>M101+L103</f>
        <v>304.04</v>
      </c>
      <c r="N103" s="198">
        <f t="shared" si="6"/>
        <v>0</v>
      </c>
      <c r="O103" s="337">
        <v>0.0</v>
      </c>
      <c r="P103" s="328"/>
      <c r="Q103" s="328">
        <f>Roles!$D$5</f>
        <v>0.44</v>
      </c>
      <c r="R103" s="328">
        <f t="shared" si="7"/>
        <v>0</v>
      </c>
      <c r="S103" s="198">
        <f t="shared" si="8"/>
        <v>0</v>
      </c>
      <c r="T103" s="327"/>
      <c r="U103" s="328"/>
      <c r="V103" s="328">
        <f>Roles!$D$8</f>
        <v>0.09</v>
      </c>
      <c r="W103" s="328"/>
      <c r="X103" s="198">
        <f t="shared" si="9"/>
        <v>0</v>
      </c>
      <c r="Y103" s="327"/>
      <c r="Z103" s="328"/>
      <c r="AA103" s="328">
        <f>Roles!$D$8</f>
        <v>0.09</v>
      </c>
      <c r="AB103" s="328"/>
      <c r="AC103" s="198">
        <f t="shared" si="10"/>
        <v>0</v>
      </c>
      <c r="AD103" s="327"/>
      <c r="AE103" s="328"/>
      <c r="AF103" s="328">
        <f>Roles!$D$8</f>
        <v>0.09</v>
      </c>
      <c r="AG103" s="328"/>
      <c r="AH103" s="198">
        <f t="shared" si="11"/>
        <v>0</v>
      </c>
      <c r="AI103" s="327"/>
      <c r="AJ103" s="328"/>
      <c r="AK103" s="328">
        <f>Roles!$D$8</f>
        <v>0.09</v>
      </c>
      <c r="AL103" s="328"/>
      <c r="AM103" s="198">
        <f t="shared" si="12"/>
        <v>0</v>
      </c>
      <c r="AN103" s="327"/>
      <c r="AO103" s="328"/>
      <c r="AP103" s="328">
        <f>Roles!$D$8</f>
        <v>0.09</v>
      </c>
      <c r="AQ103" s="328"/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 t="shared" si="1"/>
        <v>1</v>
      </c>
      <c r="F104" s="80">
        <v>4.0</v>
      </c>
      <c r="G104" s="105">
        <f t="shared" si="2"/>
        <v>0.003445305771</v>
      </c>
      <c r="H104" s="47">
        <f t="shared" ref="H104:H109" si="88">H103+G104</f>
        <v>0.3255813953</v>
      </c>
      <c r="I104" s="187">
        <f t="shared" si="86"/>
        <v>0</v>
      </c>
      <c r="J104" s="172">
        <f t="shared" ref="J104:J109" si="89">J103+I104</f>
        <v>691</v>
      </c>
      <c r="K104" s="115">
        <f t="shared" si="3"/>
        <v>0.7145811789</v>
      </c>
      <c r="L104" s="232">
        <f t="shared" si="87"/>
        <v>0</v>
      </c>
      <c r="M104" s="172">
        <f t="shared" ref="M104:M109" si="90">M103+L104</f>
        <v>304.04</v>
      </c>
      <c r="N104" s="198">
        <f t="shared" si="6"/>
        <v>0</v>
      </c>
      <c r="O104" s="337">
        <v>0.0</v>
      </c>
      <c r="P104" s="328"/>
      <c r="Q104" s="328">
        <f>Roles!$D$5</f>
        <v>0.44</v>
      </c>
      <c r="R104" s="328">
        <f t="shared" si="7"/>
        <v>0</v>
      </c>
      <c r="S104" s="198">
        <f t="shared" si="8"/>
        <v>0</v>
      </c>
      <c r="T104" s="327"/>
      <c r="U104" s="328"/>
      <c r="V104" s="328">
        <f>Roles!$D$8</f>
        <v>0.09</v>
      </c>
      <c r="W104" s="328"/>
      <c r="X104" s="198">
        <f t="shared" si="9"/>
        <v>0</v>
      </c>
      <c r="Y104" s="327"/>
      <c r="Z104" s="328"/>
      <c r="AA104" s="328">
        <f>Roles!$D$8</f>
        <v>0.09</v>
      </c>
      <c r="AB104" s="328"/>
      <c r="AC104" s="198">
        <f t="shared" si="10"/>
        <v>0</v>
      </c>
      <c r="AD104" s="327"/>
      <c r="AE104" s="328"/>
      <c r="AF104" s="328">
        <f>Roles!$D$8</f>
        <v>0.09</v>
      </c>
      <c r="AG104" s="328"/>
      <c r="AH104" s="198">
        <f t="shared" si="11"/>
        <v>0</v>
      </c>
      <c r="AI104" s="327"/>
      <c r="AJ104" s="328"/>
      <c r="AK104" s="328">
        <f>Roles!$D$8</f>
        <v>0.09</v>
      </c>
      <c r="AL104" s="328"/>
      <c r="AM104" s="198">
        <f t="shared" si="12"/>
        <v>0</v>
      </c>
      <c r="AN104" s="327"/>
      <c r="AO104" s="328"/>
      <c r="AP104" s="328">
        <f>Roles!$D$8</f>
        <v>0.09</v>
      </c>
      <c r="AQ104" s="328"/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 t="shared" si="1"/>
        <v>1</v>
      </c>
      <c r="F105" s="80">
        <v>3.0</v>
      </c>
      <c r="G105" s="105">
        <f t="shared" si="2"/>
        <v>0.002583979328</v>
      </c>
      <c r="H105" s="47">
        <f t="shared" si="88"/>
        <v>0.3281653747</v>
      </c>
      <c r="I105" s="187">
        <f t="shared" si="86"/>
        <v>15</v>
      </c>
      <c r="J105" s="172">
        <f t="shared" si="89"/>
        <v>706</v>
      </c>
      <c r="K105" s="115">
        <f t="shared" si="3"/>
        <v>0.7300930714</v>
      </c>
      <c r="L105" s="232">
        <f t="shared" si="87"/>
        <v>6.6</v>
      </c>
      <c r="M105" s="172">
        <f t="shared" si="90"/>
        <v>310.64</v>
      </c>
      <c r="N105" s="198">
        <f t="shared" si="6"/>
        <v>5</v>
      </c>
      <c r="O105" s="337">
        <v>15.0</v>
      </c>
      <c r="P105" s="328"/>
      <c r="Q105" s="328">
        <f>Roles!$D$5</f>
        <v>0.44</v>
      </c>
      <c r="R105" s="328">
        <f t="shared" si="7"/>
        <v>6.6</v>
      </c>
      <c r="S105" s="198">
        <f t="shared" si="8"/>
        <v>0</v>
      </c>
      <c r="T105" s="327"/>
      <c r="U105" s="328"/>
      <c r="V105" s="328">
        <f>Roles!$D$8</f>
        <v>0.09</v>
      </c>
      <c r="W105" s="328"/>
      <c r="X105" s="198">
        <f t="shared" si="9"/>
        <v>0</v>
      </c>
      <c r="Y105" s="327"/>
      <c r="Z105" s="328"/>
      <c r="AA105" s="328">
        <f>Roles!$D$8</f>
        <v>0.09</v>
      </c>
      <c r="AB105" s="328"/>
      <c r="AC105" s="198">
        <f t="shared" si="10"/>
        <v>0</v>
      </c>
      <c r="AD105" s="327"/>
      <c r="AE105" s="328"/>
      <c r="AF105" s="328">
        <f>Roles!$D$8</f>
        <v>0.09</v>
      </c>
      <c r="AG105" s="328"/>
      <c r="AH105" s="198">
        <f t="shared" si="11"/>
        <v>0</v>
      </c>
      <c r="AI105" s="327"/>
      <c r="AJ105" s="328"/>
      <c r="AK105" s="328">
        <f>Roles!$D$8</f>
        <v>0.09</v>
      </c>
      <c r="AL105" s="328"/>
      <c r="AM105" s="198">
        <f t="shared" si="12"/>
        <v>0</v>
      </c>
      <c r="AN105" s="327"/>
      <c r="AO105" s="328"/>
      <c r="AP105" s="328">
        <f>Roles!$D$8</f>
        <v>0.09</v>
      </c>
      <c r="AQ105" s="328"/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 t="shared" si="1"/>
        <v>1</v>
      </c>
      <c r="F106" s="80">
        <v>4.0</v>
      </c>
      <c r="G106" s="105">
        <f t="shared" si="2"/>
        <v>0.003445305771</v>
      </c>
      <c r="H106" s="47">
        <f t="shared" si="88"/>
        <v>0.3316106804</v>
      </c>
      <c r="I106" s="187">
        <f t="shared" si="86"/>
        <v>0</v>
      </c>
      <c r="J106" s="172">
        <f t="shared" si="89"/>
        <v>706</v>
      </c>
      <c r="K106" s="115">
        <f t="shared" si="3"/>
        <v>0.7300930714</v>
      </c>
      <c r="L106" s="232">
        <f t="shared" si="87"/>
        <v>0</v>
      </c>
      <c r="M106" s="172">
        <f t="shared" si="90"/>
        <v>310.64</v>
      </c>
      <c r="N106" s="198">
        <f t="shared" si="6"/>
        <v>0</v>
      </c>
      <c r="O106" s="337">
        <v>0.0</v>
      </c>
      <c r="P106" s="328"/>
      <c r="Q106" s="328">
        <f>Roles!$D$5</f>
        <v>0.44</v>
      </c>
      <c r="R106" s="328">
        <f t="shared" si="7"/>
        <v>0</v>
      </c>
      <c r="S106" s="198">
        <f t="shared" si="8"/>
        <v>0</v>
      </c>
      <c r="T106" s="327"/>
      <c r="U106" s="328"/>
      <c r="V106" s="328">
        <f>Roles!$D$8</f>
        <v>0.09</v>
      </c>
      <c r="W106" s="328"/>
      <c r="X106" s="198">
        <f t="shared" si="9"/>
        <v>0</v>
      </c>
      <c r="Y106" s="327"/>
      <c r="Z106" s="328"/>
      <c r="AA106" s="328">
        <f>Roles!$D$8</f>
        <v>0.09</v>
      </c>
      <c r="AB106" s="328"/>
      <c r="AC106" s="198">
        <f t="shared" si="10"/>
        <v>0</v>
      </c>
      <c r="AD106" s="327"/>
      <c r="AE106" s="328"/>
      <c r="AF106" s="328">
        <f>Roles!$D$8</f>
        <v>0.09</v>
      </c>
      <c r="AG106" s="328"/>
      <c r="AH106" s="198">
        <f t="shared" si="11"/>
        <v>0</v>
      </c>
      <c r="AI106" s="327"/>
      <c r="AJ106" s="328"/>
      <c r="AK106" s="328">
        <f>Roles!$D$8</f>
        <v>0.09</v>
      </c>
      <c r="AL106" s="328"/>
      <c r="AM106" s="198">
        <f t="shared" si="12"/>
        <v>0</v>
      </c>
      <c r="AN106" s="327"/>
      <c r="AO106" s="328"/>
      <c r="AP106" s="328">
        <f>Roles!$D$8</f>
        <v>0.09</v>
      </c>
      <c r="AQ106" s="328"/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 t="shared" si="1"/>
        <v>1</v>
      </c>
      <c r="F107" s="80">
        <v>4.0</v>
      </c>
      <c r="G107" s="105">
        <f t="shared" si="2"/>
        <v>0.003445305771</v>
      </c>
      <c r="H107" s="47">
        <f t="shared" si="88"/>
        <v>0.3350559862</v>
      </c>
      <c r="I107" s="187">
        <f t="shared" si="86"/>
        <v>4</v>
      </c>
      <c r="J107" s="172">
        <f t="shared" si="89"/>
        <v>710</v>
      </c>
      <c r="K107" s="115">
        <f t="shared" si="3"/>
        <v>0.734229576</v>
      </c>
      <c r="L107" s="232">
        <f t="shared" si="87"/>
        <v>1.76</v>
      </c>
      <c r="M107" s="172">
        <f t="shared" si="90"/>
        <v>312.4</v>
      </c>
      <c r="N107" s="198">
        <f t="shared" si="6"/>
        <v>1</v>
      </c>
      <c r="O107" s="337">
        <v>4.0</v>
      </c>
      <c r="P107" s="328"/>
      <c r="Q107" s="328">
        <f>Roles!$D$5</f>
        <v>0.44</v>
      </c>
      <c r="R107" s="328">
        <f t="shared" si="7"/>
        <v>1.76</v>
      </c>
      <c r="S107" s="198">
        <f t="shared" si="8"/>
        <v>0</v>
      </c>
      <c r="T107" s="327"/>
      <c r="U107" s="328"/>
      <c r="V107" s="328">
        <f>Roles!$D$8</f>
        <v>0.09</v>
      </c>
      <c r="W107" s="328"/>
      <c r="X107" s="198">
        <f t="shared" si="9"/>
        <v>0</v>
      </c>
      <c r="Y107" s="327"/>
      <c r="Z107" s="328"/>
      <c r="AA107" s="328">
        <f>Roles!$D$8</f>
        <v>0.09</v>
      </c>
      <c r="AB107" s="328"/>
      <c r="AC107" s="198">
        <f t="shared" si="10"/>
        <v>0</v>
      </c>
      <c r="AD107" s="327"/>
      <c r="AE107" s="328"/>
      <c r="AF107" s="328">
        <f>Roles!$D$8</f>
        <v>0.09</v>
      </c>
      <c r="AG107" s="328"/>
      <c r="AH107" s="198">
        <f t="shared" si="11"/>
        <v>0</v>
      </c>
      <c r="AI107" s="327"/>
      <c r="AJ107" s="328"/>
      <c r="AK107" s="328">
        <f>Roles!$D$8</f>
        <v>0.09</v>
      </c>
      <c r="AL107" s="328"/>
      <c r="AM107" s="198">
        <f t="shared" si="12"/>
        <v>0</v>
      </c>
      <c r="AN107" s="327"/>
      <c r="AO107" s="328"/>
      <c r="AP107" s="328">
        <f>Roles!$D$8</f>
        <v>0.09</v>
      </c>
      <c r="AQ107" s="328"/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 t="shared" si="1"/>
        <v>1</v>
      </c>
      <c r="F108" s="80">
        <v>3.0</v>
      </c>
      <c r="G108" s="105">
        <f t="shared" si="2"/>
        <v>0.002583979328</v>
      </c>
      <c r="H108" s="47">
        <f t="shared" si="88"/>
        <v>0.3376399655</v>
      </c>
      <c r="I108" s="187">
        <f t="shared" si="86"/>
        <v>0</v>
      </c>
      <c r="J108" s="172">
        <f t="shared" si="89"/>
        <v>710</v>
      </c>
      <c r="K108" s="115">
        <f t="shared" si="3"/>
        <v>0.734229576</v>
      </c>
      <c r="L108" s="232">
        <f t="shared" si="87"/>
        <v>0</v>
      </c>
      <c r="M108" s="172">
        <f t="shared" si="90"/>
        <v>312.4</v>
      </c>
      <c r="N108" s="198">
        <f t="shared" si="6"/>
        <v>0</v>
      </c>
      <c r="O108" s="337">
        <v>0.0</v>
      </c>
      <c r="P108" s="328"/>
      <c r="Q108" s="328">
        <f>Roles!$D$5</f>
        <v>0.44</v>
      </c>
      <c r="R108" s="328">
        <f t="shared" si="7"/>
        <v>0</v>
      </c>
      <c r="S108" s="198">
        <f t="shared" si="8"/>
        <v>0</v>
      </c>
      <c r="T108" s="327"/>
      <c r="U108" s="328"/>
      <c r="V108" s="328">
        <f>Roles!$D$8</f>
        <v>0.09</v>
      </c>
      <c r="W108" s="328"/>
      <c r="X108" s="198">
        <f t="shared" si="9"/>
        <v>0</v>
      </c>
      <c r="Y108" s="327"/>
      <c r="Z108" s="328"/>
      <c r="AA108" s="328">
        <f>Roles!$D$8</f>
        <v>0.09</v>
      </c>
      <c r="AB108" s="328"/>
      <c r="AC108" s="198">
        <f t="shared" si="10"/>
        <v>0</v>
      </c>
      <c r="AD108" s="327"/>
      <c r="AE108" s="328"/>
      <c r="AF108" s="328">
        <f>Roles!$D$8</f>
        <v>0.09</v>
      </c>
      <c r="AG108" s="328"/>
      <c r="AH108" s="198">
        <f t="shared" si="11"/>
        <v>0</v>
      </c>
      <c r="AI108" s="327"/>
      <c r="AJ108" s="328"/>
      <c r="AK108" s="328">
        <f>Roles!$D$8</f>
        <v>0.09</v>
      </c>
      <c r="AL108" s="328"/>
      <c r="AM108" s="198">
        <f t="shared" si="12"/>
        <v>0</v>
      </c>
      <c r="AN108" s="327"/>
      <c r="AO108" s="328"/>
      <c r="AP108" s="328">
        <f>Roles!$D$8</f>
        <v>0.09</v>
      </c>
      <c r="AQ108" s="328"/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 t="shared" si="1"/>
        <v>1</v>
      </c>
      <c r="F109" s="80">
        <v>3.0</v>
      </c>
      <c r="G109" s="105">
        <f t="shared" si="2"/>
        <v>0.002583979328</v>
      </c>
      <c r="H109" s="47">
        <f t="shared" si="88"/>
        <v>0.3402239449</v>
      </c>
      <c r="I109" s="187">
        <f t="shared" si="86"/>
        <v>0</v>
      </c>
      <c r="J109" s="172">
        <f t="shared" si="89"/>
        <v>710</v>
      </c>
      <c r="K109" s="115">
        <f t="shared" si="3"/>
        <v>0.734229576</v>
      </c>
      <c r="L109" s="232">
        <f t="shared" si="87"/>
        <v>0</v>
      </c>
      <c r="M109" s="172">
        <f t="shared" si="90"/>
        <v>312.4</v>
      </c>
      <c r="N109" s="198">
        <f t="shared" si="6"/>
        <v>0</v>
      </c>
      <c r="O109" s="337">
        <v>0.0</v>
      </c>
      <c r="P109" s="328"/>
      <c r="Q109" s="328">
        <f>Roles!$D$5</f>
        <v>0.44</v>
      </c>
      <c r="R109" s="328">
        <f t="shared" si="7"/>
        <v>0</v>
      </c>
      <c r="S109" s="198">
        <f t="shared" si="8"/>
        <v>0</v>
      </c>
      <c r="T109" s="327"/>
      <c r="U109" s="328"/>
      <c r="V109" s="328">
        <f>Roles!$D$8</f>
        <v>0.09</v>
      </c>
      <c r="W109" s="328"/>
      <c r="X109" s="198">
        <f t="shared" si="9"/>
        <v>0</v>
      </c>
      <c r="Y109" s="327"/>
      <c r="Z109" s="328"/>
      <c r="AA109" s="328">
        <f>Roles!$D$8</f>
        <v>0.09</v>
      </c>
      <c r="AB109" s="328"/>
      <c r="AC109" s="198">
        <f t="shared" si="10"/>
        <v>0</v>
      </c>
      <c r="AD109" s="327"/>
      <c r="AE109" s="328"/>
      <c r="AF109" s="328">
        <f>Roles!$D$8</f>
        <v>0.09</v>
      </c>
      <c r="AG109" s="328"/>
      <c r="AH109" s="198">
        <f t="shared" si="11"/>
        <v>0</v>
      </c>
      <c r="AI109" s="327"/>
      <c r="AJ109" s="328"/>
      <c r="AK109" s="328">
        <f>Roles!$D$8</f>
        <v>0.09</v>
      </c>
      <c r="AL109" s="328"/>
      <c r="AM109" s="198">
        <f t="shared" si="12"/>
        <v>0</v>
      </c>
      <c r="AN109" s="327"/>
      <c r="AO109" s="328"/>
      <c r="AP109" s="328">
        <f>Roles!$D$8</f>
        <v>0.09</v>
      </c>
      <c r="AQ109" s="328"/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 t="shared" si="1"/>
        <v>6</v>
      </c>
      <c r="F110" s="246">
        <f>SUM(F111:F116)</f>
        <v>21</v>
      </c>
      <c r="G110" s="105">
        <f t="shared" si="2"/>
        <v>0.0180878553</v>
      </c>
      <c r="H110" s="226">
        <f>H116</f>
        <v>0.3583118002</v>
      </c>
      <c r="I110" s="247">
        <f>SUM(I111:I116)</f>
        <v>20</v>
      </c>
      <c r="J110" s="247">
        <f>J116</f>
        <v>730</v>
      </c>
      <c r="K110" s="167">
        <f t="shared" si="3"/>
        <v>0.7549120993</v>
      </c>
      <c r="L110" s="247">
        <f>SUM(L111:L116)</f>
        <v>8.8</v>
      </c>
      <c r="M110" s="247">
        <f>M116</f>
        <v>321.2</v>
      </c>
      <c r="N110" s="198">
        <f t="shared" si="6"/>
        <v>0</v>
      </c>
      <c r="O110" s="328"/>
      <c r="P110" s="328"/>
      <c r="Q110" s="328">
        <f>Roles!$D$5</f>
        <v>0.44</v>
      </c>
      <c r="R110" s="328">
        <f t="shared" si="7"/>
        <v>0</v>
      </c>
      <c r="S110" s="198">
        <f t="shared" si="8"/>
        <v>0</v>
      </c>
      <c r="T110" s="327"/>
      <c r="U110" s="328"/>
      <c r="V110" s="328">
        <f>Roles!$D$8</f>
        <v>0.09</v>
      </c>
      <c r="W110" s="328"/>
      <c r="X110" s="198">
        <f t="shared" si="9"/>
        <v>0</v>
      </c>
      <c r="Y110" s="327"/>
      <c r="Z110" s="328"/>
      <c r="AA110" s="328">
        <f>Roles!$D$8</f>
        <v>0.09</v>
      </c>
      <c r="AB110" s="328"/>
      <c r="AC110" s="198">
        <f t="shared" si="10"/>
        <v>0</v>
      </c>
      <c r="AD110" s="327"/>
      <c r="AE110" s="328"/>
      <c r="AF110" s="328">
        <f>Roles!$D$8</f>
        <v>0.09</v>
      </c>
      <c r="AG110" s="328"/>
      <c r="AH110" s="198">
        <f t="shared" si="11"/>
        <v>0</v>
      </c>
      <c r="AI110" s="327"/>
      <c r="AJ110" s="328"/>
      <c r="AK110" s="328">
        <f>Roles!$D$8</f>
        <v>0.09</v>
      </c>
      <c r="AL110" s="328"/>
      <c r="AM110" s="198">
        <f t="shared" si="12"/>
        <v>0</v>
      </c>
      <c r="AN110" s="327"/>
      <c r="AO110" s="328"/>
      <c r="AP110" s="328">
        <f>Roles!$D$8</f>
        <v>0.09</v>
      </c>
      <c r="AQ110" s="328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 t="shared" si="1"/>
        <v>5</v>
      </c>
      <c r="F111" s="80">
        <v>8.0</v>
      </c>
      <c r="G111" s="105">
        <f t="shared" si="2"/>
        <v>0.006890611542</v>
      </c>
      <c r="H111" s="47">
        <f>H109+G111</f>
        <v>0.3471145564</v>
      </c>
      <c r="I111" s="187">
        <f t="shared" ref="I111:I116" si="91">O111+T111+Y111+AD111+AI111+AN111</f>
        <v>8</v>
      </c>
      <c r="J111" s="172">
        <f>J109+I111</f>
        <v>718</v>
      </c>
      <c r="K111" s="115">
        <f t="shared" si="3"/>
        <v>0.7425025853</v>
      </c>
      <c r="L111" s="232">
        <f t="shared" ref="L111:L116" si="92">R111+W111+AB111+AG111+AL111+AQ111</f>
        <v>3.52</v>
      </c>
      <c r="M111" s="172">
        <f>M109+L111</f>
        <v>315.92</v>
      </c>
      <c r="N111" s="198">
        <f t="shared" si="6"/>
        <v>1</v>
      </c>
      <c r="O111" s="337">
        <v>8.0</v>
      </c>
      <c r="P111" s="328"/>
      <c r="Q111" s="328">
        <f>Roles!$D$5</f>
        <v>0.44</v>
      </c>
      <c r="R111" s="328">
        <f t="shared" si="7"/>
        <v>3.52</v>
      </c>
      <c r="S111" s="198">
        <f t="shared" si="8"/>
        <v>0</v>
      </c>
      <c r="T111" s="327"/>
      <c r="U111" s="328"/>
      <c r="V111" s="328">
        <f>Roles!$D$8</f>
        <v>0.09</v>
      </c>
      <c r="W111" s="328"/>
      <c r="X111" s="198">
        <f t="shared" si="9"/>
        <v>0</v>
      </c>
      <c r="Y111" s="327"/>
      <c r="Z111" s="328"/>
      <c r="AA111" s="328">
        <f>Roles!$D$8</f>
        <v>0.09</v>
      </c>
      <c r="AB111" s="328"/>
      <c r="AC111" s="198">
        <f t="shared" si="10"/>
        <v>0</v>
      </c>
      <c r="AD111" s="327"/>
      <c r="AE111" s="328"/>
      <c r="AF111" s="328">
        <f>Roles!$D$8</f>
        <v>0.09</v>
      </c>
      <c r="AG111" s="328"/>
      <c r="AH111" s="198">
        <f t="shared" si="11"/>
        <v>0</v>
      </c>
      <c r="AI111" s="327"/>
      <c r="AJ111" s="328"/>
      <c r="AK111" s="328">
        <f>Roles!$D$8</f>
        <v>0.09</v>
      </c>
      <c r="AL111" s="328"/>
      <c r="AM111" s="198">
        <f t="shared" si="12"/>
        <v>0</v>
      </c>
      <c r="AN111" s="327"/>
      <c r="AO111" s="328"/>
      <c r="AP111" s="328">
        <f>Roles!$D$8</f>
        <v>0.09</v>
      </c>
      <c r="AQ111" s="328"/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 t="shared" si="1"/>
        <v>1</v>
      </c>
      <c r="F112" s="80">
        <v>3.0</v>
      </c>
      <c r="G112" s="105">
        <f t="shared" si="2"/>
        <v>0.002583979328</v>
      </c>
      <c r="H112" s="47">
        <f t="shared" ref="H112:H116" si="93">H111+G112</f>
        <v>0.3496985357</v>
      </c>
      <c r="I112" s="187">
        <f t="shared" si="91"/>
        <v>6</v>
      </c>
      <c r="J112" s="172">
        <f t="shared" ref="J112:J116" si="94">J111+I112</f>
        <v>724</v>
      </c>
      <c r="K112" s="115">
        <f t="shared" si="3"/>
        <v>0.7487073423</v>
      </c>
      <c r="L112" s="232">
        <f t="shared" si="92"/>
        <v>2.64</v>
      </c>
      <c r="M112" s="172">
        <f t="shared" ref="M112:M116" si="95">M111+L112</f>
        <v>318.56</v>
      </c>
      <c r="N112" s="198">
        <f t="shared" si="6"/>
        <v>2</v>
      </c>
      <c r="O112" s="337">
        <v>6.0</v>
      </c>
      <c r="P112" s="328"/>
      <c r="Q112" s="328">
        <f>Roles!$D$5</f>
        <v>0.44</v>
      </c>
      <c r="R112" s="328">
        <f t="shared" si="7"/>
        <v>2.64</v>
      </c>
      <c r="S112" s="198">
        <f t="shared" si="8"/>
        <v>0</v>
      </c>
      <c r="T112" s="327"/>
      <c r="U112" s="328"/>
      <c r="V112" s="328">
        <f>Roles!$D$8</f>
        <v>0.09</v>
      </c>
      <c r="W112" s="328"/>
      <c r="X112" s="198">
        <f t="shared" si="9"/>
        <v>0</v>
      </c>
      <c r="Y112" s="327"/>
      <c r="Z112" s="328"/>
      <c r="AA112" s="328">
        <f>Roles!$D$8</f>
        <v>0.09</v>
      </c>
      <c r="AB112" s="328"/>
      <c r="AC112" s="198">
        <f t="shared" si="10"/>
        <v>0</v>
      </c>
      <c r="AD112" s="327"/>
      <c r="AE112" s="328"/>
      <c r="AF112" s="328">
        <f>Roles!$D$8</f>
        <v>0.09</v>
      </c>
      <c r="AG112" s="328"/>
      <c r="AH112" s="198">
        <f t="shared" si="11"/>
        <v>0</v>
      </c>
      <c r="AI112" s="327"/>
      <c r="AJ112" s="328"/>
      <c r="AK112" s="328">
        <f>Roles!$D$8</f>
        <v>0.09</v>
      </c>
      <c r="AL112" s="328"/>
      <c r="AM112" s="198">
        <f t="shared" si="12"/>
        <v>0</v>
      </c>
      <c r="AN112" s="327"/>
      <c r="AO112" s="328"/>
      <c r="AP112" s="328">
        <f>Roles!$D$8</f>
        <v>0.09</v>
      </c>
      <c r="AQ112" s="328"/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 t="shared" si="1"/>
        <v>1</v>
      </c>
      <c r="F113" s="80">
        <v>3.0</v>
      </c>
      <c r="G113" s="105">
        <f t="shared" si="2"/>
        <v>0.002583979328</v>
      </c>
      <c r="H113" s="47">
        <f t="shared" si="93"/>
        <v>0.3522825151</v>
      </c>
      <c r="I113" s="187">
        <f t="shared" si="91"/>
        <v>0</v>
      </c>
      <c r="J113" s="172">
        <f t="shared" si="94"/>
        <v>724</v>
      </c>
      <c r="K113" s="115">
        <f t="shared" si="3"/>
        <v>0.7487073423</v>
      </c>
      <c r="L113" s="232">
        <f t="shared" si="92"/>
        <v>0</v>
      </c>
      <c r="M113" s="172">
        <f t="shared" si="95"/>
        <v>318.56</v>
      </c>
      <c r="N113" s="198">
        <f t="shared" si="6"/>
        <v>0</v>
      </c>
      <c r="O113" s="337">
        <v>0.0</v>
      </c>
      <c r="P113" s="328"/>
      <c r="Q113" s="328">
        <f>Roles!$D$5</f>
        <v>0.44</v>
      </c>
      <c r="R113" s="328">
        <f t="shared" si="7"/>
        <v>0</v>
      </c>
      <c r="S113" s="198">
        <f t="shared" si="8"/>
        <v>0</v>
      </c>
      <c r="T113" s="327"/>
      <c r="U113" s="328"/>
      <c r="V113" s="328">
        <f>Roles!$D$8</f>
        <v>0.09</v>
      </c>
      <c r="W113" s="328"/>
      <c r="X113" s="198">
        <f t="shared" si="9"/>
        <v>0</v>
      </c>
      <c r="Y113" s="327"/>
      <c r="Z113" s="328"/>
      <c r="AA113" s="328">
        <f>Roles!$D$8</f>
        <v>0.09</v>
      </c>
      <c r="AB113" s="328"/>
      <c r="AC113" s="198">
        <f t="shared" si="10"/>
        <v>0</v>
      </c>
      <c r="AD113" s="327"/>
      <c r="AE113" s="328"/>
      <c r="AF113" s="328">
        <f>Roles!$D$8</f>
        <v>0.09</v>
      </c>
      <c r="AG113" s="328"/>
      <c r="AH113" s="198">
        <f t="shared" si="11"/>
        <v>0</v>
      </c>
      <c r="AI113" s="327"/>
      <c r="AJ113" s="328"/>
      <c r="AK113" s="328">
        <f>Roles!$D$8</f>
        <v>0.09</v>
      </c>
      <c r="AL113" s="328"/>
      <c r="AM113" s="198">
        <f t="shared" si="12"/>
        <v>0</v>
      </c>
      <c r="AN113" s="327"/>
      <c r="AO113" s="328"/>
      <c r="AP113" s="328">
        <f>Roles!$D$8</f>
        <v>0.09</v>
      </c>
      <c r="AQ113" s="328"/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 t="shared" si="1"/>
        <v>1</v>
      </c>
      <c r="F114" s="80">
        <v>4.0</v>
      </c>
      <c r="G114" s="105">
        <f t="shared" si="2"/>
        <v>0.003445305771</v>
      </c>
      <c r="H114" s="47">
        <f t="shared" si="93"/>
        <v>0.3557278208</v>
      </c>
      <c r="I114" s="187">
        <f t="shared" si="91"/>
        <v>4</v>
      </c>
      <c r="J114" s="172">
        <f t="shared" si="94"/>
        <v>728</v>
      </c>
      <c r="K114" s="115">
        <f t="shared" si="3"/>
        <v>0.7528438469</v>
      </c>
      <c r="L114" s="232">
        <f t="shared" si="92"/>
        <v>1.76</v>
      </c>
      <c r="M114" s="172">
        <f t="shared" si="95"/>
        <v>320.32</v>
      </c>
      <c r="N114" s="198">
        <f t="shared" si="6"/>
        <v>1</v>
      </c>
      <c r="O114" s="337">
        <v>4.0</v>
      </c>
      <c r="P114" s="328"/>
      <c r="Q114" s="328">
        <f>Roles!$D$5</f>
        <v>0.44</v>
      </c>
      <c r="R114" s="328">
        <f t="shared" si="7"/>
        <v>1.76</v>
      </c>
      <c r="S114" s="198">
        <f t="shared" si="8"/>
        <v>0</v>
      </c>
      <c r="T114" s="327"/>
      <c r="U114" s="328"/>
      <c r="V114" s="328">
        <f>Roles!$D$8</f>
        <v>0.09</v>
      </c>
      <c r="W114" s="328"/>
      <c r="X114" s="198">
        <f t="shared" si="9"/>
        <v>0</v>
      </c>
      <c r="Y114" s="327"/>
      <c r="Z114" s="328"/>
      <c r="AA114" s="328">
        <f>Roles!$D$8</f>
        <v>0.09</v>
      </c>
      <c r="AB114" s="328"/>
      <c r="AC114" s="198">
        <f t="shared" si="10"/>
        <v>0</v>
      </c>
      <c r="AD114" s="327"/>
      <c r="AE114" s="328"/>
      <c r="AF114" s="328">
        <f>Roles!$D$8</f>
        <v>0.09</v>
      </c>
      <c r="AG114" s="328"/>
      <c r="AH114" s="198">
        <f t="shared" si="11"/>
        <v>0</v>
      </c>
      <c r="AI114" s="327"/>
      <c r="AJ114" s="328"/>
      <c r="AK114" s="328">
        <f>Roles!$D$8</f>
        <v>0.09</v>
      </c>
      <c r="AL114" s="328"/>
      <c r="AM114" s="198">
        <f t="shared" si="12"/>
        <v>0</v>
      </c>
      <c r="AN114" s="327"/>
      <c r="AO114" s="328"/>
      <c r="AP114" s="328">
        <f>Roles!$D$8</f>
        <v>0.09</v>
      </c>
      <c r="AQ114" s="328"/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 t="shared" si="1"/>
        <v>1</v>
      </c>
      <c r="F115" s="80">
        <v>2.0</v>
      </c>
      <c r="G115" s="105">
        <f t="shared" si="2"/>
        <v>0.001722652885</v>
      </c>
      <c r="H115" s="47">
        <f t="shared" si="93"/>
        <v>0.3574504737</v>
      </c>
      <c r="I115" s="187">
        <f t="shared" si="91"/>
        <v>2</v>
      </c>
      <c r="J115" s="172">
        <f t="shared" si="94"/>
        <v>730</v>
      </c>
      <c r="K115" s="115">
        <f t="shared" si="3"/>
        <v>0.7549120993</v>
      </c>
      <c r="L115" s="232">
        <f t="shared" si="92"/>
        <v>0.88</v>
      </c>
      <c r="M115" s="172">
        <f t="shared" si="95"/>
        <v>321.2</v>
      </c>
      <c r="N115" s="198">
        <f t="shared" si="6"/>
        <v>1</v>
      </c>
      <c r="O115" s="337">
        <v>2.0</v>
      </c>
      <c r="P115" s="328"/>
      <c r="Q115" s="328">
        <f>Roles!$D$5</f>
        <v>0.44</v>
      </c>
      <c r="R115" s="328">
        <f t="shared" si="7"/>
        <v>0.88</v>
      </c>
      <c r="S115" s="198">
        <f t="shared" si="8"/>
        <v>0</v>
      </c>
      <c r="T115" s="327"/>
      <c r="U115" s="328"/>
      <c r="V115" s="328">
        <f>Roles!$D$8</f>
        <v>0.09</v>
      </c>
      <c r="W115" s="328"/>
      <c r="X115" s="198">
        <f t="shared" si="9"/>
        <v>0</v>
      </c>
      <c r="Y115" s="327"/>
      <c r="Z115" s="328"/>
      <c r="AA115" s="328">
        <f>Roles!$D$8</f>
        <v>0.09</v>
      </c>
      <c r="AB115" s="328"/>
      <c r="AC115" s="198">
        <f t="shared" si="10"/>
        <v>0</v>
      </c>
      <c r="AD115" s="327"/>
      <c r="AE115" s="328"/>
      <c r="AF115" s="328">
        <f>Roles!$D$8</f>
        <v>0.09</v>
      </c>
      <c r="AG115" s="328"/>
      <c r="AH115" s="198">
        <f t="shared" si="11"/>
        <v>0</v>
      </c>
      <c r="AI115" s="327"/>
      <c r="AJ115" s="328"/>
      <c r="AK115" s="328">
        <f>Roles!$D$8</f>
        <v>0.09</v>
      </c>
      <c r="AL115" s="328"/>
      <c r="AM115" s="198">
        <f t="shared" si="12"/>
        <v>0</v>
      </c>
      <c r="AN115" s="327"/>
      <c r="AO115" s="328"/>
      <c r="AP115" s="328">
        <f>Roles!$D$8</f>
        <v>0.09</v>
      </c>
      <c r="AQ115" s="328"/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 t="shared" si="1"/>
        <v>1</v>
      </c>
      <c r="F116" s="80">
        <v>1.0</v>
      </c>
      <c r="G116" s="105">
        <f t="shared" si="2"/>
        <v>0.0008613264427</v>
      </c>
      <c r="H116" s="47">
        <f t="shared" si="93"/>
        <v>0.3583118002</v>
      </c>
      <c r="I116" s="187">
        <f t="shared" si="91"/>
        <v>0</v>
      </c>
      <c r="J116" s="172">
        <f t="shared" si="94"/>
        <v>730</v>
      </c>
      <c r="K116" s="115">
        <f t="shared" si="3"/>
        <v>0.7549120993</v>
      </c>
      <c r="L116" s="232">
        <f t="shared" si="92"/>
        <v>0</v>
      </c>
      <c r="M116" s="172">
        <f t="shared" si="95"/>
        <v>321.2</v>
      </c>
      <c r="N116" s="198">
        <f t="shared" si="6"/>
        <v>0</v>
      </c>
      <c r="O116" s="337">
        <v>0.0</v>
      </c>
      <c r="P116" s="328"/>
      <c r="Q116" s="328">
        <f>Roles!$D$5</f>
        <v>0.44</v>
      </c>
      <c r="R116" s="328">
        <f t="shared" si="7"/>
        <v>0</v>
      </c>
      <c r="S116" s="198">
        <f t="shared" si="8"/>
        <v>0</v>
      </c>
      <c r="T116" s="327"/>
      <c r="U116" s="328"/>
      <c r="V116" s="328">
        <f>Roles!$D$8</f>
        <v>0.09</v>
      </c>
      <c r="W116" s="328"/>
      <c r="X116" s="198">
        <f t="shared" si="9"/>
        <v>0</v>
      </c>
      <c r="Y116" s="327"/>
      <c r="Z116" s="328"/>
      <c r="AA116" s="328">
        <f>Roles!$D$8</f>
        <v>0.09</v>
      </c>
      <c r="AB116" s="328"/>
      <c r="AC116" s="198">
        <f t="shared" si="10"/>
        <v>0</v>
      </c>
      <c r="AD116" s="327"/>
      <c r="AE116" s="328"/>
      <c r="AF116" s="328">
        <f>Roles!$D$8</f>
        <v>0.09</v>
      </c>
      <c r="AG116" s="328"/>
      <c r="AH116" s="198">
        <f t="shared" si="11"/>
        <v>0</v>
      </c>
      <c r="AI116" s="327"/>
      <c r="AJ116" s="328"/>
      <c r="AK116" s="328">
        <f>Roles!$D$8</f>
        <v>0.09</v>
      </c>
      <c r="AL116" s="328"/>
      <c r="AM116" s="198">
        <f t="shared" si="12"/>
        <v>0</v>
      </c>
      <c r="AN116" s="327"/>
      <c r="AO116" s="328"/>
      <c r="AP116" s="328">
        <f>Roles!$D$8</f>
        <v>0.09</v>
      </c>
      <c r="AQ116" s="328"/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 t="shared" si="1"/>
        <v>4</v>
      </c>
      <c r="F117" s="246">
        <f>SUM(F118:F121)</f>
        <v>17</v>
      </c>
      <c r="G117" s="105">
        <f t="shared" si="2"/>
        <v>0.01464254953</v>
      </c>
      <c r="H117" s="226">
        <f>H121</f>
        <v>0.3729543497</v>
      </c>
      <c r="I117" s="247">
        <f>SUM(I118:I121)</f>
        <v>6</v>
      </c>
      <c r="J117" s="247">
        <f>J121</f>
        <v>736</v>
      </c>
      <c r="K117" s="167">
        <f t="shared" si="3"/>
        <v>0.7611168563</v>
      </c>
      <c r="L117" s="247">
        <f>SUM(L118:L121)</f>
        <v>2.64</v>
      </c>
      <c r="M117" s="247">
        <f>M121</f>
        <v>323.84</v>
      </c>
      <c r="N117" s="198">
        <f t="shared" si="6"/>
        <v>0</v>
      </c>
      <c r="O117" s="328"/>
      <c r="P117" s="328"/>
      <c r="Q117" s="328">
        <f>Roles!$D$5</f>
        <v>0.44</v>
      </c>
      <c r="R117" s="328">
        <f t="shared" si="7"/>
        <v>0</v>
      </c>
      <c r="S117" s="198">
        <f t="shared" si="8"/>
        <v>0</v>
      </c>
      <c r="T117" s="327"/>
      <c r="U117" s="328"/>
      <c r="V117" s="328">
        <f>Roles!$D$8</f>
        <v>0.09</v>
      </c>
      <c r="W117" s="328"/>
      <c r="X117" s="198">
        <f t="shared" si="9"/>
        <v>0</v>
      </c>
      <c r="Y117" s="327"/>
      <c r="Z117" s="328"/>
      <c r="AA117" s="328">
        <f>Roles!$D$8</f>
        <v>0.09</v>
      </c>
      <c r="AB117" s="328"/>
      <c r="AC117" s="198">
        <f t="shared" si="10"/>
        <v>0</v>
      </c>
      <c r="AD117" s="327"/>
      <c r="AE117" s="328"/>
      <c r="AF117" s="328">
        <f>Roles!$D$8</f>
        <v>0.09</v>
      </c>
      <c r="AG117" s="328"/>
      <c r="AH117" s="198">
        <f t="shared" si="11"/>
        <v>0</v>
      </c>
      <c r="AI117" s="327"/>
      <c r="AJ117" s="328"/>
      <c r="AK117" s="328">
        <f>Roles!$D$8</f>
        <v>0.09</v>
      </c>
      <c r="AL117" s="328"/>
      <c r="AM117" s="198">
        <f t="shared" si="12"/>
        <v>0</v>
      </c>
      <c r="AN117" s="327"/>
      <c r="AO117" s="328"/>
      <c r="AP117" s="328">
        <f>Roles!$D$8</f>
        <v>0.09</v>
      </c>
      <c r="AQ117" s="328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 t="shared" si="1"/>
        <v>2</v>
      </c>
      <c r="F118" s="80">
        <v>4.0</v>
      </c>
      <c r="G118" s="105">
        <f t="shared" si="2"/>
        <v>0.003445305771</v>
      </c>
      <c r="H118" s="47">
        <f>H116+G118</f>
        <v>0.3617571059</v>
      </c>
      <c r="I118" s="187">
        <f t="shared" ref="I118:I121" si="96">O118+T118+Y118+AD118+AI118+AN118</f>
        <v>0</v>
      </c>
      <c r="J118" s="172">
        <f>J116+I118</f>
        <v>730</v>
      </c>
      <c r="K118" s="115">
        <f t="shared" si="3"/>
        <v>0.7549120993</v>
      </c>
      <c r="L118" s="232">
        <f t="shared" ref="L118:L121" si="97">R118+W118+AB118+AG118+AL118+AQ118</f>
        <v>0</v>
      </c>
      <c r="M118" s="172">
        <f>M116+L118</f>
        <v>321.2</v>
      </c>
      <c r="N118" s="198">
        <f t="shared" si="6"/>
        <v>0</v>
      </c>
      <c r="O118" s="337">
        <v>0.0</v>
      </c>
      <c r="P118" s="328"/>
      <c r="Q118" s="328">
        <f>Roles!$D$5</f>
        <v>0.44</v>
      </c>
      <c r="R118" s="328">
        <f t="shared" si="7"/>
        <v>0</v>
      </c>
      <c r="S118" s="198">
        <f t="shared" si="8"/>
        <v>0</v>
      </c>
      <c r="T118" s="327"/>
      <c r="U118" s="328"/>
      <c r="V118" s="328">
        <f>Roles!$D$8</f>
        <v>0.09</v>
      </c>
      <c r="W118" s="328"/>
      <c r="X118" s="198">
        <f t="shared" si="9"/>
        <v>0</v>
      </c>
      <c r="Y118" s="327"/>
      <c r="Z118" s="328"/>
      <c r="AA118" s="328">
        <f>Roles!$D$8</f>
        <v>0.09</v>
      </c>
      <c r="AB118" s="328"/>
      <c r="AC118" s="198">
        <f t="shared" si="10"/>
        <v>0</v>
      </c>
      <c r="AD118" s="327"/>
      <c r="AE118" s="328"/>
      <c r="AF118" s="328">
        <f>Roles!$D$8</f>
        <v>0.09</v>
      </c>
      <c r="AG118" s="328"/>
      <c r="AH118" s="198">
        <f t="shared" si="11"/>
        <v>0</v>
      </c>
      <c r="AI118" s="327"/>
      <c r="AJ118" s="328"/>
      <c r="AK118" s="328">
        <f>Roles!$D$8</f>
        <v>0.09</v>
      </c>
      <c r="AL118" s="328"/>
      <c r="AM118" s="198">
        <f t="shared" si="12"/>
        <v>0</v>
      </c>
      <c r="AN118" s="327"/>
      <c r="AO118" s="328"/>
      <c r="AP118" s="328">
        <f>Roles!$D$8</f>
        <v>0.09</v>
      </c>
      <c r="AQ118" s="328"/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 t="shared" si="1"/>
        <v>1</v>
      </c>
      <c r="F119" s="80">
        <v>3.0</v>
      </c>
      <c r="G119" s="105">
        <f t="shared" si="2"/>
        <v>0.002583979328</v>
      </c>
      <c r="H119" s="47">
        <f t="shared" ref="H119:H121" si="98">H118+G119</f>
        <v>0.3643410853</v>
      </c>
      <c r="I119" s="187">
        <f t="shared" si="96"/>
        <v>0</v>
      </c>
      <c r="J119" s="172">
        <f t="shared" ref="J119:J121" si="99">J118+I119</f>
        <v>730</v>
      </c>
      <c r="K119" s="115">
        <f t="shared" si="3"/>
        <v>0.7549120993</v>
      </c>
      <c r="L119" s="232">
        <f t="shared" si="97"/>
        <v>0</v>
      </c>
      <c r="M119" s="172">
        <f t="shared" ref="M119:M121" si="100">M118+L119</f>
        <v>321.2</v>
      </c>
      <c r="N119" s="198">
        <f t="shared" si="6"/>
        <v>0</v>
      </c>
      <c r="O119" s="337">
        <v>0.0</v>
      </c>
      <c r="P119" s="328"/>
      <c r="Q119" s="328">
        <f>Roles!$D$5</f>
        <v>0.44</v>
      </c>
      <c r="R119" s="328">
        <f t="shared" si="7"/>
        <v>0</v>
      </c>
      <c r="S119" s="198">
        <f t="shared" si="8"/>
        <v>0</v>
      </c>
      <c r="T119" s="327"/>
      <c r="U119" s="328"/>
      <c r="V119" s="328">
        <f>Roles!$D$8</f>
        <v>0.09</v>
      </c>
      <c r="W119" s="328"/>
      <c r="X119" s="198">
        <f t="shared" si="9"/>
        <v>0</v>
      </c>
      <c r="Y119" s="327"/>
      <c r="Z119" s="328"/>
      <c r="AA119" s="328">
        <f>Roles!$D$8</f>
        <v>0.09</v>
      </c>
      <c r="AB119" s="328"/>
      <c r="AC119" s="198">
        <f t="shared" si="10"/>
        <v>0</v>
      </c>
      <c r="AD119" s="327"/>
      <c r="AE119" s="328"/>
      <c r="AF119" s="328">
        <f>Roles!$D$8</f>
        <v>0.09</v>
      </c>
      <c r="AG119" s="328"/>
      <c r="AH119" s="198">
        <f t="shared" si="11"/>
        <v>0</v>
      </c>
      <c r="AI119" s="327"/>
      <c r="AJ119" s="328"/>
      <c r="AK119" s="328">
        <f>Roles!$D$8</f>
        <v>0.09</v>
      </c>
      <c r="AL119" s="328"/>
      <c r="AM119" s="198">
        <f t="shared" si="12"/>
        <v>0</v>
      </c>
      <c r="AN119" s="327"/>
      <c r="AO119" s="328"/>
      <c r="AP119" s="328">
        <f>Roles!$D$8</f>
        <v>0.09</v>
      </c>
      <c r="AQ119" s="328"/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 t="shared" si="1"/>
        <v>3</v>
      </c>
      <c r="F120" s="80">
        <v>6.0</v>
      </c>
      <c r="G120" s="105">
        <f t="shared" si="2"/>
        <v>0.005167958656</v>
      </c>
      <c r="H120" s="47">
        <f t="shared" si="98"/>
        <v>0.3695090439</v>
      </c>
      <c r="I120" s="187">
        <f t="shared" si="96"/>
        <v>4</v>
      </c>
      <c r="J120" s="172">
        <f t="shared" si="99"/>
        <v>734</v>
      </c>
      <c r="K120" s="115">
        <f t="shared" si="3"/>
        <v>0.7590486039</v>
      </c>
      <c r="L120" s="232">
        <f t="shared" si="97"/>
        <v>1.76</v>
      </c>
      <c r="M120" s="172">
        <f t="shared" si="100"/>
        <v>322.96</v>
      </c>
      <c r="N120" s="198">
        <f t="shared" si="6"/>
        <v>0.6666666667</v>
      </c>
      <c r="O120" s="337">
        <v>4.0</v>
      </c>
      <c r="P120" s="328"/>
      <c r="Q120" s="328">
        <f>Roles!$D$5</f>
        <v>0.44</v>
      </c>
      <c r="R120" s="328">
        <f t="shared" si="7"/>
        <v>1.76</v>
      </c>
      <c r="S120" s="198">
        <f t="shared" si="8"/>
        <v>0</v>
      </c>
      <c r="T120" s="327"/>
      <c r="U120" s="328"/>
      <c r="V120" s="328">
        <f>Roles!$D$8</f>
        <v>0.09</v>
      </c>
      <c r="W120" s="328"/>
      <c r="X120" s="198">
        <f t="shared" si="9"/>
        <v>0</v>
      </c>
      <c r="Y120" s="327"/>
      <c r="Z120" s="328"/>
      <c r="AA120" s="328">
        <f>Roles!$D$8</f>
        <v>0.09</v>
      </c>
      <c r="AB120" s="328"/>
      <c r="AC120" s="198">
        <f t="shared" si="10"/>
        <v>0</v>
      </c>
      <c r="AD120" s="327"/>
      <c r="AE120" s="328"/>
      <c r="AF120" s="328">
        <f>Roles!$D$8</f>
        <v>0.09</v>
      </c>
      <c r="AG120" s="328"/>
      <c r="AH120" s="198">
        <f t="shared" si="11"/>
        <v>0</v>
      </c>
      <c r="AI120" s="327"/>
      <c r="AJ120" s="328"/>
      <c r="AK120" s="328">
        <f>Roles!$D$8</f>
        <v>0.09</v>
      </c>
      <c r="AL120" s="328"/>
      <c r="AM120" s="198">
        <f t="shared" si="12"/>
        <v>0</v>
      </c>
      <c r="AN120" s="327"/>
      <c r="AO120" s="328"/>
      <c r="AP120" s="328">
        <f>Roles!$D$8</f>
        <v>0.09</v>
      </c>
      <c r="AQ120" s="328"/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 t="shared" si="1"/>
        <v>2</v>
      </c>
      <c r="F121" s="80">
        <v>4.0</v>
      </c>
      <c r="G121" s="105">
        <f t="shared" si="2"/>
        <v>0.003445305771</v>
      </c>
      <c r="H121" s="47">
        <f t="shared" si="98"/>
        <v>0.3729543497</v>
      </c>
      <c r="I121" s="187">
        <f t="shared" si="96"/>
        <v>2</v>
      </c>
      <c r="J121" s="172">
        <f t="shared" si="99"/>
        <v>736</v>
      </c>
      <c r="K121" s="115">
        <f t="shared" si="3"/>
        <v>0.7611168563</v>
      </c>
      <c r="L121" s="232">
        <f t="shared" si="97"/>
        <v>0.88</v>
      </c>
      <c r="M121" s="172">
        <f t="shared" si="100"/>
        <v>323.84</v>
      </c>
      <c r="N121" s="198">
        <f t="shared" si="6"/>
        <v>0.5</v>
      </c>
      <c r="O121" s="337">
        <v>2.0</v>
      </c>
      <c r="P121" s="328"/>
      <c r="Q121" s="328">
        <f>Roles!$D$5</f>
        <v>0.44</v>
      </c>
      <c r="R121" s="328">
        <f t="shared" si="7"/>
        <v>0.88</v>
      </c>
      <c r="S121" s="198">
        <f t="shared" si="8"/>
        <v>0</v>
      </c>
      <c r="T121" s="327"/>
      <c r="U121" s="328"/>
      <c r="V121" s="328">
        <f>Roles!$D$8</f>
        <v>0.09</v>
      </c>
      <c r="W121" s="328"/>
      <c r="X121" s="198">
        <f t="shared" si="9"/>
        <v>0</v>
      </c>
      <c r="Y121" s="327"/>
      <c r="Z121" s="328"/>
      <c r="AA121" s="328">
        <f>Roles!$D$8</f>
        <v>0.09</v>
      </c>
      <c r="AB121" s="328"/>
      <c r="AC121" s="198">
        <f t="shared" si="10"/>
        <v>0</v>
      </c>
      <c r="AD121" s="327"/>
      <c r="AE121" s="328"/>
      <c r="AF121" s="328">
        <f>Roles!$D$8</f>
        <v>0.09</v>
      </c>
      <c r="AG121" s="328"/>
      <c r="AH121" s="198">
        <f t="shared" si="11"/>
        <v>0</v>
      </c>
      <c r="AI121" s="327"/>
      <c r="AJ121" s="328"/>
      <c r="AK121" s="328">
        <f>Roles!$D$8</f>
        <v>0.09</v>
      </c>
      <c r="AL121" s="328"/>
      <c r="AM121" s="198">
        <f t="shared" si="12"/>
        <v>0</v>
      </c>
      <c r="AN121" s="327"/>
      <c r="AO121" s="328"/>
      <c r="AP121" s="328">
        <f>Roles!$D$8</f>
        <v>0.09</v>
      </c>
      <c r="AQ121" s="328"/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 t="shared" si="1"/>
        <v>6</v>
      </c>
      <c r="F122" s="246">
        <f>SUM(F123:F126)</f>
        <v>12</v>
      </c>
      <c r="G122" s="105">
        <f t="shared" si="2"/>
        <v>0.01033591731</v>
      </c>
      <c r="H122" s="226">
        <f>H126</f>
        <v>0.383290267</v>
      </c>
      <c r="I122" s="247">
        <f>SUM(I123:I126)</f>
        <v>4</v>
      </c>
      <c r="J122" s="247">
        <f>J126</f>
        <v>740</v>
      </c>
      <c r="K122" s="167">
        <f t="shared" si="3"/>
        <v>0.7652533609</v>
      </c>
      <c r="L122" s="247">
        <f>SUM(L123:L126)</f>
        <v>1.76</v>
      </c>
      <c r="M122" s="247">
        <f>M126</f>
        <v>325.6</v>
      </c>
      <c r="N122" s="198">
        <f t="shared" si="6"/>
        <v>0</v>
      </c>
      <c r="O122" s="328"/>
      <c r="P122" s="328"/>
      <c r="Q122" s="328">
        <f>Roles!$D$5</f>
        <v>0.44</v>
      </c>
      <c r="R122" s="328">
        <f t="shared" si="7"/>
        <v>0</v>
      </c>
      <c r="S122" s="198">
        <f t="shared" si="8"/>
        <v>0</v>
      </c>
      <c r="T122" s="327"/>
      <c r="U122" s="328"/>
      <c r="V122" s="328">
        <f>Roles!$D$8</f>
        <v>0.09</v>
      </c>
      <c r="W122" s="328"/>
      <c r="X122" s="198">
        <f t="shared" si="9"/>
        <v>0</v>
      </c>
      <c r="Y122" s="327"/>
      <c r="Z122" s="328"/>
      <c r="AA122" s="328">
        <f>Roles!$D$8</f>
        <v>0.09</v>
      </c>
      <c r="AB122" s="328"/>
      <c r="AC122" s="198">
        <f t="shared" si="10"/>
        <v>0</v>
      </c>
      <c r="AD122" s="327"/>
      <c r="AE122" s="328"/>
      <c r="AF122" s="328">
        <f>Roles!$D$8</f>
        <v>0.09</v>
      </c>
      <c r="AG122" s="328"/>
      <c r="AH122" s="198">
        <f t="shared" si="11"/>
        <v>0</v>
      </c>
      <c r="AI122" s="327"/>
      <c r="AJ122" s="328"/>
      <c r="AK122" s="328">
        <f>Roles!$D$8</f>
        <v>0.09</v>
      </c>
      <c r="AL122" s="328"/>
      <c r="AM122" s="198">
        <f t="shared" si="12"/>
        <v>0</v>
      </c>
      <c r="AN122" s="327"/>
      <c r="AO122" s="328"/>
      <c r="AP122" s="328">
        <f>Roles!$D$8</f>
        <v>0.09</v>
      </c>
      <c r="AQ122" s="328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 t="shared" si="1"/>
        <v>2</v>
      </c>
      <c r="F123" s="80">
        <v>4.0</v>
      </c>
      <c r="G123" s="105">
        <f t="shared" si="2"/>
        <v>0.003445305771</v>
      </c>
      <c r="H123" s="47">
        <f>H121+G123</f>
        <v>0.3763996555</v>
      </c>
      <c r="I123" s="187">
        <f t="shared" ref="I123:I126" si="101">O123+T123+Y123+AD123+AI123+AN123</f>
        <v>0</v>
      </c>
      <c r="J123" s="172">
        <f>J121+I123</f>
        <v>736</v>
      </c>
      <c r="K123" s="115">
        <f t="shared" si="3"/>
        <v>0.7611168563</v>
      </c>
      <c r="L123" s="232">
        <f t="shared" ref="L123:L126" si="102">R123+W123+AB123+AG123+AL123+AQ123</f>
        <v>0</v>
      </c>
      <c r="M123" s="172">
        <f>M121+L123</f>
        <v>323.84</v>
      </c>
      <c r="N123" s="198">
        <f t="shared" si="6"/>
        <v>0</v>
      </c>
      <c r="O123" s="337">
        <v>0.0</v>
      </c>
      <c r="P123" s="328"/>
      <c r="Q123" s="328">
        <f>Roles!$D$5</f>
        <v>0.44</v>
      </c>
      <c r="R123" s="328">
        <f t="shared" si="7"/>
        <v>0</v>
      </c>
      <c r="S123" s="198">
        <f t="shared" si="8"/>
        <v>0</v>
      </c>
      <c r="T123" s="327"/>
      <c r="U123" s="328"/>
      <c r="V123" s="328">
        <f>Roles!$D$8</f>
        <v>0.09</v>
      </c>
      <c r="W123" s="328"/>
      <c r="X123" s="198">
        <f t="shared" si="9"/>
        <v>0</v>
      </c>
      <c r="Y123" s="327"/>
      <c r="Z123" s="328"/>
      <c r="AA123" s="328">
        <f>Roles!$D$8</f>
        <v>0.09</v>
      </c>
      <c r="AB123" s="328"/>
      <c r="AC123" s="198">
        <f t="shared" si="10"/>
        <v>0</v>
      </c>
      <c r="AD123" s="327"/>
      <c r="AE123" s="328"/>
      <c r="AF123" s="328">
        <f>Roles!$D$8</f>
        <v>0.09</v>
      </c>
      <c r="AG123" s="328"/>
      <c r="AH123" s="198">
        <f t="shared" si="11"/>
        <v>0</v>
      </c>
      <c r="AI123" s="327"/>
      <c r="AJ123" s="328"/>
      <c r="AK123" s="328">
        <f>Roles!$D$8</f>
        <v>0.09</v>
      </c>
      <c r="AL123" s="328"/>
      <c r="AM123" s="198">
        <f t="shared" si="12"/>
        <v>0</v>
      </c>
      <c r="AN123" s="327"/>
      <c r="AO123" s="328"/>
      <c r="AP123" s="328">
        <f>Roles!$D$8</f>
        <v>0.09</v>
      </c>
      <c r="AQ123" s="328"/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 t="shared" si="1"/>
        <v>2</v>
      </c>
      <c r="F124" s="80">
        <v>3.0</v>
      </c>
      <c r="G124" s="105">
        <f t="shared" si="2"/>
        <v>0.002583979328</v>
      </c>
      <c r="H124" s="47">
        <f t="shared" ref="H124:H126" si="103">H123+G124</f>
        <v>0.3789836348</v>
      </c>
      <c r="I124" s="187">
        <f t="shared" si="101"/>
        <v>0</v>
      </c>
      <c r="J124" s="172">
        <f t="shared" ref="J124:J126" si="104">J123+I124</f>
        <v>736</v>
      </c>
      <c r="K124" s="115">
        <f t="shared" si="3"/>
        <v>0.7611168563</v>
      </c>
      <c r="L124" s="232">
        <f t="shared" si="102"/>
        <v>0</v>
      </c>
      <c r="M124" s="172">
        <f t="shared" ref="M124:M126" si="105">M123+L124</f>
        <v>323.84</v>
      </c>
      <c r="N124" s="198">
        <f t="shared" si="6"/>
        <v>0</v>
      </c>
      <c r="O124" s="337">
        <v>0.0</v>
      </c>
      <c r="P124" s="328"/>
      <c r="Q124" s="328">
        <f>Roles!$D$5</f>
        <v>0.44</v>
      </c>
      <c r="R124" s="328">
        <f t="shared" si="7"/>
        <v>0</v>
      </c>
      <c r="S124" s="198">
        <f t="shared" si="8"/>
        <v>0</v>
      </c>
      <c r="T124" s="327"/>
      <c r="U124" s="328"/>
      <c r="V124" s="328">
        <f>Roles!$D$8</f>
        <v>0.09</v>
      </c>
      <c r="W124" s="328"/>
      <c r="X124" s="198">
        <f t="shared" si="9"/>
        <v>0</v>
      </c>
      <c r="Y124" s="327"/>
      <c r="Z124" s="328"/>
      <c r="AA124" s="328">
        <f>Roles!$D$8</f>
        <v>0.09</v>
      </c>
      <c r="AB124" s="328"/>
      <c r="AC124" s="198">
        <f t="shared" si="10"/>
        <v>0</v>
      </c>
      <c r="AD124" s="327"/>
      <c r="AE124" s="328"/>
      <c r="AF124" s="328">
        <f>Roles!$D$8</f>
        <v>0.09</v>
      </c>
      <c r="AG124" s="328"/>
      <c r="AH124" s="198">
        <f t="shared" si="11"/>
        <v>0</v>
      </c>
      <c r="AI124" s="327"/>
      <c r="AJ124" s="328"/>
      <c r="AK124" s="328">
        <f>Roles!$D$8</f>
        <v>0.09</v>
      </c>
      <c r="AL124" s="328"/>
      <c r="AM124" s="198">
        <f t="shared" si="12"/>
        <v>0</v>
      </c>
      <c r="AN124" s="327"/>
      <c r="AO124" s="328"/>
      <c r="AP124" s="328">
        <f>Roles!$D$8</f>
        <v>0.09</v>
      </c>
      <c r="AQ124" s="328"/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 t="shared" si="1"/>
        <v>2</v>
      </c>
      <c r="F125" s="80">
        <v>3.0</v>
      </c>
      <c r="G125" s="105">
        <f t="shared" si="2"/>
        <v>0.002583979328</v>
      </c>
      <c r="H125" s="47">
        <f t="shared" si="103"/>
        <v>0.3815676141</v>
      </c>
      <c r="I125" s="187">
        <f t="shared" si="101"/>
        <v>4</v>
      </c>
      <c r="J125" s="172">
        <f t="shared" si="104"/>
        <v>740</v>
      </c>
      <c r="K125" s="115">
        <f t="shared" si="3"/>
        <v>0.7652533609</v>
      </c>
      <c r="L125" s="232">
        <f t="shared" si="102"/>
        <v>1.76</v>
      </c>
      <c r="M125" s="172">
        <f t="shared" si="105"/>
        <v>325.6</v>
      </c>
      <c r="N125" s="198">
        <f t="shared" si="6"/>
        <v>1.333333333</v>
      </c>
      <c r="O125" s="337">
        <v>4.0</v>
      </c>
      <c r="P125" s="328"/>
      <c r="Q125" s="328">
        <f>Roles!$D$5</f>
        <v>0.44</v>
      </c>
      <c r="R125" s="328">
        <f t="shared" si="7"/>
        <v>1.76</v>
      </c>
      <c r="S125" s="198">
        <f t="shared" si="8"/>
        <v>0</v>
      </c>
      <c r="T125" s="327"/>
      <c r="U125" s="328"/>
      <c r="V125" s="328">
        <f>Roles!$D$8</f>
        <v>0.09</v>
      </c>
      <c r="W125" s="328"/>
      <c r="X125" s="198">
        <f t="shared" si="9"/>
        <v>0</v>
      </c>
      <c r="Y125" s="327"/>
      <c r="Z125" s="328"/>
      <c r="AA125" s="328">
        <f>Roles!$D$8</f>
        <v>0.09</v>
      </c>
      <c r="AB125" s="328"/>
      <c r="AC125" s="198">
        <f t="shared" si="10"/>
        <v>0</v>
      </c>
      <c r="AD125" s="327"/>
      <c r="AE125" s="328"/>
      <c r="AF125" s="328">
        <f>Roles!$D$8</f>
        <v>0.09</v>
      </c>
      <c r="AG125" s="328"/>
      <c r="AH125" s="198">
        <f t="shared" si="11"/>
        <v>0</v>
      </c>
      <c r="AI125" s="327"/>
      <c r="AJ125" s="328"/>
      <c r="AK125" s="328">
        <f>Roles!$D$8</f>
        <v>0.09</v>
      </c>
      <c r="AL125" s="328"/>
      <c r="AM125" s="198">
        <f t="shared" si="12"/>
        <v>0</v>
      </c>
      <c r="AN125" s="327"/>
      <c r="AO125" s="328"/>
      <c r="AP125" s="328">
        <f>Roles!$D$8</f>
        <v>0.09</v>
      </c>
      <c r="AQ125" s="328"/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 t="shared" si="1"/>
        <v>2</v>
      </c>
      <c r="F126" s="80">
        <v>2.0</v>
      </c>
      <c r="G126" s="105">
        <f t="shared" si="2"/>
        <v>0.001722652885</v>
      </c>
      <c r="H126" s="47">
        <f t="shared" si="103"/>
        <v>0.383290267</v>
      </c>
      <c r="I126" s="187">
        <f t="shared" si="101"/>
        <v>0</v>
      </c>
      <c r="J126" s="172">
        <f t="shared" si="104"/>
        <v>740</v>
      </c>
      <c r="K126" s="115">
        <f t="shared" si="3"/>
        <v>0.7652533609</v>
      </c>
      <c r="L126" s="232">
        <f t="shared" si="102"/>
        <v>0</v>
      </c>
      <c r="M126" s="172">
        <f t="shared" si="105"/>
        <v>325.6</v>
      </c>
      <c r="N126" s="198">
        <f t="shared" si="6"/>
        <v>0</v>
      </c>
      <c r="O126" s="337">
        <v>0.0</v>
      </c>
      <c r="P126" s="328"/>
      <c r="Q126" s="328">
        <f>Roles!$D$5</f>
        <v>0.44</v>
      </c>
      <c r="R126" s="328">
        <f t="shared" si="7"/>
        <v>0</v>
      </c>
      <c r="S126" s="198">
        <f t="shared" si="8"/>
        <v>0</v>
      </c>
      <c r="T126" s="327"/>
      <c r="U126" s="328"/>
      <c r="V126" s="328">
        <f>Roles!$D$8</f>
        <v>0.09</v>
      </c>
      <c r="W126" s="328"/>
      <c r="X126" s="198">
        <f t="shared" si="9"/>
        <v>0</v>
      </c>
      <c r="Y126" s="327"/>
      <c r="Z126" s="328"/>
      <c r="AA126" s="328">
        <f>Roles!$D$8</f>
        <v>0.09</v>
      </c>
      <c r="AB126" s="328"/>
      <c r="AC126" s="198">
        <f t="shared" si="10"/>
        <v>0</v>
      </c>
      <c r="AD126" s="327"/>
      <c r="AE126" s="328"/>
      <c r="AF126" s="328">
        <f>Roles!$D$8</f>
        <v>0.09</v>
      </c>
      <c r="AG126" s="328"/>
      <c r="AH126" s="198">
        <f t="shared" si="11"/>
        <v>0</v>
      </c>
      <c r="AI126" s="327"/>
      <c r="AJ126" s="328"/>
      <c r="AK126" s="328">
        <f>Roles!$D$8</f>
        <v>0.09</v>
      </c>
      <c r="AL126" s="328"/>
      <c r="AM126" s="198">
        <f t="shared" si="12"/>
        <v>0</v>
      </c>
      <c r="AN126" s="327"/>
      <c r="AO126" s="328"/>
      <c r="AP126" s="328">
        <f>Roles!$D$8</f>
        <v>0.09</v>
      </c>
      <c r="AQ126" s="328"/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 t="shared" si="1"/>
        <v>8</v>
      </c>
      <c r="F127" s="246">
        <f>SUM(F128:F130)</f>
        <v>64</v>
      </c>
      <c r="G127" s="105">
        <f t="shared" si="2"/>
        <v>0.05512489233</v>
      </c>
      <c r="H127" s="226">
        <f>H130</f>
        <v>0.4384151593</v>
      </c>
      <c r="I127" s="247">
        <f>SUM(I128:I130)</f>
        <v>12</v>
      </c>
      <c r="J127" s="247">
        <f>J130</f>
        <v>752</v>
      </c>
      <c r="K127" s="167">
        <f t="shared" si="3"/>
        <v>0.7776628749</v>
      </c>
      <c r="L127" s="247">
        <f>SUM(L128:L130)</f>
        <v>5.28</v>
      </c>
      <c r="M127" s="247">
        <f>M130</f>
        <v>330.88</v>
      </c>
      <c r="N127" s="198">
        <f t="shared" si="6"/>
        <v>0</v>
      </c>
      <c r="O127" s="328"/>
      <c r="P127" s="328"/>
      <c r="Q127" s="328">
        <f>Roles!$D$5</f>
        <v>0.44</v>
      </c>
      <c r="R127" s="328">
        <f t="shared" si="7"/>
        <v>0</v>
      </c>
      <c r="S127" s="198">
        <f t="shared" si="8"/>
        <v>0</v>
      </c>
      <c r="T127" s="327"/>
      <c r="U127" s="328"/>
      <c r="V127" s="328">
        <f>Roles!$D$8</f>
        <v>0.09</v>
      </c>
      <c r="W127" s="328"/>
      <c r="X127" s="198">
        <f t="shared" si="9"/>
        <v>0</v>
      </c>
      <c r="Y127" s="327"/>
      <c r="Z127" s="328"/>
      <c r="AA127" s="328">
        <f>Roles!$D$8</f>
        <v>0.09</v>
      </c>
      <c r="AB127" s="328"/>
      <c r="AC127" s="198">
        <f t="shared" si="10"/>
        <v>0</v>
      </c>
      <c r="AD127" s="327"/>
      <c r="AE127" s="328"/>
      <c r="AF127" s="328">
        <f>Roles!$D$8</f>
        <v>0.09</v>
      </c>
      <c r="AG127" s="328"/>
      <c r="AH127" s="198">
        <f t="shared" si="11"/>
        <v>0</v>
      </c>
      <c r="AI127" s="327"/>
      <c r="AJ127" s="328"/>
      <c r="AK127" s="328">
        <f>Roles!$D$8</f>
        <v>0.09</v>
      </c>
      <c r="AL127" s="328"/>
      <c r="AM127" s="198">
        <f t="shared" si="12"/>
        <v>0</v>
      </c>
      <c r="AN127" s="327"/>
      <c r="AO127" s="328"/>
      <c r="AP127" s="328">
        <f>Roles!$D$8</f>
        <v>0.09</v>
      </c>
      <c r="AQ127" s="328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 t="shared" si="1"/>
        <v>4</v>
      </c>
      <c r="F128" s="80">
        <v>30.0</v>
      </c>
      <c r="G128" s="105">
        <f t="shared" si="2"/>
        <v>0.02583979328</v>
      </c>
      <c r="H128" s="47">
        <f>H126+G128</f>
        <v>0.4091300603</v>
      </c>
      <c r="I128" s="187">
        <f t="shared" ref="I128:I130" si="106">O128+T128+Y128+AD128+AI128+AN128</f>
        <v>6</v>
      </c>
      <c r="J128" s="172">
        <f>J126+I128</f>
        <v>746</v>
      </c>
      <c r="K128" s="115">
        <f t="shared" si="3"/>
        <v>0.7714581179</v>
      </c>
      <c r="L128" s="232">
        <f t="shared" ref="L128:L130" si="107">R128+W128+AB128+AG128+AL128+AQ128</f>
        <v>2.64</v>
      </c>
      <c r="M128" s="172">
        <f>M126+L128</f>
        <v>328.24</v>
      </c>
      <c r="N128" s="198">
        <f t="shared" si="6"/>
        <v>0.2</v>
      </c>
      <c r="O128" s="337">
        <v>6.0</v>
      </c>
      <c r="P128" s="328"/>
      <c r="Q128" s="328">
        <f>Roles!$D$5</f>
        <v>0.44</v>
      </c>
      <c r="R128" s="328">
        <f t="shared" si="7"/>
        <v>2.64</v>
      </c>
      <c r="S128" s="198">
        <f t="shared" si="8"/>
        <v>0</v>
      </c>
      <c r="T128" s="327"/>
      <c r="U128" s="328"/>
      <c r="V128" s="328">
        <f>Roles!$D$8</f>
        <v>0.09</v>
      </c>
      <c r="W128" s="328"/>
      <c r="X128" s="198">
        <f t="shared" si="9"/>
        <v>0</v>
      </c>
      <c r="Y128" s="327"/>
      <c r="Z128" s="328"/>
      <c r="AA128" s="328">
        <f>Roles!$D$8</f>
        <v>0.09</v>
      </c>
      <c r="AB128" s="328"/>
      <c r="AC128" s="198">
        <f t="shared" si="10"/>
        <v>0</v>
      </c>
      <c r="AD128" s="327"/>
      <c r="AE128" s="328"/>
      <c r="AF128" s="328">
        <f>Roles!$D$8</f>
        <v>0.09</v>
      </c>
      <c r="AG128" s="328"/>
      <c r="AH128" s="198">
        <f t="shared" si="11"/>
        <v>0</v>
      </c>
      <c r="AI128" s="327"/>
      <c r="AJ128" s="328"/>
      <c r="AK128" s="328">
        <f>Roles!$D$8</f>
        <v>0.09</v>
      </c>
      <c r="AL128" s="328"/>
      <c r="AM128" s="198">
        <f t="shared" si="12"/>
        <v>0</v>
      </c>
      <c r="AN128" s="327"/>
      <c r="AO128" s="328"/>
      <c r="AP128" s="328">
        <f>Roles!$D$8</f>
        <v>0.09</v>
      </c>
      <c r="AQ128" s="328"/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 t="shared" si="1"/>
        <v>4</v>
      </c>
      <c r="F129" s="80">
        <v>30.0</v>
      </c>
      <c r="G129" s="105">
        <f t="shared" si="2"/>
        <v>0.02583979328</v>
      </c>
      <c r="H129" s="47">
        <f t="shared" ref="H129:H130" si="108">H128+G129</f>
        <v>0.4349698536</v>
      </c>
      <c r="I129" s="187">
        <f t="shared" si="106"/>
        <v>6</v>
      </c>
      <c r="J129" s="172">
        <f t="shared" ref="J129:J130" si="109">J128+I129</f>
        <v>752</v>
      </c>
      <c r="K129" s="115">
        <f t="shared" si="3"/>
        <v>0.7776628749</v>
      </c>
      <c r="L129" s="232">
        <f t="shared" si="107"/>
        <v>2.64</v>
      </c>
      <c r="M129" s="172">
        <f t="shared" ref="M129:M130" si="110">M128+L129</f>
        <v>330.88</v>
      </c>
      <c r="N129" s="198">
        <f t="shared" si="6"/>
        <v>0.2</v>
      </c>
      <c r="O129" s="337">
        <v>6.0</v>
      </c>
      <c r="P129" s="328"/>
      <c r="Q129" s="328">
        <f>Roles!$D$5</f>
        <v>0.44</v>
      </c>
      <c r="R129" s="328">
        <f t="shared" si="7"/>
        <v>2.64</v>
      </c>
      <c r="S129" s="198">
        <f t="shared" si="8"/>
        <v>0</v>
      </c>
      <c r="T129" s="327"/>
      <c r="U129" s="328"/>
      <c r="V129" s="328">
        <f>Roles!$D$8</f>
        <v>0.09</v>
      </c>
      <c r="W129" s="328"/>
      <c r="X129" s="198">
        <f t="shared" si="9"/>
        <v>0</v>
      </c>
      <c r="Y129" s="327"/>
      <c r="Z129" s="328"/>
      <c r="AA129" s="328">
        <f>Roles!$D$8</f>
        <v>0.09</v>
      </c>
      <c r="AB129" s="328"/>
      <c r="AC129" s="198">
        <f t="shared" si="10"/>
        <v>0</v>
      </c>
      <c r="AD129" s="327"/>
      <c r="AE129" s="328"/>
      <c r="AF129" s="328">
        <f>Roles!$D$8</f>
        <v>0.09</v>
      </c>
      <c r="AG129" s="328"/>
      <c r="AH129" s="198">
        <f t="shared" si="11"/>
        <v>0</v>
      </c>
      <c r="AI129" s="327"/>
      <c r="AJ129" s="328"/>
      <c r="AK129" s="328">
        <f>Roles!$D$8</f>
        <v>0.09</v>
      </c>
      <c r="AL129" s="328"/>
      <c r="AM129" s="198">
        <f t="shared" si="12"/>
        <v>0</v>
      </c>
      <c r="AN129" s="327"/>
      <c r="AO129" s="328"/>
      <c r="AP129" s="328">
        <f>Roles!$D$8</f>
        <v>0.09</v>
      </c>
      <c r="AQ129" s="328"/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 t="shared" si="1"/>
        <v>4</v>
      </c>
      <c r="F130" s="80">
        <v>4.0</v>
      </c>
      <c r="G130" s="105">
        <f t="shared" si="2"/>
        <v>0.003445305771</v>
      </c>
      <c r="H130" s="47">
        <f t="shared" si="108"/>
        <v>0.4384151593</v>
      </c>
      <c r="I130" s="187">
        <f t="shared" si="106"/>
        <v>0</v>
      </c>
      <c r="J130" s="172">
        <f t="shared" si="109"/>
        <v>752</v>
      </c>
      <c r="K130" s="115">
        <f t="shared" si="3"/>
        <v>0.7776628749</v>
      </c>
      <c r="L130" s="232">
        <f t="shared" si="107"/>
        <v>0</v>
      </c>
      <c r="M130" s="172">
        <f t="shared" si="110"/>
        <v>330.88</v>
      </c>
      <c r="N130" s="198">
        <f t="shared" si="6"/>
        <v>0</v>
      </c>
      <c r="O130" s="337">
        <v>0.0</v>
      </c>
      <c r="P130" s="328"/>
      <c r="Q130" s="328">
        <f>Roles!$D$5</f>
        <v>0.44</v>
      </c>
      <c r="R130" s="328">
        <f t="shared" si="7"/>
        <v>0</v>
      </c>
      <c r="S130" s="198">
        <f t="shared" si="8"/>
        <v>0</v>
      </c>
      <c r="T130" s="327"/>
      <c r="U130" s="328"/>
      <c r="V130" s="328">
        <f>Roles!$D$8</f>
        <v>0.09</v>
      </c>
      <c r="W130" s="328"/>
      <c r="X130" s="198">
        <f t="shared" si="9"/>
        <v>0</v>
      </c>
      <c r="Y130" s="327"/>
      <c r="Z130" s="328"/>
      <c r="AA130" s="328">
        <f>Roles!$D$8</f>
        <v>0.09</v>
      </c>
      <c r="AB130" s="328"/>
      <c r="AC130" s="198">
        <f t="shared" si="10"/>
        <v>0</v>
      </c>
      <c r="AD130" s="327"/>
      <c r="AE130" s="328"/>
      <c r="AF130" s="328">
        <f>Roles!$D$8</f>
        <v>0.09</v>
      </c>
      <c r="AG130" s="328"/>
      <c r="AH130" s="198">
        <f t="shared" si="11"/>
        <v>0</v>
      </c>
      <c r="AI130" s="327"/>
      <c r="AJ130" s="328"/>
      <c r="AK130" s="328">
        <f>Roles!$D$8</f>
        <v>0.09</v>
      </c>
      <c r="AL130" s="328"/>
      <c r="AM130" s="198">
        <f t="shared" si="12"/>
        <v>0</v>
      </c>
      <c r="AN130" s="327"/>
      <c r="AO130" s="328"/>
      <c r="AP130" s="328">
        <f>Roles!$D$8</f>
        <v>0.09</v>
      </c>
      <c r="AQ130" s="328"/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 t="shared" si="1"/>
        <v>6</v>
      </c>
      <c r="F131" s="246">
        <f>SUM(F132:F134)</f>
        <v>51</v>
      </c>
      <c r="G131" s="105">
        <f t="shared" si="2"/>
        <v>0.04392764858</v>
      </c>
      <c r="H131" s="226">
        <f>H134</f>
        <v>0.4823428079</v>
      </c>
      <c r="I131" s="247">
        <f>SUM(I132:I134)</f>
        <v>1</v>
      </c>
      <c r="J131" s="247">
        <f>J134</f>
        <v>753</v>
      </c>
      <c r="K131" s="167">
        <f t="shared" si="3"/>
        <v>0.778697001</v>
      </c>
      <c r="L131" s="247">
        <f>SUM(L132:L134)</f>
        <v>0.44</v>
      </c>
      <c r="M131" s="247">
        <f>M134</f>
        <v>331.32</v>
      </c>
      <c r="N131" s="198">
        <f t="shared" si="6"/>
        <v>0</v>
      </c>
      <c r="O131" s="328"/>
      <c r="P131" s="328"/>
      <c r="Q131" s="328">
        <f>Roles!$D$5</f>
        <v>0.44</v>
      </c>
      <c r="R131" s="328">
        <f t="shared" si="7"/>
        <v>0</v>
      </c>
      <c r="S131" s="198">
        <f t="shared" si="8"/>
        <v>0</v>
      </c>
      <c r="T131" s="327"/>
      <c r="U131" s="328"/>
      <c r="V131" s="328">
        <f>Roles!$D$8</f>
        <v>0.09</v>
      </c>
      <c r="W131" s="328"/>
      <c r="X131" s="198">
        <f t="shared" si="9"/>
        <v>0</v>
      </c>
      <c r="Y131" s="327"/>
      <c r="Z131" s="328"/>
      <c r="AA131" s="328">
        <f>Roles!$D$8</f>
        <v>0.09</v>
      </c>
      <c r="AB131" s="328"/>
      <c r="AC131" s="198">
        <f t="shared" si="10"/>
        <v>0</v>
      </c>
      <c r="AD131" s="327"/>
      <c r="AE131" s="328"/>
      <c r="AF131" s="328">
        <f>Roles!$D$8</f>
        <v>0.09</v>
      </c>
      <c r="AG131" s="328"/>
      <c r="AH131" s="198">
        <f t="shared" si="11"/>
        <v>0</v>
      </c>
      <c r="AI131" s="327"/>
      <c r="AJ131" s="328"/>
      <c r="AK131" s="328">
        <f>Roles!$D$8</f>
        <v>0.09</v>
      </c>
      <c r="AL131" s="328"/>
      <c r="AM131" s="198">
        <f t="shared" si="12"/>
        <v>0</v>
      </c>
      <c r="AN131" s="327"/>
      <c r="AO131" s="328"/>
      <c r="AP131" s="328">
        <f>Roles!$D$8</f>
        <v>0.09</v>
      </c>
      <c r="AQ131" s="328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 t="shared" si="1"/>
        <v>1</v>
      </c>
      <c r="F132" s="80">
        <v>1.0</v>
      </c>
      <c r="G132" s="105">
        <f t="shared" si="2"/>
        <v>0.0008613264427</v>
      </c>
      <c r="H132" s="47">
        <f>H130+G132</f>
        <v>0.4392764858</v>
      </c>
      <c r="I132" s="187">
        <f t="shared" ref="I132:I134" si="111">O132+T132+Y132+AD132+AI132+AN132</f>
        <v>1</v>
      </c>
      <c r="J132" s="172">
        <f>J130+I132</f>
        <v>753</v>
      </c>
      <c r="K132" s="115">
        <f t="shared" si="3"/>
        <v>0.778697001</v>
      </c>
      <c r="L132" s="232">
        <f t="shared" ref="L132:L134" si="112">R132+W132+AB132+AG132+AL132+AQ132</f>
        <v>0.44</v>
      </c>
      <c r="M132" s="172">
        <f>M130+L132</f>
        <v>331.32</v>
      </c>
      <c r="N132" s="198">
        <f t="shared" si="6"/>
        <v>1</v>
      </c>
      <c r="O132" s="337">
        <v>1.0</v>
      </c>
      <c r="P132" s="328"/>
      <c r="Q132" s="328">
        <f>Roles!$D$5</f>
        <v>0.44</v>
      </c>
      <c r="R132" s="328">
        <f t="shared" si="7"/>
        <v>0.44</v>
      </c>
      <c r="S132" s="198">
        <f t="shared" si="8"/>
        <v>0</v>
      </c>
      <c r="T132" s="327"/>
      <c r="U132" s="328"/>
      <c r="V132" s="328">
        <f>Roles!$D$8</f>
        <v>0.09</v>
      </c>
      <c r="W132" s="328"/>
      <c r="X132" s="198">
        <f t="shared" si="9"/>
        <v>0</v>
      </c>
      <c r="Y132" s="327"/>
      <c r="Z132" s="328"/>
      <c r="AA132" s="328">
        <f>Roles!$D$8</f>
        <v>0.09</v>
      </c>
      <c r="AB132" s="328"/>
      <c r="AC132" s="198">
        <f t="shared" si="10"/>
        <v>0</v>
      </c>
      <c r="AD132" s="327"/>
      <c r="AE132" s="328"/>
      <c r="AF132" s="328">
        <f>Roles!$D$8</f>
        <v>0.09</v>
      </c>
      <c r="AG132" s="328"/>
      <c r="AH132" s="198">
        <f t="shared" si="11"/>
        <v>0</v>
      </c>
      <c r="AI132" s="327"/>
      <c r="AJ132" s="328"/>
      <c r="AK132" s="328">
        <f>Roles!$D$8</f>
        <v>0.09</v>
      </c>
      <c r="AL132" s="328"/>
      <c r="AM132" s="198">
        <f t="shared" si="12"/>
        <v>0</v>
      </c>
      <c r="AN132" s="327"/>
      <c r="AO132" s="328"/>
      <c r="AP132" s="328">
        <f>Roles!$D$8</f>
        <v>0.09</v>
      </c>
      <c r="AQ132" s="328"/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 t="shared" si="1"/>
        <v>3</v>
      </c>
      <c r="F133" s="80">
        <v>25.0</v>
      </c>
      <c r="G133" s="105">
        <f t="shared" si="2"/>
        <v>0.02153316107</v>
      </c>
      <c r="H133" s="47">
        <f t="shared" ref="H133:H134" si="113">H132+G133</f>
        <v>0.4608096469</v>
      </c>
      <c r="I133" s="187">
        <f t="shared" si="111"/>
        <v>0</v>
      </c>
      <c r="J133" s="172">
        <f t="shared" ref="J133:J134" si="114">J132+I133</f>
        <v>753</v>
      </c>
      <c r="K133" s="115">
        <f t="shared" si="3"/>
        <v>0.778697001</v>
      </c>
      <c r="L133" s="232">
        <f t="shared" si="112"/>
        <v>0</v>
      </c>
      <c r="M133" s="172">
        <f t="shared" ref="M133:M134" si="115">M132+L133</f>
        <v>331.32</v>
      </c>
      <c r="N133" s="198">
        <f t="shared" si="6"/>
        <v>0</v>
      </c>
      <c r="O133" s="337">
        <v>0.0</v>
      </c>
      <c r="P133" s="328"/>
      <c r="Q133" s="328">
        <f>Roles!$D$5</f>
        <v>0.44</v>
      </c>
      <c r="R133" s="328">
        <f t="shared" si="7"/>
        <v>0</v>
      </c>
      <c r="S133" s="198">
        <f t="shared" si="8"/>
        <v>0</v>
      </c>
      <c r="T133" s="327"/>
      <c r="U133" s="328"/>
      <c r="V133" s="328">
        <f>Roles!$D$8</f>
        <v>0.09</v>
      </c>
      <c r="W133" s="328"/>
      <c r="X133" s="198">
        <f t="shared" si="9"/>
        <v>0</v>
      </c>
      <c r="Y133" s="327"/>
      <c r="Z133" s="328"/>
      <c r="AA133" s="328">
        <f>Roles!$D$8</f>
        <v>0.09</v>
      </c>
      <c r="AB133" s="328"/>
      <c r="AC133" s="198">
        <f t="shared" si="10"/>
        <v>0</v>
      </c>
      <c r="AD133" s="327"/>
      <c r="AE133" s="328"/>
      <c r="AF133" s="328">
        <f>Roles!$D$8</f>
        <v>0.09</v>
      </c>
      <c r="AG133" s="328"/>
      <c r="AH133" s="198">
        <f t="shared" si="11"/>
        <v>0</v>
      </c>
      <c r="AI133" s="327"/>
      <c r="AJ133" s="328"/>
      <c r="AK133" s="328">
        <f>Roles!$D$8</f>
        <v>0.09</v>
      </c>
      <c r="AL133" s="328"/>
      <c r="AM133" s="198">
        <f t="shared" si="12"/>
        <v>0</v>
      </c>
      <c r="AN133" s="327"/>
      <c r="AO133" s="328"/>
      <c r="AP133" s="328">
        <f>Roles!$D$8</f>
        <v>0.09</v>
      </c>
      <c r="AQ133" s="328"/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 t="shared" si="1"/>
        <v>3</v>
      </c>
      <c r="F134" s="80">
        <v>25.0</v>
      </c>
      <c r="G134" s="105">
        <f t="shared" si="2"/>
        <v>0.02153316107</v>
      </c>
      <c r="H134" s="47">
        <f t="shared" si="113"/>
        <v>0.4823428079</v>
      </c>
      <c r="I134" s="187">
        <f t="shared" si="111"/>
        <v>0</v>
      </c>
      <c r="J134" s="172">
        <f t="shared" si="114"/>
        <v>753</v>
      </c>
      <c r="K134" s="115">
        <f t="shared" si="3"/>
        <v>0.778697001</v>
      </c>
      <c r="L134" s="232">
        <f t="shared" si="112"/>
        <v>0</v>
      </c>
      <c r="M134" s="172">
        <f t="shared" si="115"/>
        <v>331.32</v>
      </c>
      <c r="N134" s="198">
        <f t="shared" si="6"/>
        <v>0</v>
      </c>
      <c r="O134" s="337">
        <v>0.0</v>
      </c>
      <c r="P134" s="328"/>
      <c r="Q134" s="328">
        <f>Roles!$D$5</f>
        <v>0.44</v>
      </c>
      <c r="R134" s="328">
        <f t="shared" si="7"/>
        <v>0</v>
      </c>
      <c r="S134" s="198">
        <f t="shared" si="8"/>
        <v>0</v>
      </c>
      <c r="T134" s="327"/>
      <c r="U134" s="328"/>
      <c r="V134" s="328">
        <f>Roles!$D$8</f>
        <v>0.09</v>
      </c>
      <c r="W134" s="328"/>
      <c r="X134" s="198">
        <f t="shared" si="9"/>
        <v>0</v>
      </c>
      <c r="Y134" s="327"/>
      <c r="Z134" s="328"/>
      <c r="AA134" s="328">
        <f>Roles!$D$8</f>
        <v>0.09</v>
      </c>
      <c r="AB134" s="328"/>
      <c r="AC134" s="198">
        <f t="shared" si="10"/>
        <v>0</v>
      </c>
      <c r="AD134" s="327"/>
      <c r="AE134" s="328"/>
      <c r="AF134" s="328">
        <f>Roles!$D$8</f>
        <v>0.09</v>
      </c>
      <c r="AG134" s="328"/>
      <c r="AH134" s="198">
        <f t="shared" si="11"/>
        <v>0</v>
      </c>
      <c r="AI134" s="327"/>
      <c r="AJ134" s="328"/>
      <c r="AK134" s="328">
        <f>Roles!$D$8</f>
        <v>0.09</v>
      </c>
      <c r="AL134" s="328"/>
      <c r="AM134" s="198">
        <f t="shared" si="12"/>
        <v>0</v>
      </c>
      <c r="AN134" s="327"/>
      <c r="AO134" s="328"/>
      <c r="AP134" s="328">
        <f>Roles!$D$8</f>
        <v>0.09</v>
      </c>
      <c r="AQ134" s="328"/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 t="shared" si="1"/>
        <v>4</v>
      </c>
      <c r="F135" s="246">
        <f>SUM(F136:F138)</f>
        <v>26</v>
      </c>
      <c r="G135" s="105">
        <f t="shared" si="2"/>
        <v>0.02239448751</v>
      </c>
      <c r="H135" s="226">
        <f>H138</f>
        <v>0.5047372954</v>
      </c>
      <c r="I135" s="247">
        <f>SUM(I136:I138)</f>
        <v>0</v>
      </c>
      <c r="J135" s="247">
        <f>J138</f>
        <v>753</v>
      </c>
      <c r="K135" s="167">
        <f t="shared" si="3"/>
        <v>0.778697001</v>
      </c>
      <c r="L135" s="247">
        <f>SUM(L136:L138)</f>
        <v>0</v>
      </c>
      <c r="M135" s="247">
        <f>M138</f>
        <v>331.32</v>
      </c>
      <c r="N135" s="198">
        <f t="shared" si="6"/>
        <v>0</v>
      </c>
      <c r="O135" s="328"/>
      <c r="P135" s="328"/>
      <c r="Q135" s="328">
        <f>Roles!$D$5</f>
        <v>0.44</v>
      </c>
      <c r="R135" s="328">
        <f t="shared" si="7"/>
        <v>0</v>
      </c>
      <c r="S135" s="198">
        <f t="shared" si="8"/>
        <v>0</v>
      </c>
      <c r="T135" s="327"/>
      <c r="U135" s="328"/>
      <c r="V135" s="328">
        <f>Roles!$D$8</f>
        <v>0.09</v>
      </c>
      <c r="W135" s="328"/>
      <c r="X135" s="198">
        <f t="shared" si="9"/>
        <v>0</v>
      </c>
      <c r="Y135" s="327"/>
      <c r="Z135" s="328"/>
      <c r="AA135" s="328">
        <f>Roles!$D$8</f>
        <v>0.09</v>
      </c>
      <c r="AB135" s="328"/>
      <c r="AC135" s="198">
        <f t="shared" si="10"/>
        <v>0</v>
      </c>
      <c r="AD135" s="327"/>
      <c r="AE135" s="328"/>
      <c r="AF135" s="328">
        <f>Roles!$D$8</f>
        <v>0.09</v>
      </c>
      <c r="AG135" s="328"/>
      <c r="AH135" s="198">
        <f t="shared" si="11"/>
        <v>0</v>
      </c>
      <c r="AI135" s="327"/>
      <c r="AJ135" s="328"/>
      <c r="AK135" s="328">
        <f>Roles!$D$8</f>
        <v>0.09</v>
      </c>
      <c r="AL135" s="328"/>
      <c r="AM135" s="198">
        <f t="shared" si="12"/>
        <v>0</v>
      </c>
      <c r="AN135" s="327"/>
      <c r="AO135" s="328"/>
      <c r="AP135" s="328">
        <f>Roles!$D$8</f>
        <v>0.09</v>
      </c>
      <c r="AQ135" s="328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 t="shared" si="1"/>
        <v>2</v>
      </c>
      <c r="F136" s="80">
        <v>10.0</v>
      </c>
      <c r="G136" s="105">
        <f t="shared" si="2"/>
        <v>0.008613264427</v>
      </c>
      <c r="H136" s="47">
        <f>H134+G136</f>
        <v>0.4909560724</v>
      </c>
      <c r="I136" s="187">
        <f t="shared" ref="I136:I138" si="116">O136+T136+Y136+AD136+AI136+AN136</f>
        <v>0</v>
      </c>
      <c r="J136" s="172">
        <f>J134+I136</f>
        <v>753</v>
      </c>
      <c r="K136" s="115">
        <f t="shared" si="3"/>
        <v>0.778697001</v>
      </c>
      <c r="L136" s="232">
        <f t="shared" ref="L136:L138" si="117">R136+W136+AB136+AG136+AL136+AQ136</f>
        <v>0</v>
      </c>
      <c r="M136" s="172">
        <f>M134+L136</f>
        <v>331.32</v>
      </c>
      <c r="N136" s="198">
        <f t="shared" si="6"/>
        <v>0</v>
      </c>
      <c r="O136" s="337">
        <v>0.0</v>
      </c>
      <c r="P136" s="328"/>
      <c r="Q136" s="328">
        <f>Roles!$D$5</f>
        <v>0.44</v>
      </c>
      <c r="R136" s="328">
        <f t="shared" si="7"/>
        <v>0</v>
      </c>
      <c r="S136" s="198">
        <f t="shared" si="8"/>
        <v>0</v>
      </c>
      <c r="T136" s="327"/>
      <c r="U136" s="328"/>
      <c r="V136" s="328">
        <f>Roles!$D$8</f>
        <v>0.09</v>
      </c>
      <c r="W136" s="328"/>
      <c r="X136" s="198">
        <f t="shared" si="9"/>
        <v>0</v>
      </c>
      <c r="Y136" s="327"/>
      <c r="Z136" s="328"/>
      <c r="AA136" s="328">
        <f>Roles!$D$8</f>
        <v>0.09</v>
      </c>
      <c r="AB136" s="328"/>
      <c r="AC136" s="198">
        <f t="shared" si="10"/>
        <v>0</v>
      </c>
      <c r="AD136" s="327"/>
      <c r="AE136" s="328"/>
      <c r="AF136" s="328">
        <f>Roles!$D$8</f>
        <v>0.09</v>
      </c>
      <c r="AG136" s="328"/>
      <c r="AH136" s="198">
        <f t="shared" si="11"/>
        <v>0</v>
      </c>
      <c r="AI136" s="327"/>
      <c r="AJ136" s="328"/>
      <c r="AK136" s="328">
        <f>Roles!$D$8</f>
        <v>0.09</v>
      </c>
      <c r="AL136" s="328"/>
      <c r="AM136" s="198">
        <f t="shared" si="12"/>
        <v>0</v>
      </c>
      <c r="AN136" s="327"/>
      <c r="AO136" s="328"/>
      <c r="AP136" s="328">
        <f>Roles!$D$8</f>
        <v>0.09</v>
      </c>
      <c r="AQ136" s="328"/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 t="shared" si="1"/>
        <v>1</v>
      </c>
      <c r="F137" s="80">
        <v>1.0</v>
      </c>
      <c r="G137" s="105">
        <f t="shared" si="2"/>
        <v>0.0008613264427</v>
      </c>
      <c r="H137" s="186">
        <f t="shared" ref="H137:H138" si="118">H136+G137</f>
        <v>0.4918173988</v>
      </c>
      <c r="I137" s="187">
        <f t="shared" si="116"/>
        <v>0</v>
      </c>
      <c r="J137" s="233">
        <f t="shared" ref="J137:J138" si="119">J136+I137</f>
        <v>753</v>
      </c>
      <c r="K137" s="340">
        <f t="shared" si="3"/>
        <v>0.778697001</v>
      </c>
      <c r="L137" s="232">
        <f t="shared" si="117"/>
        <v>0</v>
      </c>
      <c r="M137" s="233">
        <f t="shared" ref="M137:M138" si="120">M136+L137</f>
        <v>331.32</v>
      </c>
      <c r="N137" s="198">
        <f t="shared" si="6"/>
        <v>0</v>
      </c>
      <c r="O137" s="337">
        <v>0.0</v>
      </c>
      <c r="P137" s="328"/>
      <c r="Q137" s="328">
        <f>Roles!$D$5</f>
        <v>0.44</v>
      </c>
      <c r="R137" s="328">
        <f t="shared" si="7"/>
        <v>0</v>
      </c>
      <c r="S137" s="198">
        <f t="shared" si="8"/>
        <v>0</v>
      </c>
      <c r="T137" s="327"/>
      <c r="U137" s="328"/>
      <c r="V137" s="328">
        <f>Roles!$D$8</f>
        <v>0.09</v>
      </c>
      <c r="W137" s="328"/>
      <c r="X137" s="198">
        <f t="shared" si="9"/>
        <v>0</v>
      </c>
      <c r="Y137" s="327"/>
      <c r="Z137" s="328"/>
      <c r="AA137" s="328">
        <f>Roles!$D$8</f>
        <v>0.09</v>
      </c>
      <c r="AB137" s="328"/>
      <c r="AC137" s="198">
        <f t="shared" si="10"/>
        <v>0</v>
      </c>
      <c r="AD137" s="327"/>
      <c r="AE137" s="328"/>
      <c r="AF137" s="328">
        <f>Roles!$D$8</f>
        <v>0.09</v>
      </c>
      <c r="AG137" s="328"/>
      <c r="AH137" s="198">
        <f t="shared" si="11"/>
        <v>0</v>
      </c>
      <c r="AI137" s="327"/>
      <c r="AJ137" s="328"/>
      <c r="AK137" s="328">
        <f>Roles!$D$8</f>
        <v>0.09</v>
      </c>
      <c r="AL137" s="328"/>
      <c r="AM137" s="198">
        <f t="shared" si="12"/>
        <v>0</v>
      </c>
      <c r="AN137" s="327"/>
      <c r="AO137" s="328"/>
      <c r="AP137" s="328">
        <f>Roles!$D$8</f>
        <v>0.09</v>
      </c>
      <c r="AQ137" s="328"/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 t="shared" si="1"/>
        <v>2</v>
      </c>
      <c r="F138" s="80">
        <v>15.0</v>
      </c>
      <c r="G138" s="105">
        <f t="shared" si="2"/>
        <v>0.01291989664</v>
      </c>
      <c r="H138" s="186">
        <f t="shared" si="118"/>
        <v>0.5047372954</v>
      </c>
      <c r="I138" s="187">
        <f t="shared" si="116"/>
        <v>0</v>
      </c>
      <c r="J138" s="172">
        <f t="shared" si="119"/>
        <v>753</v>
      </c>
      <c r="K138" s="115">
        <f t="shared" si="3"/>
        <v>0.778697001</v>
      </c>
      <c r="L138" s="232">
        <f t="shared" si="117"/>
        <v>0</v>
      </c>
      <c r="M138" s="172">
        <f t="shared" si="120"/>
        <v>331.32</v>
      </c>
      <c r="N138" s="198">
        <f t="shared" si="6"/>
        <v>0</v>
      </c>
      <c r="O138" s="337">
        <v>0.0</v>
      </c>
      <c r="P138" s="328"/>
      <c r="Q138" s="328">
        <f>Roles!$D$5</f>
        <v>0.44</v>
      </c>
      <c r="R138" s="328">
        <f t="shared" si="7"/>
        <v>0</v>
      </c>
      <c r="S138" s="198">
        <f t="shared" si="8"/>
        <v>0</v>
      </c>
      <c r="T138" s="327"/>
      <c r="U138" s="328"/>
      <c r="V138" s="328">
        <f>Roles!$D$8</f>
        <v>0.09</v>
      </c>
      <c r="W138" s="328"/>
      <c r="X138" s="198">
        <f t="shared" si="9"/>
        <v>0</v>
      </c>
      <c r="Y138" s="327"/>
      <c r="Z138" s="328"/>
      <c r="AA138" s="328">
        <f>Roles!$D$8</f>
        <v>0.09</v>
      </c>
      <c r="AB138" s="328"/>
      <c r="AC138" s="198">
        <f t="shared" si="10"/>
        <v>0</v>
      </c>
      <c r="AD138" s="327"/>
      <c r="AE138" s="328"/>
      <c r="AF138" s="328">
        <f>Roles!$D$8</f>
        <v>0.09</v>
      </c>
      <c r="AG138" s="328"/>
      <c r="AH138" s="198">
        <f t="shared" si="11"/>
        <v>0</v>
      </c>
      <c r="AI138" s="327"/>
      <c r="AJ138" s="328"/>
      <c r="AK138" s="328">
        <f>Roles!$D$8</f>
        <v>0.09</v>
      </c>
      <c r="AL138" s="328"/>
      <c r="AM138" s="198">
        <f t="shared" si="12"/>
        <v>0</v>
      </c>
      <c r="AN138" s="327"/>
      <c r="AO138" s="328"/>
      <c r="AP138" s="328">
        <f>Roles!$D$8</f>
        <v>0.09</v>
      </c>
      <c r="AQ138" s="328"/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 t="shared" si="1"/>
        <v>3</v>
      </c>
      <c r="F139" s="246">
        <f>SUM(F140:F144)</f>
        <v>28</v>
      </c>
      <c r="G139" s="105">
        <f t="shared" si="2"/>
        <v>0.0241171404</v>
      </c>
      <c r="H139" s="226">
        <f>H144</f>
        <v>0.5288544358</v>
      </c>
      <c r="I139" s="247">
        <f>SUM(I140:I144)</f>
        <v>13</v>
      </c>
      <c r="J139" s="247">
        <f>J144</f>
        <v>766</v>
      </c>
      <c r="K139" s="167">
        <f t="shared" si="3"/>
        <v>0.7921406412</v>
      </c>
      <c r="L139" s="247">
        <f>SUM(L140:L144)</f>
        <v>5.72</v>
      </c>
      <c r="M139" s="247">
        <f>M144</f>
        <v>337.04</v>
      </c>
      <c r="N139" s="198">
        <f t="shared" si="6"/>
        <v>0</v>
      </c>
      <c r="O139" s="328"/>
      <c r="P139" s="328"/>
      <c r="Q139" s="328">
        <f>Roles!$D$5</f>
        <v>0.44</v>
      </c>
      <c r="R139" s="328">
        <f t="shared" si="7"/>
        <v>0</v>
      </c>
      <c r="S139" s="198">
        <f t="shared" si="8"/>
        <v>0</v>
      </c>
      <c r="T139" s="327"/>
      <c r="U139" s="328"/>
      <c r="V139" s="328">
        <f>Roles!$D$8</f>
        <v>0.09</v>
      </c>
      <c r="W139" s="328"/>
      <c r="X139" s="198">
        <f t="shared" si="9"/>
        <v>0</v>
      </c>
      <c r="Y139" s="327"/>
      <c r="Z139" s="328"/>
      <c r="AA139" s="328">
        <f>Roles!$D$8</f>
        <v>0.09</v>
      </c>
      <c r="AB139" s="328"/>
      <c r="AC139" s="198">
        <f t="shared" si="10"/>
        <v>0</v>
      </c>
      <c r="AD139" s="327"/>
      <c r="AE139" s="328"/>
      <c r="AF139" s="328">
        <f>Roles!$D$8</f>
        <v>0.09</v>
      </c>
      <c r="AG139" s="328"/>
      <c r="AH139" s="198">
        <f t="shared" si="11"/>
        <v>0</v>
      </c>
      <c r="AI139" s="327"/>
      <c r="AJ139" s="328"/>
      <c r="AK139" s="328">
        <f>Roles!$D$8</f>
        <v>0.09</v>
      </c>
      <c r="AL139" s="328"/>
      <c r="AM139" s="198">
        <f t="shared" si="12"/>
        <v>0</v>
      </c>
      <c r="AN139" s="327"/>
      <c r="AO139" s="328"/>
      <c r="AP139" s="328">
        <f>Roles!$D$8</f>
        <v>0.09</v>
      </c>
      <c r="AQ139" s="328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 t="shared" si="1"/>
        <v>2</v>
      </c>
      <c r="F140" s="80">
        <v>10.0</v>
      </c>
      <c r="G140" s="105">
        <f t="shared" si="2"/>
        <v>0.008613264427</v>
      </c>
      <c r="H140" s="47">
        <f>H138+G140</f>
        <v>0.5133505599</v>
      </c>
      <c r="I140" s="187">
        <f t="shared" ref="I140:I144" si="121">O140+T140+Y140+AD140+AI140+AN140</f>
        <v>0</v>
      </c>
      <c r="J140" s="172">
        <f>J138+I140</f>
        <v>753</v>
      </c>
      <c r="K140" s="115">
        <f t="shared" si="3"/>
        <v>0.778697001</v>
      </c>
      <c r="L140" s="232">
        <f t="shared" ref="L140:L144" si="122">R140+W140+AB140+AG140+AL140+AQ140</f>
        <v>0</v>
      </c>
      <c r="M140" s="172">
        <f>M138+L140</f>
        <v>331.32</v>
      </c>
      <c r="N140" s="198">
        <f t="shared" si="6"/>
        <v>0</v>
      </c>
      <c r="O140" s="337">
        <v>0.0</v>
      </c>
      <c r="P140" s="328"/>
      <c r="Q140" s="328">
        <f>Roles!$D$5</f>
        <v>0.44</v>
      </c>
      <c r="R140" s="328">
        <f t="shared" si="7"/>
        <v>0</v>
      </c>
      <c r="S140" s="198">
        <f t="shared" si="8"/>
        <v>0</v>
      </c>
      <c r="T140" s="327"/>
      <c r="U140" s="328"/>
      <c r="V140" s="328">
        <f>Roles!$D$8</f>
        <v>0.09</v>
      </c>
      <c r="W140" s="328"/>
      <c r="X140" s="198">
        <f t="shared" si="9"/>
        <v>0</v>
      </c>
      <c r="Y140" s="327"/>
      <c r="Z140" s="328"/>
      <c r="AA140" s="328">
        <f>Roles!$D$8</f>
        <v>0.09</v>
      </c>
      <c r="AB140" s="328"/>
      <c r="AC140" s="198">
        <f t="shared" si="10"/>
        <v>0</v>
      </c>
      <c r="AD140" s="327"/>
      <c r="AE140" s="328"/>
      <c r="AF140" s="328">
        <f>Roles!$D$8</f>
        <v>0.09</v>
      </c>
      <c r="AG140" s="328"/>
      <c r="AH140" s="198">
        <f t="shared" si="11"/>
        <v>0</v>
      </c>
      <c r="AI140" s="327"/>
      <c r="AJ140" s="328"/>
      <c r="AK140" s="328">
        <f>Roles!$D$8</f>
        <v>0.09</v>
      </c>
      <c r="AL140" s="328"/>
      <c r="AM140" s="198">
        <f t="shared" si="12"/>
        <v>0</v>
      </c>
      <c r="AN140" s="327"/>
      <c r="AO140" s="328"/>
      <c r="AP140" s="328">
        <f>Roles!$D$8</f>
        <v>0.09</v>
      </c>
      <c r="AQ140" s="328"/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 t="shared" si="1"/>
        <v>2</v>
      </c>
      <c r="F141" s="80">
        <v>4.0</v>
      </c>
      <c r="G141" s="105">
        <f t="shared" si="2"/>
        <v>0.003445305771</v>
      </c>
      <c r="H141" s="47">
        <f t="shared" ref="H141:H145" si="123">H140+G141</f>
        <v>0.5167958656</v>
      </c>
      <c r="I141" s="187">
        <f t="shared" si="121"/>
        <v>6</v>
      </c>
      <c r="J141" s="172">
        <f t="shared" ref="J141:J145" si="124">J140+I141</f>
        <v>759</v>
      </c>
      <c r="K141" s="115">
        <f t="shared" si="3"/>
        <v>0.784901758</v>
      </c>
      <c r="L141" s="232">
        <f t="shared" si="122"/>
        <v>2.64</v>
      </c>
      <c r="M141" s="172">
        <f t="shared" ref="M141:M145" si="125">M140+L141</f>
        <v>333.96</v>
      </c>
      <c r="N141" s="198">
        <f t="shared" si="6"/>
        <v>1.5</v>
      </c>
      <c r="O141" s="337">
        <v>6.0</v>
      </c>
      <c r="P141" s="328"/>
      <c r="Q141" s="328">
        <f>Roles!$D$5</f>
        <v>0.44</v>
      </c>
      <c r="R141" s="328">
        <f t="shared" si="7"/>
        <v>2.64</v>
      </c>
      <c r="S141" s="198">
        <f t="shared" si="8"/>
        <v>0</v>
      </c>
      <c r="T141" s="327"/>
      <c r="U141" s="328"/>
      <c r="V141" s="328">
        <f>Roles!$D$8</f>
        <v>0.09</v>
      </c>
      <c r="W141" s="328"/>
      <c r="X141" s="198">
        <f t="shared" si="9"/>
        <v>0</v>
      </c>
      <c r="Y141" s="327"/>
      <c r="Z141" s="328"/>
      <c r="AA141" s="328">
        <f>Roles!$D$8</f>
        <v>0.09</v>
      </c>
      <c r="AB141" s="328"/>
      <c r="AC141" s="198">
        <f t="shared" si="10"/>
        <v>0</v>
      </c>
      <c r="AD141" s="327"/>
      <c r="AE141" s="328"/>
      <c r="AF141" s="328">
        <f>Roles!$D$8</f>
        <v>0.09</v>
      </c>
      <c r="AG141" s="328"/>
      <c r="AH141" s="198">
        <f t="shared" si="11"/>
        <v>0</v>
      </c>
      <c r="AI141" s="327"/>
      <c r="AJ141" s="328"/>
      <c r="AK141" s="328">
        <f>Roles!$D$8</f>
        <v>0.09</v>
      </c>
      <c r="AL141" s="328"/>
      <c r="AM141" s="198">
        <f t="shared" si="12"/>
        <v>0</v>
      </c>
      <c r="AN141" s="327"/>
      <c r="AO141" s="328"/>
      <c r="AP141" s="328">
        <f>Roles!$D$8</f>
        <v>0.09</v>
      </c>
      <c r="AQ141" s="328"/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 t="shared" si="1"/>
        <v>1</v>
      </c>
      <c r="F142" s="80">
        <v>2.0</v>
      </c>
      <c r="G142" s="105">
        <f t="shared" si="2"/>
        <v>0.001722652885</v>
      </c>
      <c r="H142" s="47">
        <f t="shared" si="123"/>
        <v>0.5185185185</v>
      </c>
      <c r="I142" s="187">
        <f t="shared" si="121"/>
        <v>3</v>
      </c>
      <c r="J142" s="172">
        <f t="shared" si="124"/>
        <v>762</v>
      </c>
      <c r="K142" s="115">
        <f t="shared" si="3"/>
        <v>0.7880041365</v>
      </c>
      <c r="L142" s="232">
        <f t="shared" si="122"/>
        <v>1.32</v>
      </c>
      <c r="M142" s="172">
        <f t="shared" si="125"/>
        <v>335.28</v>
      </c>
      <c r="N142" s="198">
        <f t="shared" si="6"/>
        <v>1.5</v>
      </c>
      <c r="O142" s="337">
        <v>3.0</v>
      </c>
      <c r="P142" s="328"/>
      <c r="Q142" s="328">
        <f>Roles!$D$5</f>
        <v>0.44</v>
      </c>
      <c r="R142" s="328">
        <f t="shared" si="7"/>
        <v>1.32</v>
      </c>
      <c r="S142" s="198">
        <f t="shared" si="8"/>
        <v>0</v>
      </c>
      <c r="T142" s="327"/>
      <c r="U142" s="328"/>
      <c r="V142" s="328">
        <f>Roles!$D$8</f>
        <v>0.09</v>
      </c>
      <c r="W142" s="328"/>
      <c r="X142" s="198">
        <f t="shared" si="9"/>
        <v>0</v>
      </c>
      <c r="Y142" s="327"/>
      <c r="Z142" s="328"/>
      <c r="AA142" s="328">
        <f>Roles!$D$8</f>
        <v>0.09</v>
      </c>
      <c r="AB142" s="328"/>
      <c r="AC142" s="198">
        <f t="shared" si="10"/>
        <v>0</v>
      </c>
      <c r="AD142" s="327"/>
      <c r="AE142" s="328"/>
      <c r="AF142" s="328">
        <f>Roles!$D$8</f>
        <v>0.09</v>
      </c>
      <c r="AG142" s="328"/>
      <c r="AH142" s="198">
        <f t="shared" si="11"/>
        <v>0</v>
      </c>
      <c r="AI142" s="327"/>
      <c r="AJ142" s="328"/>
      <c r="AK142" s="328">
        <f>Roles!$D$8</f>
        <v>0.09</v>
      </c>
      <c r="AL142" s="328"/>
      <c r="AM142" s="198">
        <f t="shared" si="12"/>
        <v>0</v>
      </c>
      <c r="AN142" s="327"/>
      <c r="AO142" s="328"/>
      <c r="AP142" s="328">
        <f>Roles!$D$8</f>
        <v>0.09</v>
      </c>
      <c r="AQ142" s="328"/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 t="shared" si="1"/>
        <v>2</v>
      </c>
      <c r="F143" s="80">
        <v>10.0</v>
      </c>
      <c r="G143" s="105">
        <f t="shared" si="2"/>
        <v>0.008613264427</v>
      </c>
      <c r="H143" s="47">
        <f t="shared" si="123"/>
        <v>0.5271317829</v>
      </c>
      <c r="I143" s="187">
        <f t="shared" si="121"/>
        <v>0</v>
      </c>
      <c r="J143" s="172">
        <f t="shared" si="124"/>
        <v>762</v>
      </c>
      <c r="K143" s="115">
        <f t="shared" si="3"/>
        <v>0.7880041365</v>
      </c>
      <c r="L143" s="232">
        <f t="shared" si="122"/>
        <v>0</v>
      </c>
      <c r="M143" s="172">
        <f t="shared" si="125"/>
        <v>335.28</v>
      </c>
      <c r="N143" s="198">
        <f t="shared" si="6"/>
        <v>0</v>
      </c>
      <c r="O143" s="337">
        <v>0.0</v>
      </c>
      <c r="P143" s="328"/>
      <c r="Q143" s="328">
        <f>Roles!$D$5</f>
        <v>0.44</v>
      </c>
      <c r="R143" s="328">
        <f t="shared" si="7"/>
        <v>0</v>
      </c>
      <c r="S143" s="198">
        <f t="shared" si="8"/>
        <v>0</v>
      </c>
      <c r="T143" s="327"/>
      <c r="U143" s="328"/>
      <c r="V143" s="328">
        <f>Roles!$D$8</f>
        <v>0.09</v>
      </c>
      <c r="W143" s="328"/>
      <c r="X143" s="198">
        <f t="shared" si="9"/>
        <v>0</v>
      </c>
      <c r="Y143" s="327"/>
      <c r="Z143" s="328"/>
      <c r="AA143" s="328">
        <f>Roles!$D$8</f>
        <v>0.09</v>
      </c>
      <c r="AB143" s="328"/>
      <c r="AC143" s="198">
        <f t="shared" si="10"/>
        <v>0</v>
      </c>
      <c r="AD143" s="327"/>
      <c r="AE143" s="328"/>
      <c r="AF143" s="328">
        <f>Roles!$D$8</f>
        <v>0.09</v>
      </c>
      <c r="AG143" s="328"/>
      <c r="AH143" s="198">
        <f t="shared" si="11"/>
        <v>0</v>
      </c>
      <c r="AI143" s="327"/>
      <c r="AJ143" s="328"/>
      <c r="AK143" s="328">
        <f>Roles!$D$8</f>
        <v>0.09</v>
      </c>
      <c r="AL143" s="328"/>
      <c r="AM143" s="198">
        <f t="shared" si="12"/>
        <v>0</v>
      </c>
      <c r="AN143" s="327"/>
      <c r="AO143" s="328"/>
      <c r="AP143" s="328">
        <f>Roles!$D$8</f>
        <v>0.09</v>
      </c>
      <c r="AQ143" s="328"/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 t="shared" si="1"/>
        <v>1</v>
      </c>
      <c r="F144" s="80">
        <v>2.0</v>
      </c>
      <c r="G144" s="105">
        <f t="shared" si="2"/>
        <v>0.001722652885</v>
      </c>
      <c r="H144" s="47">
        <f t="shared" si="123"/>
        <v>0.5288544358</v>
      </c>
      <c r="I144" s="187">
        <f t="shared" si="121"/>
        <v>4</v>
      </c>
      <c r="J144" s="172">
        <f t="shared" si="124"/>
        <v>766</v>
      </c>
      <c r="K144" s="115">
        <f t="shared" si="3"/>
        <v>0.7921406412</v>
      </c>
      <c r="L144" s="232">
        <f t="shared" si="122"/>
        <v>1.76</v>
      </c>
      <c r="M144" s="172">
        <f t="shared" si="125"/>
        <v>337.04</v>
      </c>
      <c r="N144" s="198">
        <f t="shared" si="6"/>
        <v>2</v>
      </c>
      <c r="O144" s="337">
        <v>4.0</v>
      </c>
      <c r="P144" s="328"/>
      <c r="Q144" s="328">
        <f>Roles!$D$5</f>
        <v>0.44</v>
      </c>
      <c r="R144" s="328">
        <f t="shared" si="7"/>
        <v>1.76</v>
      </c>
      <c r="S144" s="198">
        <f t="shared" si="8"/>
        <v>0</v>
      </c>
      <c r="T144" s="327"/>
      <c r="U144" s="328"/>
      <c r="V144" s="328">
        <f>Roles!$D$8</f>
        <v>0.09</v>
      </c>
      <c r="W144" s="328"/>
      <c r="X144" s="198">
        <f t="shared" si="9"/>
        <v>0</v>
      </c>
      <c r="Y144" s="327"/>
      <c r="Z144" s="328"/>
      <c r="AA144" s="328">
        <f>Roles!$D$8</f>
        <v>0.09</v>
      </c>
      <c r="AB144" s="328"/>
      <c r="AC144" s="198">
        <f t="shared" si="10"/>
        <v>0</v>
      </c>
      <c r="AD144" s="327"/>
      <c r="AE144" s="328"/>
      <c r="AF144" s="328">
        <f>Roles!$D$8</f>
        <v>0.09</v>
      </c>
      <c r="AG144" s="328"/>
      <c r="AH144" s="198">
        <f t="shared" si="11"/>
        <v>0</v>
      </c>
      <c r="AI144" s="327"/>
      <c r="AJ144" s="328"/>
      <c r="AK144" s="328">
        <f>Roles!$D$8</f>
        <v>0.09</v>
      </c>
      <c r="AL144" s="328"/>
      <c r="AM144" s="198">
        <f t="shared" si="12"/>
        <v>0</v>
      </c>
      <c r="AN144" s="327"/>
      <c r="AO144" s="328"/>
      <c r="AP144" s="328">
        <f>Roles!$D$8</f>
        <v>0.09</v>
      </c>
      <c r="AQ144" s="328"/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 t="shared" si="1"/>
        <v>1</v>
      </c>
      <c r="F145" s="136">
        <v>0.0</v>
      </c>
      <c r="G145" s="105">
        <f t="shared" si="2"/>
        <v>0</v>
      </c>
      <c r="H145" s="115">
        <f t="shared" si="123"/>
        <v>0.5288544358</v>
      </c>
      <c r="I145" s="110">
        <f>F145</f>
        <v>0</v>
      </c>
      <c r="J145" s="110">
        <f t="shared" si="124"/>
        <v>766</v>
      </c>
      <c r="K145" s="115">
        <f t="shared" si="3"/>
        <v>0.7921406412</v>
      </c>
      <c r="L145" s="110">
        <v>0.0</v>
      </c>
      <c r="M145" s="110">
        <f t="shared" si="125"/>
        <v>337.04</v>
      </c>
      <c r="N145" s="198" t="str">
        <f t="shared" si="6"/>
        <v>#DIV/0!</v>
      </c>
      <c r="O145" s="328"/>
      <c r="P145" s="328"/>
      <c r="Q145" s="328">
        <f>Roles!$D$5</f>
        <v>0.44</v>
      </c>
      <c r="R145" s="328">
        <f t="shared" si="7"/>
        <v>0</v>
      </c>
      <c r="S145" s="198" t="str">
        <f t="shared" si="8"/>
        <v>#DIV/0!</v>
      </c>
      <c r="T145" s="327"/>
      <c r="U145" s="328"/>
      <c r="V145" s="328">
        <f>Roles!$D$8</f>
        <v>0.09</v>
      </c>
      <c r="W145" s="328"/>
      <c r="X145" s="198" t="str">
        <f t="shared" si="9"/>
        <v>#DIV/0!</v>
      </c>
      <c r="Y145" s="327"/>
      <c r="Z145" s="328"/>
      <c r="AA145" s="328">
        <f>Roles!$D$8</f>
        <v>0.09</v>
      </c>
      <c r="AB145" s="328"/>
      <c r="AC145" s="198" t="str">
        <f t="shared" si="10"/>
        <v>#DIV/0!</v>
      </c>
      <c r="AD145" s="327"/>
      <c r="AE145" s="328"/>
      <c r="AF145" s="328">
        <f>Roles!$D$8</f>
        <v>0.09</v>
      </c>
      <c r="AG145" s="328"/>
      <c r="AH145" s="198" t="str">
        <f t="shared" si="11"/>
        <v>#DIV/0!</v>
      </c>
      <c r="AI145" s="327"/>
      <c r="AJ145" s="328"/>
      <c r="AK145" s="328">
        <f>Roles!$D$8</f>
        <v>0.09</v>
      </c>
      <c r="AL145" s="328"/>
      <c r="AM145" s="198" t="str">
        <f t="shared" si="12"/>
        <v>#DIV/0!</v>
      </c>
      <c r="AN145" s="327"/>
      <c r="AO145" s="328"/>
      <c r="AP145" s="328">
        <f>Roles!$D$8</f>
        <v>0.09</v>
      </c>
      <c r="AQ145" s="328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 t="shared" si="1"/>
        <v>21</v>
      </c>
      <c r="F146" s="240">
        <f>F147+F154+F160+F166+F170+F174+F179</f>
        <v>219</v>
      </c>
      <c r="G146" s="105">
        <f t="shared" si="2"/>
        <v>0.188630491</v>
      </c>
      <c r="H146" s="224">
        <f>H184</f>
        <v>0.7174849268</v>
      </c>
      <c r="I146" s="241">
        <f>I147+I154+I160+I166+I170+I174+I179</f>
        <v>83</v>
      </c>
      <c r="J146" s="241">
        <f>J184</f>
        <v>849</v>
      </c>
      <c r="K146" s="138">
        <f t="shared" si="3"/>
        <v>0.8779731127</v>
      </c>
      <c r="L146" s="241">
        <f>L147+L154+L160+L166+L170+L174+L179</f>
        <v>36.52</v>
      </c>
      <c r="M146" s="241">
        <f>M184</f>
        <v>373.56</v>
      </c>
      <c r="N146" s="198">
        <f t="shared" si="6"/>
        <v>0</v>
      </c>
      <c r="O146" s="328"/>
      <c r="P146" s="328"/>
      <c r="Q146" s="328">
        <f>Roles!$D$5</f>
        <v>0.44</v>
      </c>
      <c r="R146" s="328">
        <f t="shared" si="7"/>
        <v>0</v>
      </c>
      <c r="S146" s="198">
        <f t="shared" si="8"/>
        <v>0</v>
      </c>
      <c r="T146" s="327"/>
      <c r="U146" s="328"/>
      <c r="V146" s="328">
        <f>Roles!$D$8</f>
        <v>0.09</v>
      </c>
      <c r="W146" s="328"/>
      <c r="X146" s="198">
        <f t="shared" si="9"/>
        <v>0</v>
      </c>
      <c r="Y146" s="327"/>
      <c r="Z146" s="328"/>
      <c r="AA146" s="328">
        <f>Roles!$D$8</f>
        <v>0.09</v>
      </c>
      <c r="AB146" s="328"/>
      <c r="AC146" s="198">
        <f t="shared" si="10"/>
        <v>0</v>
      </c>
      <c r="AD146" s="327"/>
      <c r="AE146" s="328"/>
      <c r="AF146" s="328">
        <f>Roles!$D$8</f>
        <v>0.09</v>
      </c>
      <c r="AG146" s="328"/>
      <c r="AH146" s="198">
        <f t="shared" si="11"/>
        <v>0</v>
      </c>
      <c r="AI146" s="327"/>
      <c r="AJ146" s="328"/>
      <c r="AK146" s="328">
        <f>Roles!$D$8</f>
        <v>0.09</v>
      </c>
      <c r="AL146" s="328"/>
      <c r="AM146" s="198">
        <f t="shared" si="12"/>
        <v>0</v>
      </c>
      <c r="AN146" s="327"/>
      <c r="AO146" s="328"/>
      <c r="AP146" s="328">
        <f>Roles!$D$8</f>
        <v>0.09</v>
      </c>
      <c r="AQ146" s="328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 t="shared" si="1"/>
        <v>8</v>
      </c>
      <c r="F147" s="246">
        <f>SUM(F148:F153)</f>
        <v>20</v>
      </c>
      <c r="G147" s="105">
        <f t="shared" si="2"/>
        <v>0.01722652885</v>
      </c>
      <c r="H147" s="226">
        <f>H153</f>
        <v>0.5460809647</v>
      </c>
      <c r="I147" s="247">
        <f>SUM(I148:I153)</f>
        <v>0</v>
      </c>
      <c r="J147" s="247">
        <f>J153</f>
        <v>766</v>
      </c>
      <c r="K147" s="167">
        <f t="shared" si="3"/>
        <v>0.7921406412</v>
      </c>
      <c r="L147" s="247">
        <f>SUM(L148:L153)</f>
        <v>0</v>
      </c>
      <c r="M147" s="247">
        <f>M153</f>
        <v>337.04</v>
      </c>
      <c r="N147" s="198">
        <f t="shared" si="6"/>
        <v>0</v>
      </c>
      <c r="O147" s="328"/>
      <c r="P147" s="328"/>
      <c r="Q147" s="328">
        <f>Roles!$D$5</f>
        <v>0.44</v>
      </c>
      <c r="R147" s="328">
        <f t="shared" si="7"/>
        <v>0</v>
      </c>
      <c r="S147" s="198">
        <f t="shared" si="8"/>
        <v>0</v>
      </c>
      <c r="T147" s="327"/>
      <c r="U147" s="328"/>
      <c r="V147" s="328">
        <f>Roles!$D$8</f>
        <v>0.09</v>
      </c>
      <c r="W147" s="328"/>
      <c r="X147" s="198">
        <f t="shared" si="9"/>
        <v>0</v>
      </c>
      <c r="Y147" s="327"/>
      <c r="Z147" s="328"/>
      <c r="AA147" s="328">
        <f>Roles!$D$8</f>
        <v>0.09</v>
      </c>
      <c r="AB147" s="328"/>
      <c r="AC147" s="198">
        <f t="shared" si="10"/>
        <v>0</v>
      </c>
      <c r="AD147" s="327"/>
      <c r="AE147" s="328"/>
      <c r="AF147" s="328">
        <f>Roles!$D$8</f>
        <v>0.09</v>
      </c>
      <c r="AG147" s="328"/>
      <c r="AH147" s="198">
        <f t="shared" si="11"/>
        <v>0</v>
      </c>
      <c r="AI147" s="327"/>
      <c r="AJ147" s="328"/>
      <c r="AK147" s="328">
        <f>Roles!$D$8</f>
        <v>0.09</v>
      </c>
      <c r="AL147" s="328"/>
      <c r="AM147" s="198">
        <f t="shared" si="12"/>
        <v>0</v>
      </c>
      <c r="AN147" s="327"/>
      <c r="AO147" s="328"/>
      <c r="AP147" s="328">
        <f>Roles!$D$8</f>
        <v>0.09</v>
      </c>
      <c r="AQ147" s="328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 t="shared" si="1"/>
        <v>2</v>
      </c>
      <c r="F148" s="80">
        <v>4.0</v>
      </c>
      <c r="G148" s="105">
        <f t="shared" si="2"/>
        <v>0.003445305771</v>
      </c>
      <c r="H148" s="47">
        <f>H145+G148</f>
        <v>0.5322997416</v>
      </c>
      <c r="I148" s="187">
        <f t="shared" ref="I148:I153" si="126">O148+T148+Y148+AD148+AI148+AN148</f>
        <v>0</v>
      </c>
      <c r="J148" s="172">
        <f>J145+I148</f>
        <v>766</v>
      </c>
      <c r="K148" s="115">
        <f t="shared" si="3"/>
        <v>0.7921406412</v>
      </c>
      <c r="L148" s="232">
        <f t="shared" ref="L148:L153" si="127">R148+W148+AB148+AG148+AL148+AQ148</f>
        <v>0</v>
      </c>
      <c r="M148" s="172">
        <f>M145+L148</f>
        <v>337.04</v>
      </c>
      <c r="N148" s="198">
        <f t="shared" si="6"/>
        <v>0</v>
      </c>
      <c r="O148" s="337">
        <v>0.0</v>
      </c>
      <c r="P148" s="328"/>
      <c r="Q148" s="328">
        <f>Roles!$D$5</f>
        <v>0.44</v>
      </c>
      <c r="R148" s="328">
        <f t="shared" si="7"/>
        <v>0</v>
      </c>
      <c r="S148" s="198">
        <f t="shared" si="8"/>
        <v>0</v>
      </c>
      <c r="T148" s="327"/>
      <c r="U148" s="328"/>
      <c r="V148" s="328">
        <f>Roles!$D$8</f>
        <v>0.09</v>
      </c>
      <c r="W148" s="328"/>
      <c r="X148" s="198">
        <f t="shared" si="9"/>
        <v>0</v>
      </c>
      <c r="Y148" s="327"/>
      <c r="Z148" s="328"/>
      <c r="AA148" s="328">
        <f>Roles!$D$8</f>
        <v>0.09</v>
      </c>
      <c r="AB148" s="328"/>
      <c r="AC148" s="198">
        <f t="shared" si="10"/>
        <v>0</v>
      </c>
      <c r="AD148" s="327"/>
      <c r="AE148" s="328"/>
      <c r="AF148" s="328">
        <f>Roles!$D$8</f>
        <v>0.09</v>
      </c>
      <c r="AG148" s="328"/>
      <c r="AH148" s="198">
        <f t="shared" si="11"/>
        <v>0</v>
      </c>
      <c r="AI148" s="327"/>
      <c r="AJ148" s="328"/>
      <c r="AK148" s="328">
        <f>Roles!$D$8</f>
        <v>0.09</v>
      </c>
      <c r="AL148" s="328"/>
      <c r="AM148" s="198">
        <f t="shared" si="12"/>
        <v>0</v>
      </c>
      <c r="AN148" s="327"/>
      <c r="AO148" s="328"/>
      <c r="AP148" s="328">
        <f>Roles!$D$8</f>
        <v>0.09</v>
      </c>
      <c r="AQ148" s="328"/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 t="shared" si="1"/>
        <v>2</v>
      </c>
      <c r="F149" s="80">
        <v>3.0</v>
      </c>
      <c r="G149" s="105">
        <f t="shared" si="2"/>
        <v>0.002583979328</v>
      </c>
      <c r="H149" s="47">
        <f t="shared" ref="H149:H153" si="128">H148+G149</f>
        <v>0.5348837209</v>
      </c>
      <c r="I149" s="187">
        <f t="shared" si="126"/>
        <v>0</v>
      </c>
      <c r="J149" s="172">
        <f t="shared" ref="J149:J153" si="129">J148+I149</f>
        <v>766</v>
      </c>
      <c r="K149" s="115">
        <f t="shared" si="3"/>
        <v>0.7921406412</v>
      </c>
      <c r="L149" s="232">
        <f t="shared" si="127"/>
        <v>0</v>
      </c>
      <c r="M149" s="172">
        <f t="shared" ref="M149:M153" si="130">M148+L149</f>
        <v>337.04</v>
      </c>
      <c r="N149" s="198">
        <f t="shared" si="6"/>
        <v>0</v>
      </c>
      <c r="O149" s="337">
        <v>0.0</v>
      </c>
      <c r="P149" s="328"/>
      <c r="Q149" s="328">
        <f>Roles!$D$5</f>
        <v>0.44</v>
      </c>
      <c r="R149" s="328">
        <f t="shared" si="7"/>
        <v>0</v>
      </c>
      <c r="S149" s="198">
        <f t="shared" si="8"/>
        <v>0</v>
      </c>
      <c r="T149" s="327"/>
      <c r="U149" s="328"/>
      <c r="V149" s="328">
        <f>Roles!$D$8</f>
        <v>0.09</v>
      </c>
      <c r="W149" s="328"/>
      <c r="X149" s="198">
        <f t="shared" si="9"/>
        <v>0</v>
      </c>
      <c r="Y149" s="327"/>
      <c r="Z149" s="328"/>
      <c r="AA149" s="328">
        <f>Roles!$D$8</f>
        <v>0.09</v>
      </c>
      <c r="AB149" s="328"/>
      <c r="AC149" s="198">
        <f t="shared" si="10"/>
        <v>0</v>
      </c>
      <c r="AD149" s="327"/>
      <c r="AE149" s="328"/>
      <c r="AF149" s="328">
        <f>Roles!$D$8</f>
        <v>0.09</v>
      </c>
      <c r="AG149" s="328"/>
      <c r="AH149" s="198">
        <f t="shared" si="11"/>
        <v>0</v>
      </c>
      <c r="AI149" s="327"/>
      <c r="AJ149" s="328"/>
      <c r="AK149" s="328">
        <f>Roles!$D$8</f>
        <v>0.09</v>
      </c>
      <c r="AL149" s="328"/>
      <c r="AM149" s="198">
        <f t="shared" si="12"/>
        <v>0</v>
      </c>
      <c r="AN149" s="327"/>
      <c r="AO149" s="328"/>
      <c r="AP149" s="328">
        <f>Roles!$D$8</f>
        <v>0.09</v>
      </c>
      <c r="AQ149" s="328"/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 t="shared" si="1"/>
        <v>2</v>
      </c>
      <c r="F150" s="80">
        <v>4.0</v>
      </c>
      <c r="G150" s="105">
        <f t="shared" si="2"/>
        <v>0.003445305771</v>
      </c>
      <c r="H150" s="47">
        <f t="shared" si="128"/>
        <v>0.5383290267</v>
      </c>
      <c r="I150" s="187">
        <f t="shared" si="126"/>
        <v>0</v>
      </c>
      <c r="J150" s="172">
        <f t="shared" si="129"/>
        <v>766</v>
      </c>
      <c r="K150" s="115">
        <f t="shared" si="3"/>
        <v>0.7921406412</v>
      </c>
      <c r="L150" s="232">
        <f t="shared" si="127"/>
        <v>0</v>
      </c>
      <c r="M150" s="172">
        <f t="shared" si="130"/>
        <v>337.04</v>
      </c>
      <c r="N150" s="198">
        <f t="shared" si="6"/>
        <v>0</v>
      </c>
      <c r="O150" s="337">
        <v>0.0</v>
      </c>
      <c r="P150" s="328"/>
      <c r="Q150" s="328">
        <f>Roles!$D$5</f>
        <v>0.44</v>
      </c>
      <c r="R150" s="328">
        <f t="shared" si="7"/>
        <v>0</v>
      </c>
      <c r="S150" s="198">
        <f t="shared" si="8"/>
        <v>0</v>
      </c>
      <c r="T150" s="327"/>
      <c r="U150" s="328"/>
      <c r="V150" s="328">
        <f>Roles!$D$8</f>
        <v>0.09</v>
      </c>
      <c r="W150" s="328"/>
      <c r="X150" s="198">
        <f t="shared" si="9"/>
        <v>0</v>
      </c>
      <c r="Y150" s="327"/>
      <c r="Z150" s="328"/>
      <c r="AA150" s="328">
        <f>Roles!$D$8</f>
        <v>0.09</v>
      </c>
      <c r="AB150" s="328"/>
      <c r="AC150" s="198">
        <f t="shared" si="10"/>
        <v>0</v>
      </c>
      <c r="AD150" s="327"/>
      <c r="AE150" s="328"/>
      <c r="AF150" s="328">
        <f>Roles!$D$8</f>
        <v>0.09</v>
      </c>
      <c r="AG150" s="328"/>
      <c r="AH150" s="198">
        <f t="shared" si="11"/>
        <v>0</v>
      </c>
      <c r="AI150" s="327"/>
      <c r="AJ150" s="328"/>
      <c r="AK150" s="328">
        <f>Roles!$D$8</f>
        <v>0.09</v>
      </c>
      <c r="AL150" s="328"/>
      <c r="AM150" s="198">
        <f t="shared" si="12"/>
        <v>0</v>
      </c>
      <c r="AN150" s="327"/>
      <c r="AO150" s="328"/>
      <c r="AP150" s="328">
        <f>Roles!$D$8</f>
        <v>0.09</v>
      </c>
      <c r="AQ150" s="328"/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 t="shared" si="1"/>
        <v>2</v>
      </c>
      <c r="F151" s="80">
        <v>4.0</v>
      </c>
      <c r="G151" s="105">
        <f t="shared" si="2"/>
        <v>0.003445305771</v>
      </c>
      <c r="H151" s="47">
        <f t="shared" si="128"/>
        <v>0.5417743325</v>
      </c>
      <c r="I151" s="187">
        <f t="shared" si="126"/>
        <v>0</v>
      </c>
      <c r="J151" s="172">
        <f t="shared" si="129"/>
        <v>766</v>
      </c>
      <c r="K151" s="115">
        <f t="shared" si="3"/>
        <v>0.7921406412</v>
      </c>
      <c r="L151" s="232">
        <f t="shared" si="127"/>
        <v>0</v>
      </c>
      <c r="M151" s="172">
        <f t="shared" si="130"/>
        <v>337.04</v>
      </c>
      <c r="N151" s="198">
        <f t="shared" si="6"/>
        <v>0</v>
      </c>
      <c r="O151" s="337">
        <v>0.0</v>
      </c>
      <c r="P151" s="328"/>
      <c r="Q151" s="328">
        <f>Roles!$D$5</f>
        <v>0.44</v>
      </c>
      <c r="R151" s="328">
        <f t="shared" si="7"/>
        <v>0</v>
      </c>
      <c r="S151" s="198">
        <f t="shared" si="8"/>
        <v>0</v>
      </c>
      <c r="T151" s="327"/>
      <c r="U151" s="328"/>
      <c r="V151" s="328">
        <f>Roles!$D$8</f>
        <v>0.09</v>
      </c>
      <c r="W151" s="328"/>
      <c r="X151" s="198">
        <f t="shared" si="9"/>
        <v>0</v>
      </c>
      <c r="Y151" s="327"/>
      <c r="Z151" s="328"/>
      <c r="AA151" s="328">
        <f>Roles!$D$8</f>
        <v>0.09</v>
      </c>
      <c r="AB151" s="328"/>
      <c r="AC151" s="198">
        <f t="shared" si="10"/>
        <v>0</v>
      </c>
      <c r="AD151" s="327"/>
      <c r="AE151" s="328"/>
      <c r="AF151" s="328">
        <f>Roles!$D$8</f>
        <v>0.09</v>
      </c>
      <c r="AG151" s="328"/>
      <c r="AH151" s="198">
        <f t="shared" si="11"/>
        <v>0</v>
      </c>
      <c r="AI151" s="327"/>
      <c r="AJ151" s="328"/>
      <c r="AK151" s="328">
        <f>Roles!$D$8</f>
        <v>0.09</v>
      </c>
      <c r="AL151" s="328"/>
      <c r="AM151" s="198">
        <f t="shared" si="12"/>
        <v>0</v>
      </c>
      <c r="AN151" s="327"/>
      <c r="AO151" s="328"/>
      <c r="AP151" s="328">
        <f>Roles!$D$8</f>
        <v>0.09</v>
      </c>
      <c r="AQ151" s="328"/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 t="shared" si="1"/>
        <v>1</v>
      </c>
      <c r="F152" s="80">
        <v>2.0</v>
      </c>
      <c r="G152" s="105">
        <f t="shared" si="2"/>
        <v>0.001722652885</v>
      </c>
      <c r="H152" s="47">
        <f t="shared" si="128"/>
        <v>0.5434969854</v>
      </c>
      <c r="I152" s="187">
        <f t="shared" si="126"/>
        <v>0</v>
      </c>
      <c r="J152" s="172">
        <f t="shared" si="129"/>
        <v>766</v>
      </c>
      <c r="K152" s="115">
        <f t="shared" si="3"/>
        <v>0.7921406412</v>
      </c>
      <c r="L152" s="232">
        <f t="shared" si="127"/>
        <v>0</v>
      </c>
      <c r="M152" s="172">
        <f t="shared" si="130"/>
        <v>337.04</v>
      </c>
      <c r="N152" s="198">
        <f t="shared" si="6"/>
        <v>0</v>
      </c>
      <c r="O152" s="337">
        <v>0.0</v>
      </c>
      <c r="P152" s="328"/>
      <c r="Q152" s="328">
        <f>Roles!$D$5</f>
        <v>0.44</v>
      </c>
      <c r="R152" s="328">
        <f t="shared" si="7"/>
        <v>0</v>
      </c>
      <c r="S152" s="198">
        <f t="shared" si="8"/>
        <v>0</v>
      </c>
      <c r="T152" s="327"/>
      <c r="U152" s="328"/>
      <c r="V152" s="328">
        <f>Roles!$D$8</f>
        <v>0.09</v>
      </c>
      <c r="W152" s="328"/>
      <c r="X152" s="198">
        <f t="shared" si="9"/>
        <v>0</v>
      </c>
      <c r="Y152" s="327"/>
      <c r="Z152" s="328"/>
      <c r="AA152" s="328">
        <f>Roles!$D$8</f>
        <v>0.09</v>
      </c>
      <c r="AB152" s="328"/>
      <c r="AC152" s="198">
        <f t="shared" si="10"/>
        <v>0</v>
      </c>
      <c r="AD152" s="327"/>
      <c r="AE152" s="328"/>
      <c r="AF152" s="328">
        <f>Roles!$D$8</f>
        <v>0.09</v>
      </c>
      <c r="AG152" s="328"/>
      <c r="AH152" s="198">
        <f t="shared" si="11"/>
        <v>0</v>
      </c>
      <c r="AI152" s="327"/>
      <c r="AJ152" s="328"/>
      <c r="AK152" s="328">
        <f>Roles!$D$8</f>
        <v>0.09</v>
      </c>
      <c r="AL152" s="328"/>
      <c r="AM152" s="198">
        <f t="shared" si="12"/>
        <v>0</v>
      </c>
      <c r="AN152" s="327"/>
      <c r="AO152" s="328"/>
      <c r="AP152" s="328">
        <f>Roles!$D$8</f>
        <v>0.09</v>
      </c>
      <c r="AQ152" s="328"/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 t="shared" si="1"/>
        <v>2</v>
      </c>
      <c r="F153" s="80">
        <v>3.0</v>
      </c>
      <c r="G153" s="105">
        <f t="shared" si="2"/>
        <v>0.002583979328</v>
      </c>
      <c r="H153" s="47">
        <f t="shared" si="128"/>
        <v>0.5460809647</v>
      </c>
      <c r="I153" s="187">
        <f t="shared" si="126"/>
        <v>0</v>
      </c>
      <c r="J153" s="172">
        <f t="shared" si="129"/>
        <v>766</v>
      </c>
      <c r="K153" s="115">
        <f t="shared" si="3"/>
        <v>0.7921406412</v>
      </c>
      <c r="L153" s="232">
        <f t="shared" si="127"/>
        <v>0</v>
      </c>
      <c r="M153" s="172">
        <f t="shared" si="130"/>
        <v>337.04</v>
      </c>
      <c r="N153" s="198">
        <f t="shared" si="6"/>
        <v>0</v>
      </c>
      <c r="O153" s="337">
        <v>0.0</v>
      </c>
      <c r="P153" s="328"/>
      <c r="Q153" s="328">
        <f>Roles!$D$5</f>
        <v>0.44</v>
      </c>
      <c r="R153" s="328">
        <f t="shared" si="7"/>
        <v>0</v>
      </c>
      <c r="S153" s="198">
        <f t="shared" si="8"/>
        <v>0</v>
      </c>
      <c r="T153" s="327"/>
      <c r="U153" s="328"/>
      <c r="V153" s="328">
        <f>Roles!$D$8</f>
        <v>0.09</v>
      </c>
      <c r="W153" s="328"/>
      <c r="X153" s="198">
        <f t="shared" si="9"/>
        <v>0</v>
      </c>
      <c r="Y153" s="327"/>
      <c r="Z153" s="328"/>
      <c r="AA153" s="328">
        <f>Roles!$D$8</f>
        <v>0.09</v>
      </c>
      <c r="AB153" s="328"/>
      <c r="AC153" s="198">
        <f t="shared" si="10"/>
        <v>0</v>
      </c>
      <c r="AD153" s="327"/>
      <c r="AE153" s="328"/>
      <c r="AF153" s="328">
        <f>Roles!$D$8</f>
        <v>0.09</v>
      </c>
      <c r="AG153" s="328"/>
      <c r="AH153" s="198">
        <f t="shared" si="11"/>
        <v>0</v>
      </c>
      <c r="AI153" s="327"/>
      <c r="AJ153" s="328"/>
      <c r="AK153" s="328">
        <f>Roles!$D$8</f>
        <v>0.09</v>
      </c>
      <c r="AL153" s="328"/>
      <c r="AM153" s="198">
        <f t="shared" si="12"/>
        <v>0</v>
      </c>
      <c r="AN153" s="327"/>
      <c r="AO153" s="328"/>
      <c r="AP153" s="328">
        <f>Roles!$D$8</f>
        <v>0.09</v>
      </c>
      <c r="AQ153" s="328"/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 t="shared" si="1"/>
        <v>7</v>
      </c>
      <c r="F154" s="246">
        <f>SUM(F155:F159)</f>
        <v>13</v>
      </c>
      <c r="G154" s="105">
        <f t="shared" si="2"/>
        <v>0.01119724376</v>
      </c>
      <c r="H154" s="226">
        <f>H159</f>
        <v>0.5572782084</v>
      </c>
      <c r="I154" s="247">
        <f>SUM(I155:I159)</f>
        <v>2</v>
      </c>
      <c r="J154" s="247">
        <f>J159</f>
        <v>768</v>
      </c>
      <c r="K154" s="167">
        <f t="shared" si="3"/>
        <v>0.7942088935</v>
      </c>
      <c r="L154" s="247">
        <f>SUM(L155:L159)</f>
        <v>0.88</v>
      </c>
      <c r="M154" s="247">
        <f>M159</f>
        <v>337.92</v>
      </c>
      <c r="N154" s="198">
        <f t="shared" si="6"/>
        <v>0</v>
      </c>
      <c r="O154" s="328"/>
      <c r="P154" s="328"/>
      <c r="Q154" s="328">
        <f>Roles!$D$5</f>
        <v>0.44</v>
      </c>
      <c r="R154" s="328">
        <f t="shared" si="7"/>
        <v>0</v>
      </c>
      <c r="S154" s="198">
        <f t="shared" si="8"/>
        <v>0</v>
      </c>
      <c r="T154" s="327"/>
      <c r="U154" s="328"/>
      <c r="V154" s="328">
        <f>Roles!$D$8</f>
        <v>0.09</v>
      </c>
      <c r="W154" s="328"/>
      <c r="X154" s="198">
        <f t="shared" si="9"/>
        <v>0</v>
      </c>
      <c r="Y154" s="327"/>
      <c r="Z154" s="328"/>
      <c r="AA154" s="328">
        <f>Roles!$D$8</f>
        <v>0.09</v>
      </c>
      <c r="AB154" s="328"/>
      <c r="AC154" s="198">
        <f t="shared" si="10"/>
        <v>0</v>
      </c>
      <c r="AD154" s="327"/>
      <c r="AE154" s="328"/>
      <c r="AF154" s="328">
        <f>Roles!$D$8</f>
        <v>0.09</v>
      </c>
      <c r="AG154" s="328"/>
      <c r="AH154" s="198">
        <f t="shared" si="11"/>
        <v>0</v>
      </c>
      <c r="AI154" s="327"/>
      <c r="AJ154" s="328"/>
      <c r="AK154" s="328">
        <f>Roles!$D$8</f>
        <v>0.09</v>
      </c>
      <c r="AL154" s="328"/>
      <c r="AM154" s="198">
        <f t="shared" si="12"/>
        <v>0</v>
      </c>
      <c r="AN154" s="327"/>
      <c r="AO154" s="328"/>
      <c r="AP154" s="328">
        <f>Roles!$D$8</f>
        <v>0.09</v>
      </c>
      <c r="AQ154" s="328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 t="shared" si="1"/>
        <v>2</v>
      </c>
      <c r="F155" s="80">
        <v>3.0</v>
      </c>
      <c r="G155" s="105">
        <f t="shared" si="2"/>
        <v>0.002583979328</v>
      </c>
      <c r="H155" s="47">
        <f>H153+G155</f>
        <v>0.548664944</v>
      </c>
      <c r="I155" s="187">
        <f t="shared" ref="I155:I159" si="131">O155+T155+Y155+AD155+AI155+AN155</f>
        <v>0</v>
      </c>
      <c r="J155" s="172">
        <f>J153+I155</f>
        <v>766</v>
      </c>
      <c r="K155" s="115">
        <f t="shared" si="3"/>
        <v>0.7921406412</v>
      </c>
      <c r="L155" s="232">
        <f t="shared" ref="L155:L159" si="132">R155+W155+AB155+AG155+AL155+AQ155</f>
        <v>0</v>
      </c>
      <c r="M155" s="172">
        <f>M153+L155</f>
        <v>337.04</v>
      </c>
      <c r="N155" s="198">
        <f t="shared" si="6"/>
        <v>0</v>
      </c>
      <c r="O155" s="337">
        <v>0.0</v>
      </c>
      <c r="P155" s="328"/>
      <c r="Q155" s="328">
        <f>Roles!$D$5</f>
        <v>0.44</v>
      </c>
      <c r="R155" s="328">
        <f t="shared" si="7"/>
        <v>0</v>
      </c>
      <c r="S155" s="198">
        <f t="shared" si="8"/>
        <v>0</v>
      </c>
      <c r="T155" s="327"/>
      <c r="U155" s="328"/>
      <c r="V155" s="328">
        <f>Roles!$D$8</f>
        <v>0.09</v>
      </c>
      <c r="W155" s="328"/>
      <c r="X155" s="198">
        <f t="shared" si="9"/>
        <v>0</v>
      </c>
      <c r="Y155" s="327"/>
      <c r="Z155" s="328"/>
      <c r="AA155" s="328">
        <f>Roles!$D$8</f>
        <v>0.09</v>
      </c>
      <c r="AB155" s="328"/>
      <c r="AC155" s="198">
        <f t="shared" si="10"/>
        <v>0</v>
      </c>
      <c r="AD155" s="327"/>
      <c r="AE155" s="328"/>
      <c r="AF155" s="328">
        <f>Roles!$D$8</f>
        <v>0.09</v>
      </c>
      <c r="AG155" s="328"/>
      <c r="AH155" s="198">
        <f t="shared" si="11"/>
        <v>0</v>
      </c>
      <c r="AI155" s="327"/>
      <c r="AJ155" s="328"/>
      <c r="AK155" s="328">
        <f>Roles!$D$8</f>
        <v>0.09</v>
      </c>
      <c r="AL155" s="328"/>
      <c r="AM155" s="198">
        <f t="shared" si="12"/>
        <v>0</v>
      </c>
      <c r="AN155" s="327"/>
      <c r="AO155" s="328"/>
      <c r="AP155" s="328">
        <f>Roles!$D$8</f>
        <v>0.09</v>
      </c>
      <c r="AQ155" s="328"/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 t="shared" si="1"/>
        <v>2</v>
      </c>
      <c r="F156" s="80">
        <v>3.0</v>
      </c>
      <c r="G156" s="105">
        <f t="shared" si="2"/>
        <v>0.002583979328</v>
      </c>
      <c r="H156" s="47">
        <f t="shared" ref="H156:H159" si="133">H155+G156</f>
        <v>0.5512489233</v>
      </c>
      <c r="I156" s="187">
        <f t="shared" si="131"/>
        <v>0</v>
      </c>
      <c r="J156" s="172">
        <f t="shared" ref="J156:J159" si="134">J155+I156</f>
        <v>766</v>
      </c>
      <c r="K156" s="115">
        <f t="shared" si="3"/>
        <v>0.7921406412</v>
      </c>
      <c r="L156" s="232">
        <f t="shared" si="132"/>
        <v>0</v>
      </c>
      <c r="M156" s="172">
        <f t="shared" ref="M156:M159" si="135">M155+L156</f>
        <v>337.04</v>
      </c>
      <c r="N156" s="198">
        <f t="shared" si="6"/>
        <v>0</v>
      </c>
      <c r="O156" s="337">
        <v>0.0</v>
      </c>
      <c r="P156" s="328"/>
      <c r="Q156" s="328">
        <f>Roles!$D$5</f>
        <v>0.44</v>
      </c>
      <c r="R156" s="328">
        <f t="shared" si="7"/>
        <v>0</v>
      </c>
      <c r="S156" s="198">
        <f t="shared" si="8"/>
        <v>0</v>
      </c>
      <c r="T156" s="327"/>
      <c r="U156" s="328"/>
      <c r="V156" s="328">
        <f>Roles!$D$8</f>
        <v>0.09</v>
      </c>
      <c r="W156" s="328"/>
      <c r="X156" s="198">
        <f t="shared" si="9"/>
        <v>0</v>
      </c>
      <c r="Y156" s="327"/>
      <c r="Z156" s="328"/>
      <c r="AA156" s="328">
        <f>Roles!$D$8</f>
        <v>0.09</v>
      </c>
      <c r="AB156" s="328"/>
      <c r="AC156" s="198">
        <f t="shared" si="10"/>
        <v>0</v>
      </c>
      <c r="AD156" s="327"/>
      <c r="AE156" s="328"/>
      <c r="AF156" s="328">
        <f>Roles!$D$8</f>
        <v>0.09</v>
      </c>
      <c r="AG156" s="328"/>
      <c r="AH156" s="198">
        <f t="shared" si="11"/>
        <v>0</v>
      </c>
      <c r="AI156" s="327"/>
      <c r="AJ156" s="328"/>
      <c r="AK156" s="328">
        <f>Roles!$D$8</f>
        <v>0.09</v>
      </c>
      <c r="AL156" s="328"/>
      <c r="AM156" s="198">
        <f t="shared" si="12"/>
        <v>0</v>
      </c>
      <c r="AN156" s="327"/>
      <c r="AO156" s="328"/>
      <c r="AP156" s="328">
        <f>Roles!$D$8</f>
        <v>0.09</v>
      </c>
      <c r="AQ156" s="328"/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 t="shared" si="1"/>
        <v>2</v>
      </c>
      <c r="F157" s="80">
        <v>2.0</v>
      </c>
      <c r="G157" s="105">
        <f t="shared" si="2"/>
        <v>0.001722652885</v>
      </c>
      <c r="H157" s="47">
        <f t="shared" si="133"/>
        <v>0.5529715762</v>
      </c>
      <c r="I157" s="187">
        <f t="shared" si="131"/>
        <v>0</v>
      </c>
      <c r="J157" s="172">
        <f t="shared" si="134"/>
        <v>766</v>
      </c>
      <c r="K157" s="115">
        <f t="shared" si="3"/>
        <v>0.7921406412</v>
      </c>
      <c r="L157" s="232">
        <f t="shared" si="132"/>
        <v>0</v>
      </c>
      <c r="M157" s="172">
        <f t="shared" si="135"/>
        <v>337.04</v>
      </c>
      <c r="N157" s="198">
        <f t="shared" si="6"/>
        <v>0</v>
      </c>
      <c r="O157" s="337">
        <v>0.0</v>
      </c>
      <c r="P157" s="328"/>
      <c r="Q157" s="328">
        <f>Roles!$D$5</f>
        <v>0.44</v>
      </c>
      <c r="R157" s="328">
        <f t="shared" si="7"/>
        <v>0</v>
      </c>
      <c r="S157" s="198">
        <f t="shared" si="8"/>
        <v>0</v>
      </c>
      <c r="T157" s="327"/>
      <c r="U157" s="328"/>
      <c r="V157" s="328">
        <f>Roles!$D$8</f>
        <v>0.09</v>
      </c>
      <c r="W157" s="328"/>
      <c r="X157" s="198">
        <f t="shared" si="9"/>
        <v>0</v>
      </c>
      <c r="Y157" s="327"/>
      <c r="Z157" s="328"/>
      <c r="AA157" s="328">
        <f>Roles!$D$8</f>
        <v>0.09</v>
      </c>
      <c r="AB157" s="328"/>
      <c r="AC157" s="198">
        <f t="shared" si="10"/>
        <v>0</v>
      </c>
      <c r="AD157" s="327"/>
      <c r="AE157" s="328"/>
      <c r="AF157" s="328">
        <f>Roles!$D$8</f>
        <v>0.09</v>
      </c>
      <c r="AG157" s="328"/>
      <c r="AH157" s="198">
        <f t="shared" si="11"/>
        <v>0</v>
      </c>
      <c r="AI157" s="327"/>
      <c r="AJ157" s="328"/>
      <c r="AK157" s="328">
        <f>Roles!$D$8</f>
        <v>0.09</v>
      </c>
      <c r="AL157" s="328"/>
      <c r="AM157" s="198">
        <f t="shared" si="12"/>
        <v>0</v>
      </c>
      <c r="AN157" s="327"/>
      <c r="AO157" s="328"/>
      <c r="AP157" s="328">
        <f>Roles!$D$8</f>
        <v>0.09</v>
      </c>
      <c r="AQ157" s="328"/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 t="shared" si="1"/>
        <v>2</v>
      </c>
      <c r="F158" s="80">
        <v>3.0</v>
      </c>
      <c r="G158" s="105">
        <f t="shared" si="2"/>
        <v>0.002583979328</v>
      </c>
      <c r="H158" s="47">
        <f t="shared" si="133"/>
        <v>0.5555555556</v>
      </c>
      <c r="I158" s="187">
        <f t="shared" si="131"/>
        <v>0</v>
      </c>
      <c r="J158" s="172">
        <f t="shared" si="134"/>
        <v>766</v>
      </c>
      <c r="K158" s="115">
        <f t="shared" si="3"/>
        <v>0.7921406412</v>
      </c>
      <c r="L158" s="232">
        <f t="shared" si="132"/>
        <v>0</v>
      </c>
      <c r="M158" s="172">
        <f t="shared" si="135"/>
        <v>337.04</v>
      </c>
      <c r="N158" s="198">
        <f t="shared" si="6"/>
        <v>0</v>
      </c>
      <c r="O158" s="337">
        <v>0.0</v>
      </c>
      <c r="P158" s="328"/>
      <c r="Q158" s="328">
        <f>Roles!$D$5</f>
        <v>0.44</v>
      </c>
      <c r="R158" s="328">
        <f t="shared" si="7"/>
        <v>0</v>
      </c>
      <c r="S158" s="198">
        <f t="shared" si="8"/>
        <v>0</v>
      </c>
      <c r="T158" s="327"/>
      <c r="U158" s="328"/>
      <c r="V158" s="328">
        <f>Roles!$D$8</f>
        <v>0.09</v>
      </c>
      <c r="W158" s="328"/>
      <c r="X158" s="198">
        <f t="shared" si="9"/>
        <v>0</v>
      </c>
      <c r="Y158" s="327"/>
      <c r="Z158" s="328"/>
      <c r="AA158" s="328">
        <f>Roles!$D$8</f>
        <v>0.09</v>
      </c>
      <c r="AB158" s="328"/>
      <c r="AC158" s="198">
        <f t="shared" si="10"/>
        <v>0</v>
      </c>
      <c r="AD158" s="327"/>
      <c r="AE158" s="328"/>
      <c r="AF158" s="328">
        <f>Roles!$D$8</f>
        <v>0.09</v>
      </c>
      <c r="AG158" s="328"/>
      <c r="AH158" s="198">
        <f t="shared" si="11"/>
        <v>0</v>
      </c>
      <c r="AI158" s="327"/>
      <c r="AJ158" s="328"/>
      <c r="AK158" s="328">
        <f>Roles!$D$8</f>
        <v>0.09</v>
      </c>
      <c r="AL158" s="328"/>
      <c r="AM158" s="198">
        <f t="shared" si="12"/>
        <v>0</v>
      </c>
      <c r="AN158" s="327"/>
      <c r="AO158" s="328"/>
      <c r="AP158" s="328">
        <f>Roles!$D$8</f>
        <v>0.09</v>
      </c>
      <c r="AQ158" s="328"/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 t="shared" si="1"/>
        <v>2</v>
      </c>
      <c r="F159" s="80">
        <v>2.0</v>
      </c>
      <c r="G159" s="105">
        <f t="shared" si="2"/>
        <v>0.001722652885</v>
      </c>
      <c r="H159" s="47">
        <f t="shared" si="133"/>
        <v>0.5572782084</v>
      </c>
      <c r="I159" s="187">
        <f t="shared" si="131"/>
        <v>2</v>
      </c>
      <c r="J159" s="172">
        <f t="shared" si="134"/>
        <v>768</v>
      </c>
      <c r="K159" s="115">
        <f t="shared" si="3"/>
        <v>0.7942088935</v>
      </c>
      <c r="L159" s="232">
        <f t="shared" si="132"/>
        <v>0.88</v>
      </c>
      <c r="M159" s="172">
        <f t="shared" si="135"/>
        <v>337.92</v>
      </c>
      <c r="N159" s="198">
        <f t="shared" si="6"/>
        <v>1</v>
      </c>
      <c r="O159" s="337">
        <v>2.0</v>
      </c>
      <c r="P159" s="328"/>
      <c r="Q159" s="328">
        <f>Roles!$D$5</f>
        <v>0.44</v>
      </c>
      <c r="R159" s="328">
        <f t="shared" si="7"/>
        <v>0.88</v>
      </c>
      <c r="S159" s="198">
        <f t="shared" si="8"/>
        <v>0</v>
      </c>
      <c r="T159" s="327"/>
      <c r="U159" s="328"/>
      <c r="V159" s="328">
        <f>Roles!$D$8</f>
        <v>0.09</v>
      </c>
      <c r="W159" s="328"/>
      <c r="X159" s="198">
        <f t="shared" si="9"/>
        <v>0</v>
      </c>
      <c r="Y159" s="327"/>
      <c r="Z159" s="328"/>
      <c r="AA159" s="328">
        <f>Roles!$D$8</f>
        <v>0.09</v>
      </c>
      <c r="AB159" s="328"/>
      <c r="AC159" s="198">
        <f t="shared" si="10"/>
        <v>0</v>
      </c>
      <c r="AD159" s="327"/>
      <c r="AE159" s="328"/>
      <c r="AF159" s="328">
        <f>Roles!$D$8</f>
        <v>0.09</v>
      </c>
      <c r="AG159" s="328"/>
      <c r="AH159" s="198">
        <f t="shared" si="11"/>
        <v>0</v>
      </c>
      <c r="AI159" s="327"/>
      <c r="AJ159" s="328"/>
      <c r="AK159" s="328">
        <f>Roles!$D$8</f>
        <v>0.09</v>
      </c>
      <c r="AL159" s="328"/>
      <c r="AM159" s="198">
        <f t="shared" si="12"/>
        <v>0</v>
      </c>
      <c r="AN159" s="327"/>
      <c r="AO159" s="328"/>
      <c r="AP159" s="328">
        <f>Roles!$D$8</f>
        <v>0.09</v>
      </c>
      <c r="AQ159" s="328"/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 t="shared" si="1"/>
        <v>17</v>
      </c>
      <c r="F160" s="246">
        <f>SUM(F161:F165)</f>
        <v>17</v>
      </c>
      <c r="G160" s="105">
        <f t="shared" si="2"/>
        <v>0.01464254953</v>
      </c>
      <c r="H160" s="226">
        <f>H165</f>
        <v>0.571920758</v>
      </c>
      <c r="I160" s="247">
        <f>SUM(I161:I165)</f>
        <v>0</v>
      </c>
      <c r="J160" s="247">
        <f>J165</f>
        <v>768</v>
      </c>
      <c r="K160" s="167">
        <f t="shared" si="3"/>
        <v>0.7942088935</v>
      </c>
      <c r="L160" s="247">
        <f>SUM(L161:L165)</f>
        <v>0</v>
      </c>
      <c r="M160" s="247">
        <f>M165</f>
        <v>337.92</v>
      </c>
      <c r="N160" s="198">
        <f t="shared" si="6"/>
        <v>0</v>
      </c>
      <c r="O160" s="328"/>
      <c r="P160" s="328"/>
      <c r="Q160" s="328">
        <f>Roles!$D$5</f>
        <v>0.44</v>
      </c>
      <c r="R160" s="328">
        <f t="shared" si="7"/>
        <v>0</v>
      </c>
      <c r="S160" s="198">
        <f t="shared" si="8"/>
        <v>0</v>
      </c>
      <c r="T160" s="327"/>
      <c r="U160" s="328"/>
      <c r="V160" s="328">
        <f>Roles!$D$8</f>
        <v>0.09</v>
      </c>
      <c r="W160" s="328"/>
      <c r="X160" s="198">
        <f t="shared" si="9"/>
        <v>0</v>
      </c>
      <c r="Y160" s="327"/>
      <c r="Z160" s="328"/>
      <c r="AA160" s="328">
        <f>Roles!$D$8</f>
        <v>0.09</v>
      </c>
      <c r="AB160" s="328"/>
      <c r="AC160" s="198">
        <f t="shared" si="10"/>
        <v>0</v>
      </c>
      <c r="AD160" s="327"/>
      <c r="AE160" s="328"/>
      <c r="AF160" s="328">
        <f>Roles!$D$8</f>
        <v>0.09</v>
      </c>
      <c r="AG160" s="328"/>
      <c r="AH160" s="198">
        <f t="shared" si="11"/>
        <v>0</v>
      </c>
      <c r="AI160" s="327"/>
      <c r="AJ160" s="328"/>
      <c r="AK160" s="328">
        <f>Roles!$D$8</f>
        <v>0.09</v>
      </c>
      <c r="AL160" s="328"/>
      <c r="AM160" s="198">
        <f t="shared" si="12"/>
        <v>0</v>
      </c>
      <c r="AN160" s="327"/>
      <c r="AO160" s="328"/>
      <c r="AP160" s="328">
        <f>Roles!$D$8</f>
        <v>0.09</v>
      </c>
      <c r="AQ160" s="328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 t="shared" si="1"/>
        <v>2</v>
      </c>
      <c r="F161" s="80">
        <v>3.0</v>
      </c>
      <c r="G161" s="105">
        <f t="shared" si="2"/>
        <v>0.002583979328</v>
      </c>
      <c r="H161" s="47">
        <f>H159+G161</f>
        <v>0.5598621878</v>
      </c>
      <c r="I161" s="187">
        <f t="shared" ref="I161:I165" si="136">O161+T161+Y161+AD161+AI161+AN161</f>
        <v>0</v>
      </c>
      <c r="J161" s="172">
        <f>J159+I161</f>
        <v>768</v>
      </c>
      <c r="K161" s="115">
        <f t="shared" si="3"/>
        <v>0.7942088935</v>
      </c>
      <c r="L161" s="232">
        <f t="shared" ref="L161:L165" si="137">R161+W161+AB161+AG161+AL161+AQ161</f>
        <v>0</v>
      </c>
      <c r="M161" s="172">
        <f>M159+L161</f>
        <v>337.92</v>
      </c>
      <c r="N161" s="198">
        <f t="shared" si="6"/>
        <v>0</v>
      </c>
      <c r="O161" s="337">
        <v>0.0</v>
      </c>
      <c r="P161" s="328"/>
      <c r="Q161" s="328">
        <f>Roles!$D$5</f>
        <v>0.44</v>
      </c>
      <c r="R161" s="328">
        <f t="shared" si="7"/>
        <v>0</v>
      </c>
      <c r="S161" s="198">
        <f t="shared" si="8"/>
        <v>0</v>
      </c>
      <c r="T161" s="327"/>
      <c r="U161" s="328"/>
      <c r="V161" s="328">
        <f>Roles!$D$8</f>
        <v>0.09</v>
      </c>
      <c r="W161" s="328"/>
      <c r="X161" s="198">
        <f t="shared" si="9"/>
        <v>0</v>
      </c>
      <c r="Y161" s="327"/>
      <c r="Z161" s="328"/>
      <c r="AA161" s="328">
        <f>Roles!$D$8</f>
        <v>0.09</v>
      </c>
      <c r="AB161" s="328"/>
      <c r="AC161" s="198">
        <f t="shared" si="10"/>
        <v>0</v>
      </c>
      <c r="AD161" s="327"/>
      <c r="AE161" s="328"/>
      <c r="AF161" s="328">
        <f>Roles!$D$8</f>
        <v>0.09</v>
      </c>
      <c r="AG161" s="328"/>
      <c r="AH161" s="198">
        <f t="shared" si="11"/>
        <v>0</v>
      </c>
      <c r="AI161" s="327"/>
      <c r="AJ161" s="328"/>
      <c r="AK161" s="328">
        <f>Roles!$D$8</f>
        <v>0.09</v>
      </c>
      <c r="AL161" s="328"/>
      <c r="AM161" s="198">
        <f t="shared" si="12"/>
        <v>0</v>
      </c>
      <c r="AN161" s="327"/>
      <c r="AO161" s="328"/>
      <c r="AP161" s="328">
        <f>Roles!$D$8</f>
        <v>0.09</v>
      </c>
      <c r="AQ161" s="328"/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 t="shared" si="1"/>
        <v>3</v>
      </c>
      <c r="F162" s="80">
        <v>4.0</v>
      </c>
      <c r="G162" s="105">
        <f t="shared" si="2"/>
        <v>0.003445305771</v>
      </c>
      <c r="H162" s="47">
        <f t="shared" ref="H162:H165" si="138">H161+G162</f>
        <v>0.5633074935</v>
      </c>
      <c r="I162" s="187">
        <f t="shared" si="136"/>
        <v>0</v>
      </c>
      <c r="J162" s="172">
        <f t="shared" ref="J162:J165" si="139">J161+I162</f>
        <v>768</v>
      </c>
      <c r="K162" s="115">
        <f t="shared" si="3"/>
        <v>0.7942088935</v>
      </c>
      <c r="L162" s="232">
        <f t="shared" si="137"/>
        <v>0</v>
      </c>
      <c r="M162" s="172">
        <f t="shared" ref="M162:M165" si="140">M161+L162</f>
        <v>337.92</v>
      </c>
      <c r="N162" s="198">
        <f t="shared" si="6"/>
        <v>0</v>
      </c>
      <c r="O162" s="337">
        <v>0.0</v>
      </c>
      <c r="P162" s="328"/>
      <c r="Q162" s="328">
        <f>Roles!$D$5</f>
        <v>0.44</v>
      </c>
      <c r="R162" s="328">
        <f t="shared" si="7"/>
        <v>0</v>
      </c>
      <c r="S162" s="198">
        <f t="shared" si="8"/>
        <v>0</v>
      </c>
      <c r="T162" s="327"/>
      <c r="U162" s="328"/>
      <c r="V162" s="328">
        <f>Roles!$D$8</f>
        <v>0.09</v>
      </c>
      <c r="W162" s="328"/>
      <c r="X162" s="198">
        <f t="shared" si="9"/>
        <v>0</v>
      </c>
      <c r="Y162" s="327"/>
      <c r="Z162" s="328"/>
      <c r="AA162" s="328">
        <f>Roles!$D$8</f>
        <v>0.09</v>
      </c>
      <c r="AB162" s="328"/>
      <c r="AC162" s="198">
        <f t="shared" si="10"/>
        <v>0</v>
      </c>
      <c r="AD162" s="327"/>
      <c r="AE162" s="328"/>
      <c r="AF162" s="328">
        <f>Roles!$D$8</f>
        <v>0.09</v>
      </c>
      <c r="AG162" s="328"/>
      <c r="AH162" s="198">
        <f t="shared" si="11"/>
        <v>0</v>
      </c>
      <c r="AI162" s="327"/>
      <c r="AJ162" s="328"/>
      <c r="AK162" s="328">
        <f>Roles!$D$8</f>
        <v>0.09</v>
      </c>
      <c r="AL162" s="328"/>
      <c r="AM162" s="198">
        <f t="shared" si="12"/>
        <v>0</v>
      </c>
      <c r="AN162" s="327"/>
      <c r="AO162" s="328"/>
      <c r="AP162" s="328">
        <f>Roles!$D$8</f>
        <v>0.09</v>
      </c>
      <c r="AQ162" s="328"/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 t="shared" si="1"/>
        <v>2</v>
      </c>
      <c r="F163" s="80">
        <v>3.0</v>
      </c>
      <c r="G163" s="105">
        <f t="shared" si="2"/>
        <v>0.002583979328</v>
      </c>
      <c r="H163" s="47">
        <f t="shared" si="138"/>
        <v>0.5658914729</v>
      </c>
      <c r="I163" s="187">
        <f t="shared" si="136"/>
        <v>0</v>
      </c>
      <c r="J163" s="172">
        <f t="shared" si="139"/>
        <v>768</v>
      </c>
      <c r="K163" s="115">
        <f t="shared" si="3"/>
        <v>0.7942088935</v>
      </c>
      <c r="L163" s="232">
        <f t="shared" si="137"/>
        <v>0</v>
      </c>
      <c r="M163" s="172">
        <f t="shared" si="140"/>
        <v>337.92</v>
      </c>
      <c r="N163" s="198">
        <f t="shared" si="6"/>
        <v>0</v>
      </c>
      <c r="O163" s="337">
        <v>0.0</v>
      </c>
      <c r="P163" s="328"/>
      <c r="Q163" s="328">
        <f>Roles!$D$5</f>
        <v>0.44</v>
      </c>
      <c r="R163" s="328">
        <f t="shared" si="7"/>
        <v>0</v>
      </c>
      <c r="S163" s="198">
        <f t="shared" si="8"/>
        <v>0</v>
      </c>
      <c r="T163" s="327"/>
      <c r="U163" s="328"/>
      <c r="V163" s="328">
        <f>Roles!$D$8</f>
        <v>0.09</v>
      </c>
      <c r="W163" s="328"/>
      <c r="X163" s="198">
        <f t="shared" si="9"/>
        <v>0</v>
      </c>
      <c r="Y163" s="327"/>
      <c r="Z163" s="328"/>
      <c r="AA163" s="328">
        <f>Roles!$D$8</f>
        <v>0.09</v>
      </c>
      <c r="AB163" s="328"/>
      <c r="AC163" s="198">
        <f t="shared" si="10"/>
        <v>0</v>
      </c>
      <c r="AD163" s="327"/>
      <c r="AE163" s="328"/>
      <c r="AF163" s="328">
        <f>Roles!$D$8</f>
        <v>0.09</v>
      </c>
      <c r="AG163" s="328"/>
      <c r="AH163" s="198">
        <f t="shared" si="11"/>
        <v>0</v>
      </c>
      <c r="AI163" s="327"/>
      <c r="AJ163" s="328"/>
      <c r="AK163" s="328">
        <f>Roles!$D$8</f>
        <v>0.09</v>
      </c>
      <c r="AL163" s="328"/>
      <c r="AM163" s="198">
        <f t="shared" si="12"/>
        <v>0</v>
      </c>
      <c r="AN163" s="327"/>
      <c r="AO163" s="328"/>
      <c r="AP163" s="328">
        <f>Roles!$D$8</f>
        <v>0.09</v>
      </c>
      <c r="AQ163" s="328"/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 t="shared" si="1"/>
        <v>3</v>
      </c>
      <c r="F164" s="80">
        <v>4.0</v>
      </c>
      <c r="G164" s="105">
        <f t="shared" si="2"/>
        <v>0.003445305771</v>
      </c>
      <c r="H164" s="47">
        <f t="shared" si="138"/>
        <v>0.5693367786</v>
      </c>
      <c r="I164" s="187">
        <f t="shared" si="136"/>
        <v>0</v>
      </c>
      <c r="J164" s="172">
        <f t="shared" si="139"/>
        <v>768</v>
      </c>
      <c r="K164" s="115">
        <f t="shared" si="3"/>
        <v>0.7942088935</v>
      </c>
      <c r="L164" s="232">
        <f t="shared" si="137"/>
        <v>0</v>
      </c>
      <c r="M164" s="172">
        <f t="shared" si="140"/>
        <v>337.92</v>
      </c>
      <c r="N164" s="198">
        <f t="shared" si="6"/>
        <v>0</v>
      </c>
      <c r="O164" s="337">
        <v>0.0</v>
      </c>
      <c r="P164" s="328"/>
      <c r="Q164" s="328">
        <f>Roles!$D$5</f>
        <v>0.44</v>
      </c>
      <c r="R164" s="328">
        <f t="shared" si="7"/>
        <v>0</v>
      </c>
      <c r="S164" s="198">
        <f t="shared" si="8"/>
        <v>0</v>
      </c>
      <c r="T164" s="327"/>
      <c r="U164" s="328"/>
      <c r="V164" s="328">
        <f>Roles!$D$8</f>
        <v>0.09</v>
      </c>
      <c r="W164" s="328"/>
      <c r="X164" s="198">
        <f t="shared" si="9"/>
        <v>0</v>
      </c>
      <c r="Y164" s="327"/>
      <c r="Z164" s="328"/>
      <c r="AA164" s="328">
        <f>Roles!$D$8</f>
        <v>0.09</v>
      </c>
      <c r="AB164" s="328"/>
      <c r="AC164" s="198">
        <f t="shared" si="10"/>
        <v>0</v>
      </c>
      <c r="AD164" s="327"/>
      <c r="AE164" s="328"/>
      <c r="AF164" s="328">
        <f>Roles!$D$8</f>
        <v>0.09</v>
      </c>
      <c r="AG164" s="328"/>
      <c r="AH164" s="198">
        <f t="shared" si="11"/>
        <v>0</v>
      </c>
      <c r="AI164" s="327"/>
      <c r="AJ164" s="328"/>
      <c r="AK164" s="328">
        <f>Roles!$D$8</f>
        <v>0.09</v>
      </c>
      <c r="AL164" s="328"/>
      <c r="AM164" s="198">
        <f t="shared" si="12"/>
        <v>0</v>
      </c>
      <c r="AN164" s="327"/>
      <c r="AO164" s="328"/>
      <c r="AP164" s="328">
        <f>Roles!$D$8</f>
        <v>0.09</v>
      </c>
      <c r="AQ164" s="328"/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 t="shared" si="1"/>
        <v>2</v>
      </c>
      <c r="F165" s="80">
        <v>3.0</v>
      </c>
      <c r="G165" s="105">
        <f t="shared" si="2"/>
        <v>0.002583979328</v>
      </c>
      <c r="H165" s="47">
        <f t="shared" si="138"/>
        <v>0.571920758</v>
      </c>
      <c r="I165" s="187">
        <f t="shared" si="136"/>
        <v>0</v>
      </c>
      <c r="J165" s="172">
        <f t="shared" si="139"/>
        <v>768</v>
      </c>
      <c r="K165" s="115">
        <f t="shared" si="3"/>
        <v>0.7942088935</v>
      </c>
      <c r="L165" s="232">
        <f t="shared" si="137"/>
        <v>0</v>
      </c>
      <c r="M165" s="172">
        <f t="shared" si="140"/>
        <v>337.92</v>
      </c>
      <c r="N165" s="198">
        <f t="shared" si="6"/>
        <v>0</v>
      </c>
      <c r="O165" s="337">
        <v>0.0</v>
      </c>
      <c r="P165" s="328"/>
      <c r="Q165" s="328">
        <f>Roles!$D$5</f>
        <v>0.44</v>
      </c>
      <c r="R165" s="328">
        <f t="shared" si="7"/>
        <v>0</v>
      </c>
      <c r="S165" s="198">
        <f t="shared" si="8"/>
        <v>0</v>
      </c>
      <c r="T165" s="327"/>
      <c r="U165" s="328"/>
      <c r="V165" s="328">
        <f>Roles!$D$8</f>
        <v>0.09</v>
      </c>
      <c r="W165" s="328"/>
      <c r="X165" s="198">
        <f t="shared" si="9"/>
        <v>0</v>
      </c>
      <c r="Y165" s="327"/>
      <c r="Z165" s="328"/>
      <c r="AA165" s="328">
        <f>Roles!$D$8</f>
        <v>0.09</v>
      </c>
      <c r="AB165" s="328"/>
      <c r="AC165" s="198">
        <f t="shared" si="10"/>
        <v>0</v>
      </c>
      <c r="AD165" s="327"/>
      <c r="AE165" s="328"/>
      <c r="AF165" s="328">
        <f>Roles!$D$8</f>
        <v>0.09</v>
      </c>
      <c r="AG165" s="328"/>
      <c r="AH165" s="198">
        <f t="shared" si="11"/>
        <v>0</v>
      </c>
      <c r="AI165" s="327"/>
      <c r="AJ165" s="328"/>
      <c r="AK165" s="328">
        <f>Roles!$D$8</f>
        <v>0.09</v>
      </c>
      <c r="AL165" s="328"/>
      <c r="AM165" s="198">
        <f t="shared" si="12"/>
        <v>0</v>
      </c>
      <c r="AN165" s="327"/>
      <c r="AO165" s="328"/>
      <c r="AP165" s="328">
        <f>Roles!$D$8</f>
        <v>0.09</v>
      </c>
      <c r="AQ165" s="328"/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 t="shared" si="1"/>
        <v>8</v>
      </c>
      <c r="F166" s="246">
        <f>SUM(F167:F169)</f>
        <v>61</v>
      </c>
      <c r="G166" s="105">
        <f t="shared" si="2"/>
        <v>0.05254091301</v>
      </c>
      <c r="H166" s="226">
        <f>H169</f>
        <v>0.624461671</v>
      </c>
      <c r="I166" s="247">
        <f>SUM(I167:I169)</f>
        <v>2</v>
      </c>
      <c r="J166" s="247">
        <f>J169</f>
        <v>770</v>
      </c>
      <c r="K166" s="167">
        <f t="shared" si="3"/>
        <v>0.7962771458</v>
      </c>
      <c r="L166" s="247">
        <f>SUM(L167:L169)</f>
        <v>0.88</v>
      </c>
      <c r="M166" s="247">
        <f>M169</f>
        <v>338.8</v>
      </c>
      <c r="N166" s="198">
        <f t="shared" si="6"/>
        <v>0</v>
      </c>
      <c r="O166" s="328"/>
      <c r="P166" s="328"/>
      <c r="Q166" s="328">
        <f>Roles!$D$5</f>
        <v>0.44</v>
      </c>
      <c r="R166" s="328">
        <f t="shared" si="7"/>
        <v>0</v>
      </c>
      <c r="S166" s="198">
        <f t="shared" si="8"/>
        <v>0</v>
      </c>
      <c r="T166" s="327"/>
      <c r="U166" s="328"/>
      <c r="V166" s="328">
        <f>Roles!$D$8</f>
        <v>0.09</v>
      </c>
      <c r="W166" s="328"/>
      <c r="X166" s="198">
        <f t="shared" si="9"/>
        <v>0</v>
      </c>
      <c r="Y166" s="327"/>
      <c r="Z166" s="328"/>
      <c r="AA166" s="328">
        <f>Roles!$D$8</f>
        <v>0.09</v>
      </c>
      <c r="AB166" s="328"/>
      <c r="AC166" s="198">
        <f t="shared" si="10"/>
        <v>0</v>
      </c>
      <c r="AD166" s="327"/>
      <c r="AE166" s="328"/>
      <c r="AF166" s="328">
        <f>Roles!$D$8</f>
        <v>0.09</v>
      </c>
      <c r="AG166" s="328"/>
      <c r="AH166" s="198">
        <f t="shared" si="11"/>
        <v>0</v>
      </c>
      <c r="AI166" s="327"/>
      <c r="AJ166" s="328"/>
      <c r="AK166" s="328">
        <f>Roles!$D$8</f>
        <v>0.09</v>
      </c>
      <c r="AL166" s="328"/>
      <c r="AM166" s="198">
        <f t="shared" si="12"/>
        <v>0</v>
      </c>
      <c r="AN166" s="327"/>
      <c r="AO166" s="328"/>
      <c r="AP166" s="328">
        <f>Roles!$D$8</f>
        <v>0.09</v>
      </c>
      <c r="AQ166" s="328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 t="shared" si="1"/>
        <v>4</v>
      </c>
      <c r="F167" s="80">
        <v>30.0</v>
      </c>
      <c r="G167" s="105">
        <f t="shared" si="2"/>
        <v>0.02583979328</v>
      </c>
      <c r="H167" s="47">
        <f>H165+G167</f>
        <v>0.5977605512</v>
      </c>
      <c r="I167" s="187">
        <f t="shared" ref="I167:I169" si="141">O167+T167+Y167+AD167+AI167+AN167</f>
        <v>1</v>
      </c>
      <c r="J167" s="172">
        <f>J165+I167</f>
        <v>769</v>
      </c>
      <c r="K167" s="115">
        <f t="shared" si="3"/>
        <v>0.7952430196</v>
      </c>
      <c r="L167" s="232">
        <f t="shared" ref="L167:L169" si="142">R167+W167+AB167+AG167+AL167+AQ167</f>
        <v>0.44</v>
      </c>
      <c r="M167" s="172">
        <f>M165+L167</f>
        <v>338.36</v>
      </c>
      <c r="N167" s="198">
        <f t="shared" si="6"/>
        <v>0.03333333333</v>
      </c>
      <c r="O167" s="337">
        <v>1.0</v>
      </c>
      <c r="P167" s="328"/>
      <c r="Q167" s="328">
        <f>Roles!$D$5</f>
        <v>0.44</v>
      </c>
      <c r="R167" s="328">
        <f t="shared" si="7"/>
        <v>0.44</v>
      </c>
      <c r="S167" s="198">
        <f t="shared" si="8"/>
        <v>0</v>
      </c>
      <c r="T167" s="327"/>
      <c r="U167" s="328"/>
      <c r="V167" s="328">
        <f>Roles!$D$8</f>
        <v>0.09</v>
      </c>
      <c r="W167" s="328"/>
      <c r="X167" s="198">
        <f t="shared" si="9"/>
        <v>0</v>
      </c>
      <c r="Y167" s="327"/>
      <c r="Z167" s="328"/>
      <c r="AA167" s="328">
        <f>Roles!$D$8</f>
        <v>0.09</v>
      </c>
      <c r="AB167" s="328"/>
      <c r="AC167" s="198">
        <f t="shared" si="10"/>
        <v>0</v>
      </c>
      <c r="AD167" s="327"/>
      <c r="AE167" s="328"/>
      <c r="AF167" s="328">
        <f>Roles!$D$8</f>
        <v>0.09</v>
      </c>
      <c r="AG167" s="328"/>
      <c r="AH167" s="198">
        <f t="shared" si="11"/>
        <v>0</v>
      </c>
      <c r="AI167" s="327"/>
      <c r="AJ167" s="328"/>
      <c r="AK167" s="328">
        <f>Roles!$D$8</f>
        <v>0.09</v>
      </c>
      <c r="AL167" s="328"/>
      <c r="AM167" s="198">
        <f t="shared" si="12"/>
        <v>0</v>
      </c>
      <c r="AN167" s="327"/>
      <c r="AO167" s="328"/>
      <c r="AP167" s="328">
        <f>Roles!$D$8</f>
        <v>0.09</v>
      </c>
      <c r="AQ167" s="328"/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 t="shared" si="1"/>
        <v>1</v>
      </c>
      <c r="F168" s="80">
        <v>1.0</v>
      </c>
      <c r="G168" s="105">
        <f t="shared" si="2"/>
        <v>0.0008613264427</v>
      </c>
      <c r="H168" s="47">
        <f t="shared" ref="H168:H169" si="143">H167+G168</f>
        <v>0.5986218777</v>
      </c>
      <c r="I168" s="187">
        <f t="shared" si="141"/>
        <v>1</v>
      </c>
      <c r="J168" s="172">
        <f t="shared" ref="J168:J169" si="144">J167+I168</f>
        <v>770</v>
      </c>
      <c r="K168" s="115">
        <f t="shared" si="3"/>
        <v>0.7962771458</v>
      </c>
      <c r="L168" s="232">
        <f t="shared" si="142"/>
        <v>0.44</v>
      </c>
      <c r="M168" s="172">
        <f t="shared" ref="M168:M169" si="145">M167+L168</f>
        <v>338.8</v>
      </c>
      <c r="N168" s="198">
        <f t="shared" si="6"/>
        <v>1</v>
      </c>
      <c r="O168" s="337">
        <v>1.0</v>
      </c>
      <c r="P168" s="328"/>
      <c r="Q168" s="328">
        <f>Roles!$D$5</f>
        <v>0.44</v>
      </c>
      <c r="R168" s="328">
        <f t="shared" si="7"/>
        <v>0.44</v>
      </c>
      <c r="S168" s="198">
        <f t="shared" si="8"/>
        <v>0</v>
      </c>
      <c r="T168" s="327"/>
      <c r="U168" s="328"/>
      <c r="V168" s="328">
        <f>Roles!$D$8</f>
        <v>0.09</v>
      </c>
      <c r="W168" s="328"/>
      <c r="X168" s="198">
        <f t="shared" si="9"/>
        <v>0</v>
      </c>
      <c r="Y168" s="327"/>
      <c r="Z168" s="328"/>
      <c r="AA168" s="328">
        <f>Roles!$D$8</f>
        <v>0.09</v>
      </c>
      <c r="AB168" s="328"/>
      <c r="AC168" s="198">
        <f t="shared" si="10"/>
        <v>0</v>
      </c>
      <c r="AD168" s="327"/>
      <c r="AE168" s="328"/>
      <c r="AF168" s="328">
        <f>Roles!$D$8</f>
        <v>0.09</v>
      </c>
      <c r="AG168" s="328"/>
      <c r="AH168" s="198">
        <f t="shared" si="11"/>
        <v>0</v>
      </c>
      <c r="AI168" s="327"/>
      <c r="AJ168" s="328"/>
      <c r="AK168" s="328">
        <f>Roles!$D$8</f>
        <v>0.09</v>
      </c>
      <c r="AL168" s="328"/>
      <c r="AM168" s="198">
        <f t="shared" si="12"/>
        <v>0</v>
      </c>
      <c r="AN168" s="327"/>
      <c r="AO168" s="328"/>
      <c r="AP168" s="328">
        <f>Roles!$D$8</f>
        <v>0.09</v>
      </c>
      <c r="AQ168" s="328"/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 t="shared" si="1"/>
        <v>4</v>
      </c>
      <c r="F169" s="80">
        <v>30.0</v>
      </c>
      <c r="G169" s="105">
        <f t="shared" si="2"/>
        <v>0.02583979328</v>
      </c>
      <c r="H169" s="47">
        <f t="shared" si="143"/>
        <v>0.624461671</v>
      </c>
      <c r="I169" s="187">
        <f t="shared" si="141"/>
        <v>0</v>
      </c>
      <c r="J169" s="172">
        <f t="shared" si="144"/>
        <v>770</v>
      </c>
      <c r="K169" s="115">
        <f t="shared" si="3"/>
        <v>0.7962771458</v>
      </c>
      <c r="L169" s="232">
        <f t="shared" si="142"/>
        <v>0</v>
      </c>
      <c r="M169" s="172">
        <f t="shared" si="145"/>
        <v>338.8</v>
      </c>
      <c r="N169" s="198">
        <f t="shared" si="6"/>
        <v>0</v>
      </c>
      <c r="O169" s="337">
        <v>0.0</v>
      </c>
      <c r="P169" s="328"/>
      <c r="Q169" s="328">
        <f>Roles!$D$5</f>
        <v>0.44</v>
      </c>
      <c r="R169" s="328">
        <f t="shared" si="7"/>
        <v>0</v>
      </c>
      <c r="S169" s="198">
        <f t="shared" si="8"/>
        <v>0</v>
      </c>
      <c r="T169" s="327"/>
      <c r="U169" s="328"/>
      <c r="V169" s="328">
        <f>Roles!$D$8</f>
        <v>0.09</v>
      </c>
      <c r="W169" s="328"/>
      <c r="X169" s="198">
        <f t="shared" si="9"/>
        <v>0</v>
      </c>
      <c r="Y169" s="327"/>
      <c r="Z169" s="328"/>
      <c r="AA169" s="328">
        <f>Roles!$D$8</f>
        <v>0.09</v>
      </c>
      <c r="AB169" s="328"/>
      <c r="AC169" s="198">
        <f t="shared" si="10"/>
        <v>0</v>
      </c>
      <c r="AD169" s="327"/>
      <c r="AE169" s="328"/>
      <c r="AF169" s="328">
        <f>Roles!$D$8</f>
        <v>0.09</v>
      </c>
      <c r="AG169" s="328"/>
      <c r="AH169" s="198">
        <f t="shared" si="11"/>
        <v>0</v>
      </c>
      <c r="AI169" s="327"/>
      <c r="AJ169" s="328"/>
      <c r="AK169" s="328">
        <f>Roles!$D$8</f>
        <v>0.09</v>
      </c>
      <c r="AL169" s="328"/>
      <c r="AM169" s="198">
        <f t="shared" si="12"/>
        <v>0</v>
      </c>
      <c r="AN169" s="327"/>
      <c r="AO169" s="328"/>
      <c r="AP169" s="328">
        <f>Roles!$D$8</f>
        <v>0.09</v>
      </c>
      <c r="AQ169" s="328"/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 t="shared" si="1"/>
        <v>7</v>
      </c>
      <c r="F170" s="246">
        <f>SUM(F171:F173)</f>
        <v>51</v>
      </c>
      <c r="G170" s="105">
        <f t="shared" si="2"/>
        <v>0.04392764858</v>
      </c>
      <c r="H170" s="226">
        <f>H173</f>
        <v>0.6683893196</v>
      </c>
      <c r="I170" s="247">
        <f>SUM(I171:I173)</f>
        <v>0</v>
      </c>
      <c r="J170" s="247">
        <f>J173</f>
        <v>770</v>
      </c>
      <c r="K170" s="167">
        <f t="shared" si="3"/>
        <v>0.7962771458</v>
      </c>
      <c r="L170" s="247">
        <f>SUM(L171:L173)</f>
        <v>0</v>
      </c>
      <c r="M170" s="247">
        <f>M173</f>
        <v>338.8</v>
      </c>
      <c r="N170" s="198">
        <f t="shared" si="6"/>
        <v>0</v>
      </c>
      <c r="O170" s="328"/>
      <c r="P170" s="328"/>
      <c r="Q170" s="328">
        <f>Roles!$D$5</f>
        <v>0.44</v>
      </c>
      <c r="R170" s="328">
        <f t="shared" si="7"/>
        <v>0</v>
      </c>
      <c r="S170" s="198">
        <f t="shared" si="8"/>
        <v>0</v>
      </c>
      <c r="T170" s="327"/>
      <c r="U170" s="328"/>
      <c r="V170" s="328">
        <f>Roles!$D$8</f>
        <v>0.09</v>
      </c>
      <c r="W170" s="328"/>
      <c r="X170" s="198">
        <f t="shared" si="9"/>
        <v>0</v>
      </c>
      <c r="Y170" s="327"/>
      <c r="Z170" s="328"/>
      <c r="AA170" s="328">
        <f>Roles!$D$8</f>
        <v>0.09</v>
      </c>
      <c r="AB170" s="328"/>
      <c r="AC170" s="198">
        <f t="shared" si="10"/>
        <v>0</v>
      </c>
      <c r="AD170" s="327"/>
      <c r="AE170" s="328"/>
      <c r="AF170" s="328">
        <f>Roles!$D$8</f>
        <v>0.09</v>
      </c>
      <c r="AG170" s="328"/>
      <c r="AH170" s="198">
        <f t="shared" si="11"/>
        <v>0</v>
      </c>
      <c r="AI170" s="327"/>
      <c r="AJ170" s="328"/>
      <c r="AK170" s="328">
        <f>Roles!$D$8</f>
        <v>0.09</v>
      </c>
      <c r="AL170" s="328"/>
      <c r="AM170" s="198">
        <f t="shared" si="12"/>
        <v>0</v>
      </c>
      <c r="AN170" s="327"/>
      <c r="AO170" s="328"/>
      <c r="AP170" s="328">
        <f>Roles!$D$8</f>
        <v>0.09</v>
      </c>
      <c r="AQ170" s="328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 t="shared" si="1"/>
        <v>1</v>
      </c>
      <c r="F171" s="80">
        <v>1.0</v>
      </c>
      <c r="G171" s="105">
        <f t="shared" si="2"/>
        <v>0.0008613264427</v>
      </c>
      <c r="H171" s="47">
        <f>H169+G171</f>
        <v>0.6253229974</v>
      </c>
      <c r="I171" s="187">
        <f t="shared" ref="I171:I173" si="146">O171+T171+Y171+AD171+AI171+AN171</f>
        <v>0</v>
      </c>
      <c r="J171" s="172">
        <f>J169+I171</f>
        <v>770</v>
      </c>
      <c r="K171" s="115">
        <f t="shared" si="3"/>
        <v>0.7962771458</v>
      </c>
      <c r="L171" s="232">
        <f t="shared" ref="L171:L173" si="147">R171+W171+AB171+AG171+AL171+AQ171</f>
        <v>0</v>
      </c>
      <c r="M171" s="172">
        <f>M169+L171</f>
        <v>338.8</v>
      </c>
      <c r="N171" s="198">
        <f t="shared" si="6"/>
        <v>0</v>
      </c>
      <c r="O171" s="337">
        <v>0.0</v>
      </c>
      <c r="P171" s="328"/>
      <c r="Q171" s="328">
        <f>Roles!$D$5</f>
        <v>0.44</v>
      </c>
      <c r="R171" s="328">
        <f t="shared" si="7"/>
        <v>0</v>
      </c>
      <c r="S171" s="198">
        <f t="shared" si="8"/>
        <v>0</v>
      </c>
      <c r="T171" s="327"/>
      <c r="U171" s="328"/>
      <c r="V171" s="328">
        <f>Roles!$D$8</f>
        <v>0.09</v>
      </c>
      <c r="W171" s="328"/>
      <c r="X171" s="198">
        <f t="shared" si="9"/>
        <v>0</v>
      </c>
      <c r="Y171" s="327"/>
      <c r="Z171" s="328"/>
      <c r="AA171" s="328">
        <f>Roles!$D$8</f>
        <v>0.09</v>
      </c>
      <c r="AB171" s="328"/>
      <c r="AC171" s="198">
        <f t="shared" si="10"/>
        <v>0</v>
      </c>
      <c r="AD171" s="327"/>
      <c r="AE171" s="328"/>
      <c r="AF171" s="328">
        <f>Roles!$D$8</f>
        <v>0.09</v>
      </c>
      <c r="AG171" s="328"/>
      <c r="AH171" s="198">
        <f t="shared" si="11"/>
        <v>0</v>
      </c>
      <c r="AI171" s="327"/>
      <c r="AJ171" s="328"/>
      <c r="AK171" s="328">
        <f>Roles!$D$8</f>
        <v>0.09</v>
      </c>
      <c r="AL171" s="328"/>
      <c r="AM171" s="198">
        <f t="shared" si="12"/>
        <v>0</v>
      </c>
      <c r="AN171" s="327"/>
      <c r="AO171" s="328"/>
      <c r="AP171" s="328">
        <f>Roles!$D$8</f>
        <v>0.09</v>
      </c>
      <c r="AQ171" s="328"/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 t="shared" si="1"/>
        <v>4</v>
      </c>
      <c r="F172" s="80">
        <v>25.0</v>
      </c>
      <c r="G172" s="105">
        <f t="shared" si="2"/>
        <v>0.02153316107</v>
      </c>
      <c r="H172" s="47">
        <f t="shared" ref="H172:H173" si="148">H171+G172</f>
        <v>0.6468561585</v>
      </c>
      <c r="I172" s="187">
        <f t="shared" si="146"/>
        <v>0</v>
      </c>
      <c r="J172" s="172">
        <f t="shared" ref="J172:J173" si="149">J171+I172</f>
        <v>770</v>
      </c>
      <c r="K172" s="115">
        <f t="shared" si="3"/>
        <v>0.7962771458</v>
      </c>
      <c r="L172" s="232">
        <f t="shared" si="147"/>
        <v>0</v>
      </c>
      <c r="M172" s="172">
        <f t="shared" ref="M172:M173" si="150">M171+L172</f>
        <v>338.8</v>
      </c>
      <c r="N172" s="198">
        <f t="shared" si="6"/>
        <v>0</v>
      </c>
      <c r="O172" s="337">
        <v>0.0</v>
      </c>
      <c r="P172" s="328"/>
      <c r="Q172" s="328">
        <f>Roles!$D$5</f>
        <v>0.44</v>
      </c>
      <c r="R172" s="328">
        <f t="shared" si="7"/>
        <v>0</v>
      </c>
      <c r="S172" s="198">
        <f t="shared" si="8"/>
        <v>0</v>
      </c>
      <c r="T172" s="327"/>
      <c r="U172" s="328"/>
      <c r="V172" s="328">
        <f>Roles!$D$8</f>
        <v>0.09</v>
      </c>
      <c r="W172" s="328"/>
      <c r="X172" s="198">
        <f t="shared" si="9"/>
        <v>0</v>
      </c>
      <c r="Y172" s="327"/>
      <c r="Z172" s="328"/>
      <c r="AA172" s="328">
        <f>Roles!$D$8</f>
        <v>0.09</v>
      </c>
      <c r="AB172" s="328"/>
      <c r="AC172" s="198">
        <f t="shared" si="10"/>
        <v>0</v>
      </c>
      <c r="AD172" s="327"/>
      <c r="AE172" s="328"/>
      <c r="AF172" s="328">
        <f>Roles!$D$8</f>
        <v>0.09</v>
      </c>
      <c r="AG172" s="328"/>
      <c r="AH172" s="198">
        <f t="shared" si="11"/>
        <v>0</v>
      </c>
      <c r="AI172" s="327"/>
      <c r="AJ172" s="328"/>
      <c r="AK172" s="328">
        <f>Roles!$D$8</f>
        <v>0.09</v>
      </c>
      <c r="AL172" s="328"/>
      <c r="AM172" s="198">
        <f t="shared" si="12"/>
        <v>0</v>
      </c>
      <c r="AN172" s="327"/>
      <c r="AO172" s="328"/>
      <c r="AP172" s="328">
        <f>Roles!$D$8</f>
        <v>0.09</v>
      </c>
      <c r="AQ172" s="328"/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 t="shared" si="1"/>
        <v>3</v>
      </c>
      <c r="F173" s="80">
        <v>25.0</v>
      </c>
      <c r="G173" s="105">
        <f t="shared" si="2"/>
        <v>0.02153316107</v>
      </c>
      <c r="H173" s="47">
        <f t="shared" si="148"/>
        <v>0.6683893196</v>
      </c>
      <c r="I173" s="187">
        <f t="shared" si="146"/>
        <v>0</v>
      </c>
      <c r="J173" s="172">
        <f t="shared" si="149"/>
        <v>770</v>
      </c>
      <c r="K173" s="115">
        <f t="shared" si="3"/>
        <v>0.7962771458</v>
      </c>
      <c r="L173" s="232">
        <f t="shared" si="147"/>
        <v>0</v>
      </c>
      <c r="M173" s="172">
        <f t="shared" si="150"/>
        <v>338.8</v>
      </c>
      <c r="N173" s="198">
        <f t="shared" si="6"/>
        <v>0</v>
      </c>
      <c r="O173" s="337">
        <v>0.0</v>
      </c>
      <c r="P173" s="328"/>
      <c r="Q173" s="328">
        <f>Roles!$D$5</f>
        <v>0.44</v>
      </c>
      <c r="R173" s="328">
        <f t="shared" si="7"/>
        <v>0</v>
      </c>
      <c r="S173" s="198">
        <f t="shared" si="8"/>
        <v>0</v>
      </c>
      <c r="T173" s="327"/>
      <c r="U173" s="328"/>
      <c r="V173" s="328">
        <f>Roles!$D$8</f>
        <v>0.09</v>
      </c>
      <c r="W173" s="328"/>
      <c r="X173" s="198">
        <f t="shared" si="9"/>
        <v>0</v>
      </c>
      <c r="Y173" s="327"/>
      <c r="Z173" s="328"/>
      <c r="AA173" s="328">
        <f>Roles!$D$8</f>
        <v>0.09</v>
      </c>
      <c r="AB173" s="328"/>
      <c r="AC173" s="198">
        <f t="shared" si="10"/>
        <v>0</v>
      </c>
      <c r="AD173" s="327"/>
      <c r="AE173" s="328"/>
      <c r="AF173" s="328">
        <f>Roles!$D$8</f>
        <v>0.09</v>
      </c>
      <c r="AG173" s="328"/>
      <c r="AH173" s="198">
        <f t="shared" si="11"/>
        <v>0</v>
      </c>
      <c r="AI173" s="327"/>
      <c r="AJ173" s="328"/>
      <c r="AK173" s="328">
        <f>Roles!$D$8</f>
        <v>0.09</v>
      </c>
      <c r="AL173" s="328"/>
      <c r="AM173" s="198">
        <f t="shared" si="12"/>
        <v>0</v>
      </c>
      <c r="AN173" s="327"/>
      <c r="AO173" s="328"/>
      <c r="AP173" s="328">
        <f>Roles!$D$8</f>
        <v>0.09</v>
      </c>
      <c r="AQ173" s="328"/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 t="shared" si="1"/>
        <v>4</v>
      </c>
      <c r="F174" s="246">
        <f>SUM(F175:F178)</f>
        <v>28</v>
      </c>
      <c r="G174" s="105">
        <f t="shared" si="2"/>
        <v>0.0241171404</v>
      </c>
      <c r="H174" s="226">
        <f>H178</f>
        <v>0.6925064599</v>
      </c>
      <c r="I174" s="247">
        <f>SUM(I175:I178)</f>
        <v>34</v>
      </c>
      <c r="J174" s="247">
        <f>J178</f>
        <v>804</v>
      </c>
      <c r="K174" s="167">
        <f t="shared" si="3"/>
        <v>0.8314374354</v>
      </c>
      <c r="L174" s="247">
        <f>SUM(L175:L178)</f>
        <v>14.96</v>
      </c>
      <c r="M174" s="247">
        <f>M178</f>
        <v>353.76</v>
      </c>
      <c r="N174" s="198">
        <f t="shared" si="6"/>
        <v>0</v>
      </c>
      <c r="O174" s="328"/>
      <c r="P174" s="328"/>
      <c r="Q174" s="328">
        <f>Roles!$D$5</f>
        <v>0.44</v>
      </c>
      <c r="R174" s="328">
        <f t="shared" si="7"/>
        <v>0</v>
      </c>
      <c r="S174" s="198">
        <f t="shared" si="8"/>
        <v>0</v>
      </c>
      <c r="T174" s="327"/>
      <c r="U174" s="328"/>
      <c r="V174" s="328">
        <f>Roles!$D$8</f>
        <v>0.09</v>
      </c>
      <c r="W174" s="328"/>
      <c r="X174" s="198">
        <f t="shared" si="9"/>
        <v>0</v>
      </c>
      <c r="Y174" s="327"/>
      <c r="Z174" s="328"/>
      <c r="AA174" s="328">
        <f>Roles!$D$8</f>
        <v>0.09</v>
      </c>
      <c r="AB174" s="328"/>
      <c r="AC174" s="198">
        <f t="shared" si="10"/>
        <v>0</v>
      </c>
      <c r="AD174" s="327"/>
      <c r="AE174" s="328"/>
      <c r="AF174" s="328">
        <f>Roles!$D$8</f>
        <v>0.09</v>
      </c>
      <c r="AG174" s="328"/>
      <c r="AH174" s="198">
        <f t="shared" si="11"/>
        <v>0</v>
      </c>
      <c r="AI174" s="327"/>
      <c r="AJ174" s="328"/>
      <c r="AK174" s="328">
        <f>Roles!$D$8</f>
        <v>0.09</v>
      </c>
      <c r="AL174" s="328"/>
      <c r="AM174" s="198">
        <f t="shared" si="12"/>
        <v>0</v>
      </c>
      <c r="AN174" s="327"/>
      <c r="AO174" s="328"/>
      <c r="AP174" s="328">
        <f>Roles!$D$8</f>
        <v>0.09</v>
      </c>
      <c r="AQ174" s="328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 t="shared" si="1"/>
        <v>1</v>
      </c>
      <c r="F175" s="80">
        <v>1.0</v>
      </c>
      <c r="G175" s="105">
        <f t="shared" si="2"/>
        <v>0.0008613264427</v>
      </c>
      <c r="H175" s="47">
        <f>H173+G175</f>
        <v>0.669250646</v>
      </c>
      <c r="I175" s="187">
        <f t="shared" ref="I175:I178" si="151">O175+T175+Y175+AD175+AI175+AN175</f>
        <v>30</v>
      </c>
      <c r="J175" s="172">
        <f>J173+I175</f>
        <v>800</v>
      </c>
      <c r="K175" s="115">
        <f t="shared" si="3"/>
        <v>0.8273009307</v>
      </c>
      <c r="L175" s="232">
        <f t="shared" ref="L175:L178" si="152">R175+W175+AB175+AG175+AL175+AQ175</f>
        <v>13.2</v>
      </c>
      <c r="M175" s="172">
        <f>M173+L175</f>
        <v>352</v>
      </c>
      <c r="N175" s="198">
        <f t="shared" si="6"/>
        <v>30</v>
      </c>
      <c r="O175" s="337">
        <v>30.0</v>
      </c>
      <c r="P175" s="328"/>
      <c r="Q175" s="328">
        <f>Roles!$D$5</f>
        <v>0.44</v>
      </c>
      <c r="R175" s="328">
        <f t="shared" si="7"/>
        <v>13.2</v>
      </c>
      <c r="S175" s="198">
        <f t="shared" si="8"/>
        <v>0</v>
      </c>
      <c r="T175" s="327"/>
      <c r="U175" s="328"/>
      <c r="V175" s="328">
        <f>Roles!$D$8</f>
        <v>0.09</v>
      </c>
      <c r="W175" s="328"/>
      <c r="X175" s="198">
        <f t="shared" si="9"/>
        <v>0</v>
      </c>
      <c r="Y175" s="327"/>
      <c r="Z175" s="328"/>
      <c r="AA175" s="328">
        <f>Roles!$D$8</f>
        <v>0.09</v>
      </c>
      <c r="AB175" s="328"/>
      <c r="AC175" s="198">
        <f t="shared" si="10"/>
        <v>0</v>
      </c>
      <c r="AD175" s="327"/>
      <c r="AE175" s="328"/>
      <c r="AF175" s="328">
        <f>Roles!$D$8</f>
        <v>0.09</v>
      </c>
      <c r="AG175" s="328"/>
      <c r="AH175" s="198">
        <f t="shared" si="11"/>
        <v>0</v>
      </c>
      <c r="AI175" s="327"/>
      <c r="AJ175" s="328"/>
      <c r="AK175" s="328">
        <f>Roles!$D$8</f>
        <v>0.09</v>
      </c>
      <c r="AL175" s="328"/>
      <c r="AM175" s="198">
        <f t="shared" si="12"/>
        <v>0</v>
      </c>
      <c r="AN175" s="327"/>
      <c r="AO175" s="328"/>
      <c r="AP175" s="328">
        <f>Roles!$D$8</f>
        <v>0.09</v>
      </c>
      <c r="AQ175" s="328"/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 t="shared" si="1"/>
        <v>2</v>
      </c>
      <c r="F176" s="80">
        <v>15.0</v>
      </c>
      <c r="G176" s="105">
        <f t="shared" si="2"/>
        <v>0.01291989664</v>
      </c>
      <c r="H176" s="47">
        <f t="shared" ref="H176:H178" si="153">H175+G176</f>
        <v>0.6821705426</v>
      </c>
      <c r="I176" s="187">
        <f t="shared" si="151"/>
        <v>0</v>
      </c>
      <c r="J176" s="172">
        <f t="shared" ref="J176:J178" si="154">J175+I176</f>
        <v>800</v>
      </c>
      <c r="K176" s="115">
        <f t="shared" si="3"/>
        <v>0.8273009307</v>
      </c>
      <c r="L176" s="232">
        <f t="shared" si="152"/>
        <v>0</v>
      </c>
      <c r="M176" s="172">
        <f t="shared" ref="M176:M178" si="155">M175+L176</f>
        <v>352</v>
      </c>
      <c r="N176" s="198">
        <f t="shared" si="6"/>
        <v>0</v>
      </c>
      <c r="O176" s="337">
        <v>0.0</v>
      </c>
      <c r="P176" s="328"/>
      <c r="Q176" s="328">
        <f>Roles!$D$5</f>
        <v>0.44</v>
      </c>
      <c r="R176" s="328">
        <f t="shared" si="7"/>
        <v>0</v>
      </c>
      <c r="S176" s="198">
        <f t="shared" si="8"/>
        <v>0</v>
      </c>
      <c r="T176" s="327"/>
      <c r="U176" s="328"/>
      <c r="V176" s="328">
        <f>Roles!$D$8</f>
        <v>0.09</v>
      </c>
      <c r="W176" s="328"/>
      <c r="X176" s="198">
        <f t="shared" si="9"/>
        <v>0</v>
      </c>
      <c r="Y176" s="327"/>
      <c r="Z176" s="328"/>
      <c r="AA176" s="328">
        <f>Roles!$D$8</f>
        <v>0.09</v>
      </c>
      <c r="AB176" s="328"/>
      <c r="AC176" s="198">
        <f t="shared" si="10"/>
        <v>0</v>
      </c>
      <c r="AD176" s="327"/>
      <c r="AE176" s="328"/>
      <c r="AF176" s="328">
        <f>Roles!$D$8</f>
        <v>0.09</v>
      </c>
      <c r="AG176" s="328"/>
      <c r="AH176" s="198">
        <f t="shared" si="11"/>
        <v>0</v>
      </c>
      <c r="AI176" s="327"/>
      <c r="AJ176" s="328"/>
      <c r="AK176" s="328">
        <f>Roles!$D$8</f>
        <v>0.09</v>
      </c>
      <c r="AL176" s="328"/>
      <c r="AM176" s="198">
        <f t="shared" si="12"/>
        <v>0</v>
      </c>
      <c r="AN176" s="327"/>
      <c r="AO176" s="328"/>
      <c r="AP176" s="328">
        <f>Roles!$D$8</f>
        <v>0.09</v>
      </c>
      <c r="AQ176" s="328"/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 t="shared" si="1"/>
        <v>2</v>
      </c>
      <c r="F177" s="80">
        <v>2.0</v>
      </c>
      <c r="G177" s="105">
        <f t="shared" si="2"/>
        <v>0.001722652885</v>
      </c>
      <c r="H177" s="47">
        <f t="shared" si="153"/>
        <v>0.6838931955</v>
      </c>
      <c r="I177" s="187">
        <f t="shared" si="151"/>
        <v>4</v>
      </c>
      <c r="J177" s="172">
        <f t="shared" si="154"/>
        <v>804</v>
      </c>
      <c r="K177" s="115">
        <f t="shared" si="3"/>
        <v>0.8314374354</v>
      </c>
      <c r="L177" s="232">
        <f t="shared" si="152"/>
        <v>1.76</v>
      </c>
      <c r="M177" s="172">
        <f t="shared" si="155"/>
        <v>353.76</v>
      </c>
      <c r="N177" s="198">
        <f t="shared" si="6"/>
        <v>2</v>
      </c>
      <c r="O177" s="337">
        <v>4.0</v>
      </c>
      <c r="P177" s="328"/>
      <c r="Q177" s="328">
        <f>Roles!$D$5</f>
        <v>0.44</v>
      </c>
      <c r="R177" s="328">
        <f t="shared" si="7"/>
        <v>1.76</v>
      </c>
      <c r="S177" s="198">
        <f t="shared" si="8"/>
        <v>0</v>
      </c>
      <c r="T177" s="327"/>
      <c r="U177" s="328"/>
      <c r="V177" s="328">
        <f>Roles!$D$8</f>
        <v>0.09</v>
      </c>
      <c r="W177" s="328"/>
      <c r="X177" s="198">
        <f t="shared" si="9"/>
        <v>0</v>
      </c>
      <c r="Y177" s="327"/>
      <c r="Z177" s="328"/>
      <c r="AA177" s="328">
        <f>Roles!$D$8</f>
        <v>0.09</v>
      </c>
      <c r="AB177" s="328"/>
      <c r="AC177" s="198">
        <f t="shared" si="10"/>
        <v>0</v>
      </c>
      <c r="AD177" s="327"/>
      <c r="AE177" s="328"/>
      <c r="AF177" s="328">
        <f>Roles!$D$8</f>
        <v>0.09</v>
      </c>
      <c r="AG177" s="328"/>
      <c r="AH177" s="198">
        <f t="shared" si="11"/>
        <v>0</v>
      </c>
      <c r="AI177" s="327"/>
      <c r="AJ177" s="328"/>
      <c r="AK177" s="328">
        <f>Roles!$D$8</f>
        <v>0.09</v>
      </c>
      <c r="AL177" s="328"/>
      <c r="AM177" s="198">
        <f t="shared" si="12"/>
        <v>0</v>
      </c>
      <c r="AN177" s="327"/>
      <c r="AO177" s="328"/>
      <c r="AP177" s="328">
        <f>Roles!$D$8</f>
        <v>0.09</v>
      </c>
      <c r="AQ177" s="328"/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 t="shared" si="1"/>
        <v>2</v>
      </c>
      <c r="F178" s="80">
        <v>10.0</v>
      </c>
      <c r="G178" s="105">
        <f t="shared" si="2"/>
        <v>0.008613264427</v>
      </c>
      <c r="H178" s="47">
        <f t="shared" si="153"/>
        <v>0.6925064599</v>
      </c>
      <c r="I178" s="187">
        <f t="shared" si="151"/>
        <v>0</v>
      </c>
      <c r="J178" s="172">
        <f t="shared" si="154"/>
        <v>804</v>
      </c>
      <c r="K178" s="115">
        <f t="shared" si="3"/>
        <v>0.8314374354</v>
      </c>
      <c r="L178" s="232">
        <f t="shared" si="152"/>
        <v>0</v>
      </c>
      <c r="M178" s="172">
        <f t="shared" si="155"/>
        <v>353.76</v>
      </c>
      <c r="N178" s="198">
        <f t="shared" si="6"/>
        <v>0</v>
      </c>
      <c r="O178" s="337">
        <v>0.0</v>
      </c>
      <c r="P178" s="328"/>
      <c r="Q178" s="328">
        <f>Roles!$D$5</f>
        <v>0.44</v>
      </c>
      <c r="R178" s="328">
        <f t="shared" si="7"/>
        <v>0</v>
      </c>
      <c r="S178" s="198">
        <f t="shared" si="8"/>
        <v>0</v>
      </c>
      <c r="T178" s="327"/>
      <c r="U178" s="328"/>
      <c r="V178" s="328">
        <f>Roles!$D$8</f>
        <v>0.09</v>
      </c>
      <c r="W178" s="328"/>
      <c r="X178" s="198">
        <f t="shared" si="9"/>
        <v>0</v>
      </c>
      <c r="Y178" s="327"/>
      <c r="Z178" s="328"/>
      <c r="AA178" s="328">
        <f>Roles!$D$8</f>
        <v>0.09</v>
      </c>
      <c r="AB178" s="328"/>
      <c r="AC178" s="198">
        <f t="shared" si="10"/>
        <v>0</v>
      </c>
      <c r="AD178" s="327"/>
      <c r="AE178" s="328"/>
      <c r="AF178" s="328">
        <f>Roles!$D$8</f>
        <v>0.09</v>
      </c>
      <c r="AG178" s="328"/>
      <c r="AH178" s="198">
        <f t="shared" si="11"/>
        <v>0</v>
      </c>
      <c r="AI178" s="327"/>
      <c r="AJ178" s="328"/>
      <c r="AK178" s="328">
        <f>Roles!$D$8</f>
        <v>0.09</v>
      </c>
      <c r="AL178" s="328"/>
      <c r="AM178" s="198">
        <f t="shared" si="12"/>
        <v>0</v>
      </c>
      <c r="AN178" s="327"/>
      <c r="AO178" s="328"/>
      <c r="AP178" s="328">
        <f>Roles!$D$8</f>
        <v>0.09</v>
      </c>
      <c r="AQ178" s="328"/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 t="shared" si="1"/>
        <v>4</v>
      </c>
      <c r="F179" s="246">
        <f>SUM(F180:F184)</f>
        <v>29</v>
      </c>
      <c r="G179" s="105">
        <f t="shared" si="2"/>
        <v>0.02497846684</v>
      </c>
      <c r="H179" s="226">
        <f>H184</f>
        <v>0.7174849268</v>
      </c>
      <c r="I179" s="247">
        <f>SUM(I180:I184)</f>
        <v>45</v>
      </c>
      <c r="J179" s="247">
        <f>J184</f>
        <v>849</v>
      </c>
      <c r="K179" s="167">
        <f t="shared" si="3"/>
        <v>0.8779731127</v>
      </c>
      <c r="L179" s="247">
        <f>SUM(L180:L184)</f>
        <v>19.8</v>
      </c>
      <c r="M179" s="247">
        <f>M184</f>
        <v>373.56</v>
      </c>
      <c r="N179" s="198">
        <f t="shared" si="6"/>
        <v>0</v>
      </c>
      <c r="O179" s="328"/>
      <c r="P179" s="328"/>
      <c r="Q179" s="328">
        <f>Roles!$D$5</f>
        <v>0.44</v>
      </c>
      <c r="R179" s="328">
        <f t="shared" si="7"/>
        <v>0</v>
      </c>
      <c r="S179" s="198">
        <f t="shared" si="8"/>
        <v>0</v>
      </c>
      <c r="T179" s="327"/>
      <c r="U179" s="328"/>
      <c r="V179" s="328">
        <f>Roles!$D$8</f>
        <v>0.09</v>
      </c>
      <c r="W179" s="328"/>
      <c r="X179" s="198">
        <f t="shared" si="9"/>
        <v>0</v>
      </c>
      <c r="Y179" s="327"/>
      <c r="Z179" s="328"/>
      <c r="AA179" s="328">
        <f>Roles!$D$8</f>
        <v>0.09</v>
      </c>
      <c r="AB179" s="328"/>
      <c r="AC179" s="198">
        <f t="shared" si="10"/>
        <v>0</v>
      </c>
      <c r="AD179" s="327"/>
      <c r="AE179" s="328"/>
      <c r="AF179" s="328">
        <f>Roles!$D$8</f>
        <v>0.09</v>
      </c>
      <c r="AG179" s="328"/>
      <c r="AH179" s="198">
        <f t="shared" si="11"/>
        <v>0</v>
      </c>
      <c r="AI179" s="327"/>
      <c r="AJ179" s="328"/>
      <c r="AK179" s="328">
        <f>Roles!$D$8</f>
        <v>0.09</v>
      </c>
      <c r="AL179" s="328"/>
      <c r="AM179" s="198">
        <f t="shared" si="12"/>
        <v>0</v>
      </c>
      <c r="AN179" s="327"/>
      <c r="AO179" s="328"/>
      <c r="AP179" s="328">
        <f>Roles!$D$8</f>
        <v>0.09</v>
      </c>
      <c r="AQ179" s="328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 t="shared" si="1"/>
        <v>3</v>
      </c>
      <c r="F180" s="80">
        <v>4.0</v>
      </c>
      <c r="G180" s="105">
        <f t="shared" si="2"/>
        <v>0.003445305771</v>
      </c>
      <c r="H180" s="47">
        <f>H178+G180</f>
        <v>0.6959517657</v>
      </c>
      <c r="I180" s="187">
        <f t="shared" ref="I180:I184" si="156">O180+T180+Y180+AD180+AI180+AN180</f>
        <v>6</v>
      </c>
      <c r="J180" s="172">
        <f>J178+I180</f>
        <v>810</v>
      </c>
      <c r="K180" s="115">
        <f t="shared" si="3"/>
        <v>0.8376421923</v>
      </c>
      <c r="L180" s="232">
        <f t="shared" ref="L180:L184" si="157">R180+W180+AB180+AG180+AL180+AQ180</f>
        <v>2.64</v>
      </c>
      <c r="M180" s="172">
        <f>M178+L180</f>
        <v>356.4</v>
      </c>
      <c r="N180" s="198">
        <f t="shared" si="6"/>
        <v>1.5</v>
      </c>
      <c r="O180" s="337">
        <v>6.0</v>
      </c>
      <c r="P180" s="328"/>
      <c r="Q180" s="328">
        <f>Roles!$D$5</f>
        <v>0.44</v>
      </c>
      <c r="R180" s="328">
        <f t="shared" si="7"/>
        <v>2.64</v>
      </c>
      <c r="S180" s="198">
        <f t="shared" si="8"/>
        <v>0</v>
      </c>
      <c r="T180" s="327"/>
      <c r="U180" s="328"/>
      <c r="V180" s="328">
        <f>Roles!$D$8</f>
        <v>0.09</v>
      </c>
      <c r="W180" s="328"/>
      <c r="X180" s="198">
        <f t="shared" si="9"/>
        <v>0</v>
      </c>
      <c r="Y180" s="327"/>
      <c r="Z180" s="328"/>
      <c r="AA180" s="328">
        <f>Roles!$D$8</f>
        <v>0.09</v>
      </c>
      <c r="AB180" s="328"/>
      <c r="AC180" s="198">
        <f t="shared" si="10"/>
        <v>0</v>
      </c>
      <c r="AD180" s="327"/>
      <c r="AE180" s="328"/>
      <c r="AF180" s="328">
        <f>Roles!$D$8</f>
        <v>0.09</v>
      </c>
      <c r="AG180" s="328"/>
      <c r="AH180" s="198">
        <f t="shared" si="11"/>
        <v>0</v>
      </c>
      <c r="AI180" s="327"/>
      <c r="AJ180" s="328"/>
      <c r="AK180" s="328">
        <f>Roles!$D$8</f>
        <v>0.09</v>
      </c>
      <c r="AL180" s="328"/>
      <c r="AM180" s="198">
        <f t="shared" si="12"/>
        <v>0</v>
      </c>
      <c r="AN180" s="327"/>
      <c r="AO180" s="328"/>
      <c r="AP180" s="328">
        <f>Roles!$D$8</f>
        <v>0.09</v>
      </c>
      <c r="AQ180" s="328"/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 t="shared" si="1"/>
        <v>2</v>
      </c>
      <c r="F181" s="80">
        <v>10.0</v>
      </c>
      <c r="G181" s="105">
        <f t="shared" si="2"/>
        <v>0.008613264427</v>
      </c>
      <c r="H181" s="47">
        <f t="shared" ref="H181:H185" si="158">H180+G181</f>
        <v>0.7045650301</v>
      </c>
      <c r="I181" s="187">
        <f t="shared" si="156"/>
        <v>30</v>
      </c>
      <c r="J181" s="172">
        <f t="shared" ref="J181:J185" si="159">J180+I181</f>
        <v>840</v>
      </c>
      <c r="K181" s="115">
        <f t="shared" si="3"/>
        <v>0.8686659772</v>
      </c>
      <c r="L181" s="232">
        <f t="shared" si="157"/>
        <v>13.2</v>
      </c>
      <c r="M181" s="172">
        <f t="shared" ref="M181:M185" si="160">M180+L181</f>
        <v>369.6</v>
      </c>
      <c r="N181" s="198">
        <f t="shared" si="6"/>
        <v>3</v>
      </c>
      <c r="O181" s="337">
        <v>30.0</v>
      </c>
      <c r="P181" s="328"/>
      <c r="Q181" s="328">
        <f>Roles!$D$5</f>
        <v>0.44</v>
      </c>
      <c r="R181" s="328">
        <f t="shared" si="7"/>
        <v>13.2</v>
      </c>
      <c r="S181" s="198">
        <f t="shared" si="8"/>
        <v>0</v>
      </c>
      <c r="T181" s="327"/>
      <c r="U181" s="328"/>
      <c r="V181" s="328">
        <f>Roles!$D$8</f>
        <v>0.09</v>
      </c>
      <c r="W181" s="328"/>
      <c r="X181" s="198">
        <f t="shared" si="9"/>
        <v>0</v>
      </c>
      <c r="Y181" s="327"/>
      <c r="Z181" s="328"/>
      <c r="AA181" s="328">
        <f>Roles!$D$8</f>
        <v>0.09</v>
      </c>
      <c r="AB181" s="328"/>
      <c r="AC181" s="198">
        <f t="shared" si="10"/>
        <v>0</v>
      </c>
      <c r="AD181" s="327"/>
      <c r="AE181" s="328"/>
      <c r="AF181" s="328">
        <f>Roles!$D$8</f>
        <v>0.09</v>
      </c>
      <c r="AG181" s="328"/>
      <c r="AH181" s="198">
        <f t="shared" si="11"/>
        <v>0</v>
      </c>
      <c r="AI181" s="327"/>
      <c r="AJ181" s="328"/>
      <c r="AK181" s="328">
        <f>Roles!$D$8</f>
        <v>0.09</v>
      </c>
      <c r="AL181" s="328"/>
      <c r="AM181" s="198">
        <f t="shared" si="12"/>
        <v>0</v>
      </c>
      <c r="AN181" s="327"/>
      <c r="AO181" s="328"/>
      <c r="AP181" s="328">
        <f>Roles!$D$8</f>
        <v>0.09</v>
      </c>
      <c r="AQ181" s="328"/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 t="shared" si="1"/>
        <v>2</v>
      </c>
      <c r="F182" s="80">
        <v>3.0</v>
      </c>
      <c r="G182" s="105">
        <f t="shared" si="2"/>
        <v>0.002583979328</v>
      </c>
      <c r="H182" s="47">
        <f t="shared" si="158"/>
        <v>0.7071490095</v>
      </c>
      <c r="I182" s="187">
        <f t="shared" si="156"/>
        <v>6</v>
      </c>
      <c r="J182" s="172">
        <f t="shared" si="159"/>
        <v>846</v>
      </c>
      <c r="K182" s="115">
        <f t="shared" si="3"/>
        <v>0.8748707342</v>
      </c>
      <c r="L182" s="232">
        <f t="shared" si="157"/>
        <v>2.64</v>
      </c>
      <c r="M182" s="172">
        <f t="shared" si="160"/>
        <v>372.24</v>
      </c>
      <c r="N182" s="198">
        <f t="shared" si="6"/>
        <v>2</v>
      </c>
      <c r="O182" s="337">
        <v>6.0</v>
      </c>
      <c r="P182" s="328"/>
      <c r="Q182" s="328">
        <f>Roles!$D$5</f>
        <v>0.44</v>
      </c>
      <c r="R182" s="328">
        <f t="shared" si="7"/>
        <v>2.64</v>
      </c>
      <c r="S182" s="198">
        <f t="shared" si="8"/>
        <v>0</v>
      </c>
      <c r="T182" s="327"/>
      <c r="U182" s="328"/>
      <c r="V182" s="328">
        <f>Roles!$D$8</f>
        <v>0.09</v>
      </c>
      <c r="W182" s="328"/>
      <c r="X182" s="198">
        <f t="shared" si="9"/>
        <v>0</v>
      </c>
      <c r="Y182" s="327"/>
      <c r="Z182" s="328"/>
      <c r="AA182" s="328">
        <f>Roles!$D$8</f>
        <v>0.09</v>
      </c>
      <c r="AB182" s="328"/>
      <c r="AC182" s="198">
        <f t="shared" si="10"/>
        <v>0</v>
      </c>
      <c r="AD182" s="327"/>
      <c r="AE182" s="328"/>
      <c r="AF182" s="328">
        <f>Roles!$D$8</f>
        <v>0.09</v>
      </c>
      <c r="AG182" s="328"/>
      <c r="AH182" s="198">
        <f t="shared" si="11"/>
        <v>0</v>
      </c>
      <c r="AI182" s="327"/>
      <c r="AJ182" s="328"/>
      <c r="AK182" s="328">
        <f>Roles!$D$8</f>
        <v>0.09</v>
      </c>
      <c r="AL182" s="328"/>
      <c r="AM182" s="198">
        <f t="shared" si="12"/>
        <v>0</v>
      </c>
      <c r="AN182" s="327"/>
      <c r="AO182" s="328"/>
      <c r="AP182" s="328">
        <f>Roles!$D$8</f>
        <v>0.09</v>
      </c>
      <c r="AQ182" s="328"/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 t="shared" si="1"/>
        <v>1</v>
      </c>
      <c r="F183" s="80">
        <v>2.0</v>
      </c>
      <c r="G183" s="105">
        <f t="shared" si="2"/>
        <v>0.001722652885</v>
      </c>
      <c r="H183" s="47">
        <f t="shared" si="158"/>
        <v>0.7088716624</v>
      </c>
      <c r="I183" s="187">
        <f t="shared" si="156"/>
        <v>3</v>
      </c>
      <c r="J183" s="172">
        <f t="shared" si="159"/>
        <v>849</v>
      </c>
      <c r="K183" s="115">
        <f t="shared" si="3"/>
        <v>0.8779731127</v>
      </c>
      <c r="L183" s="232">
        <f t="shared" si="157"/>
        <v>1.32</v>
      </c>
      <c r="M183" s="172">
        <f t="shared" si="160"/>
        <v>373.56</v>
      </c>
      <c r="N183" s="198">
        <f t="shared" si="6"/>
        <v>1.5</v>
      </c>
      <c r="O183" s="337">
        <v>3.0</v>
      </c>
      <c r="P183" s="328"/>
      <c r="Q183" s="328">
        <f>Roles!$D$5</f>
        <v>0.44</v>
      </c>
      <c r="R183" s="328">
        <f t="shared" si="7"/>
        <v>1.32</v>
      </c>
      <c r="S183" s="198">
        <f t="shared" si="8"/>
        <v>0</v>
      </c>
      <c r="T183" s="327"/>
      <c r="U183" s="328"/>
      <c r="V183" s="328">
        <f>Roles!$D$8</f>
        <v>0.09</v>
      </c>
      <c r="W183" s="328"/>
      <c r="X183" s="198">
        <f t="shared" si="9"/>
        <v>0</v>
      </c>
      <c r="Y183" s="327"/>
      <c r="Z183" s="328"/>
      <c r="AA183" s="328">
        <f>Roles!$D$8</f>
        <v>0.09</v>
      </c>
      <c r="AB183" s="328"/>
      <c r="AC183" s="198">
        <f t="shared" si="10"/>
        <v>0</v>
      </c>
      <c r="AD183" s="327"/>
      <c r="AE183" s="328"/>
      <c r="AF183" s="328">
        <f>Roles!$D$8</f>
        <v>0.09</v>
      </c>
      <c r="AG183" s="328"/>
      <c r="AH183" s="198">
        <f t="shared" si="11"/>
        <v>0</v>
      </c>
      <c r="AI183" s="327"/>
      <c r="AJ183" s="328"/>
      <c r="AK183" s="328">
        <f>Roles!$D$8</f>
        <v>0.09</v>
      </c>
      <c r="AL183" s="328"/>
      <c r="AM183" s="198">
        <f t="shared" si="12"/>
        <v>0</v>
      </c>
      <c r="AN183" s="327"/>
      <c r="AO183" s="328"/>
      <c r="AP183" s="328">
        <f>Roles!$D$8</f>
        <v>0.09</v>
      </c>
      <c r="AQ183" s="328"/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 t="shared" si="1"/>
        <v>1</v>
      </c>
      <c r="F184" s="80">
        <v>10.0</v>
      </c>
      <c r="G184" s="105">
        <f t="shared" si="2"/>
        <v>0.008613264427</v>
      </c>
      <c r="H184" s="47">
        <f t="shared" si="158"/>
        <v>0.7174849268</v>
      </c>
      <c r="I184" s="187">
        <f t="shared" si="156"/>
        <v>0</v>
      </c>
      <c r="J184" s="172">
        <f t="shared" si="159"/>
        <v>849</v>
      </c>
      <c r="K184" s="115">
        <f t="shared" si="3"/>
        <v>0.8779731127</v>
      </c>
      <c r="L184" s="232">
        <f t="shared" si="157"/>
        <v>0</v>
      </c>
      <c r="M184" s="172">
        <f t="shared" si="160"/>
        <v>373.56</v>
      </c>
      <c r="N184" s="198">
        <f t="shared" si="6"/>
        <v>0</v>
      </c>
      <c r="O184" s="337">
        <v>0.0</v>
      </c>
      <c r="P184" s="328"/>
      <c r="Q184" s="328">
        <f>Roles!$D$5</f>
        <v>0.44</v>
      </c>
      <c r="R184" s="328">
        <f t="shared" si="7"/>
        <v>0</v>
      </c>
      <c r="S184" s="198">
        <f t="shared" si="8"/>
        <v>0</v>
      </c>
      <c r="T184" s="327"/>
      <c r="U184" s="328"/>
      <c r="V184" s="328">
        <f>Roles!$D$8</f>
        <v>0.09</v>
      </c>
      <c r="W184" s="328"/>
      <c r="X184" s="198">
        <f t="shared" si="9"/>
        <v>0</v>
      </c>
      <c r="Y184" s="327"/>
      <c r="Z184" s="328"/>
      <c r="AA184" s="328">
        <f>Roles!$D$8</f>
        <v>0.09</v>
      </c>
      <c r="AB184" s="328"/>
      <c r="AC184" s="198">
        <f t="shared" si="10"/>
        <v>0</v>
      </c>
      <c r="AD184" s="327"/>
      <c r="AE184" s="328"/>
      <c r="AF184" s="328">
        <f>Roles!$D$8</f>
        <v>0.09</v>
      </c>
      <c r="AG184" s="328"/>
      <c r="AH184" s="198">
        <f t="shared" si="11"/>
        <v>0</v>
      </c>
      <c r="AI184" s="327"/>
      <c r="AJ184" s="328"/>
      <c r="AK184" s="328">
        <f>Roles!$D$8</f>
        <v>0.09</v>
      </c>
      <c r="AL184" s="328"/>
      <c r="AM184" s="198">
        <f t="shared" si="12"/>
        <v>0</v>
      </c>
      <c r="AN184" s="327"/>
      <c r="AO184" s="328"/>
      <c r="AP184" s="328">
        <f>Roles!$D$8</f>
        <v>0.09</v>
      </c>
      <c r="AQ184" s="328"/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 t="shared" si="1"/>
        <v>1</v>
      </c>
      <c r="F185" s="136">
        <v>0.0</v>
      </c>
      <c r="G185" s="105">
        <f t="shared" si="2"/>
        <v>0</v>
      </c>
      <c r="H185" s="115">
        <f t="shared" si="158"/>
        <v>0.7174849268</v>
      </c>
      <c r="I185" s="110">
        <f>F185</f>
        <v>0</v>
      </c>
      <c r="J185" s="110">
        <f t="shared" si="159"/>
        <v>849</v>
      </c>
      <c r="K185" s="115">
        <f t="shared" si="3"/>
        <v>0.8779731127</v>
      </c>
      <c r="L185" s="110">
        <v>0.0</v>
      </c>
      <c r="M185" s="110">
        <f t="shared" si="160"/>
        <v>373.56</v>
      </c>
      <c r="N185" s="198" t="str">
        <f t="shared" si="6"/>
        <v>#DIV/0!</v>
      </c>
      <c r="O185" s="328"/>
      <c r="P185" s="328"/>
      <c r="Q185" s="328">
        <f>Roles!$D$5</f>
        <v>0.44</v>
      </c>
      <c r="R185" s="328">
        <f t="shared" si="7"/>
        <v>0</v>
      </c>
      <c r="S185" s="198" t="str">
        <f t="shared" si="8"/>
        <v>#DIV/0!</v>
      </c>
      <c r="T185" s="327"/>
      <c r="U185" s="328"/>
      <c r="V185" s="328">
        <f>Roles!$D$8</f>
        <v>0.09</v>
      </c>
      <c r="W185" s="328"/>
      <c r="X185" s="198" t="str">
        <f t="shared" si="9"/>
        <v>#DIV/0!</v>
      </c>
      <c r="Y185" s="327"/>
      <c r="Z185" s="328"/>
      <c r="AA185" s="328">
        <f>Roles!$D$8</f>
        <v>0.09</v>
      </c>
      <c r="AB185" s="328"/>
      <c r="AC185" s="198" t="str">
        <f t="shared" si="10"/>
        <v>#DIV/0!</v>
      </c>
      <c r="AD185" s="327"/>
      <c r="AE185" s="328"/>
      <c r="AF185" s="328">
        <f>Roles!$D$8</f>
        <v>0.09</v>
      </c>
      <c r="AG185" s="328"/>
      <c r="AH185" s="198" t="str">
        <f t="shared" si="11"/>
        <v>#DIV/0!</v>
      </c>
      <c r="AI185" s="327"/>
      <c r="AJ185" s="328"/>
      <c r="AK185" s="328">
        <f>Roles!$D$8</f>
        <v>0.09</v>
      </c>
      <c r="AL185" s="328"/>
      <c r="AM185" s="198" t="str">
        <f t="shared" si="12"/>
        <v>#DIV/0!</v>
      </c>
      <c r="AN185" s="327"/>
      <c r="AO185" s="328"/>
      <c r="AP185" s="328">
        <f>Roles!$D$8</f>
        <v>0.09</v>
      </c>
      <c r="AQ185" s="328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 t="shared" si="1"/>
        <v>21</v>
      </c>
      <c r="F186" s="240">
        <f>F187+F194+F198+F202+F206</f>
        <v>209</v>
      </c>
      <c r="G186" s="105">
        <f t="shared" si="2"/>
        <v>0.1800172265</v>
      </c>
      <c r="H186" s="224">
        <f>H211</f>
        <v>0.8975021533</v>
      </c>
      <c r="I186" s="241">
        <f>I187+I194+I198+I202+I206</f>
        <v>56</v>
      </c>
      <c r="J186" s="241">
        <f>J211</f>
        <v>905</v>
      </c>
      <c r="K186" s="138">
        <f t="shared" si="3"/>
        <v>0.9358841779</v>
      </c>
      <c r="L186" s="241">
        <f>L187+L194+L198+L202+L206</f>
        <v>24.64</v>
      </c>
      <c r="M186" s="241">
        <f>M211</f>
        <v>398.2</v>
      </c>
      <c r="N186" s="198">
        <f t="shared" si="6"/>
        <v>0</v>
      </c>
      <c r="O186" s="328"/>
      <c r="P186" s="328"/>
      <c r="Q186" s="328">
        <f>Roles!$D$5</f>
        <v>0.44</v>
      </c>
      <c r="R186" s="328">
        <f t="shared" si="7"/>
        <v>0</v>
      </c>
      <c r="S186" s="198">
        <f t="shared" si="8"/>
        <v>0</v>
      </c>
      <c r="T186" s="327"/>
      <c r="U186" s="328"/>
      <c r="V186" s="328">
        <f>Roles!$D$8</f>
        <v>0.09</v>
      </c>
      <c r="W186" s="328"/>
      <c r="X186" s="198">
        <f t="shared" si="9"/>
        <v>0</v>
      </c>
      <c r="Y186" s="327"/>
      <c r="Z186" s="328"/>
      <c r="AA186" s="328">
        <f>Roles!$D$8</f>
        <v>0.09</v>
      </c>
      <c r="AB186" s="328"/>
      <c r="AC186" s="198">
        <f t="shared" si="10"/>
        <v>0</v>
      </c>
      <c r="AD186" s="327"/>
      <c r="AE186" s="328"/>
      <c r="AF186" s="328">
        <f>Roles!$D$8</f>
        <v>0.09</v>
      </c>
      <c r="AG186" s="328"/>
      <c r="AH186" s="198">
        <f t="shared" si="11"/>
        <v>0</v>
      </c>
      <c r="AI186" s="327"/>
      <c r="AJ186" s="328"/>
      <c r="AK186" s="328">
        <f>Roles!$D$8</f>
        <v>0.09</v>
      </c>
      <c r="AL186" s="328"/>
      <c r="AM186" s="198">
        <f t="shared" si="12"/>
        <v>0</v>
      </c>
      <c r="AN186" s="327"/>
      <c r="AO186" s="328"/>
      <c r="AP186" s="328">
        <f>Roles!$D$8</f>
        <v>0.09</v>
      </c>
      <c r="AQ186" s="328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 t="shared" si="1"/>
        <v>14</v>
      </c>
      <c r="F187" s="246">
        <f>SUM(F188:F193)</f>
        <v>19</v>
      </c>
      <c r="G187" s="105">
        <f t="shared" si="2"/>
        <v>0.01636520241</v>
      </c>
      <c r="H187" s="226">
        <f>H193</f>
        <v>0.7338501292</v>
      </c>
      <c r="I187" s="247">
        <f>SUM(I188:I193)</f>
        <v>2</v>
      </c>
      <c r="J187" s="247">
        <f>J193</f>
        <v>851</v>
      </c>
      <c r="K187" s="167">
        <f t="shared" si="3"/>
        <v>0.880041365</v>
      </c>
      <c r="L187" s="247">
        <f>SUM(L188:L193)</f>
        <v>0.88</v>
      </c>
      <c r="M187" s="247">
        <f>M193</f>
        <v>374.44</v>
      </c>
      <c r="N187" s="198">
        <f t="shared" si="6"/>
        <v>0</v>
      </c>
      <c r="O187" s="328"/>
      <c r="P187" s="328"/>
      <c r="Q187" s="328">
        <f>Roles!$D$5</f>
        <v>0.44</v>
      </c>
      <c r="R187" s="328">
        <f t="shared" si="7"/>
        <v>0</v>
      </c>
      <c r="S187" s="198">
        <f t="shared" si="8"/>
        <v>0</v>
      </c>
      <c r="T187" s="327"/>
      <c r="U187" s="328"/>
      <c r="V187" s="328">
        <f>Roles!$D$8</f>
        <v>0.09</v>
      </c>
      <c r="W187" s="328"/>
      <c r="X187" s="198">
        <f t="shared" si="9"/>
        <v>0</v>
      </c>
      <c r="Y187" s="327"/>
      <c r="Z187" s="328"/>
      <c r="AA187" s="328">
        <f>Roles!$D$8</f>
        <v>0.09</v>
      </c>
      <c r="AB187" s="328"/>
      <c r="AC187" s="198">
        <f t="shared" si="10"/>
        <v>0</v>
      </c>
      <c r="AD187" s="327"/>
      <c r="AE187" s="328"/>
      <c r="AF187" s="328">
        <f>Roles!$D$8</f>
        <v>0.09</v>
      </c>
      <c r="AG187" s="328"/>
      <c r="AH187" s="198">
        <f t="shared" si="11"/>
        <v>0</v>
      </c>
      <c r="AI187" s="327"/>
      <c r="AJ187" s="328"/>
      <c r="AK187" s="328">
        <f>Roles!$D$8</f>
        <v>0.09</v>
      </c>
      <c r="AL187" s="328"/>
      <c r="AM187" s="198">
        <f t="shared" si="12"/>
        <v>0</v>
      </c>
      <c r="AN187" s="327"/>
      <c r="AO187" s="328"/>
      <c r="AP187" s="328">
        <f>Roles!$D$8</f>
        <v>0.09</v>
      </c>
      <c r="AQ187" s="328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 t="shared" si="1"/>
        <v>2</v>
      </c>
      <c r="F188" s="80">
        <v>3.0</v>
      </c>
      <c r="G188" s="105">
        <f t="shared" si="2"/>
        <v>0.002583979328</v>
      </c>
      <c r="H188" s="47">
        <f>H185+G188</f>
        <v>0.7200689061</v>
      </c>
      <c r="I188" s="187">
        <f t="shared" ref="I188:I193" si="161">O188+T188+Y188+AD188+AI188+AN188</f>
        <v>0</v>
      </c>
      <c r="J188" s="172">
        <f>J185+I188</f>
        <v>849</v>
      </c>
      <c r="K188" s="115">
        <f t="shared" si="3"/>
        <v>0.8779731127</v>
      </c>
      <c r="L188" s="232">
        <f t="shared" ref="L188:L193" si="162">R188+W188+AB188+AG188+AL188+AQ188</f>
        <v>0</v>
      </c>
      <c r="M188" s="172">
        <f>M185+L188</f>
        <v>373.56</v>
      </c>
      <c r="N188" s="198">
        <f t="shared" si="6"/>
        <v>0</v>
      </c>
      <c r="O188" s="337">
        <v>0.0</v>
      </c>
      <c r="P188" s="328"/>
      <c r="Q188" s="328">
        <f>Roles!$D$5</f>
        <v>0.44</v>
      </c>
      <c r="R188" s="328">
        <f t="shared" si="7"/>
        <v>0</v>
      </c>
      <c r="S188" s="198">
        <f t="shared" si="8"/>
        <v>0</v>
      </c>
      <c r="T188" s="327"/>
      <c r="U188" s="328"/>
      <c r="V188" s="328">
        <f>Roles!$D$8</f>
        <v>0.09</v>
      </c>
      <c r="W188" s="328"/>
      <c r="X188" s="198">
        <f t="shared" si="9"/>
        <v>0</v>
      </c>
      <c r="Y188" s="327"/>
      <c r="Z188" s="328"/>
      <c r="AA188" s="328">
        <f>Roles!$D$8</f>
        <v>0.09</v>
      </c>
      <c r="AB188" s="328"/>
      <c r="AC188" s="198">
        <f t="shared" si="10"/>
        <v>0</v>
      </c>
      <c r="AD188" s="327"/>
      <c r="AE188" s="328"/>
      <c r="AF188" s="328">
        <f>Roles!$D$8</f>
        <v>0.09</v>
      </c>
      <c r="AG188" s="328"/>
      <c r="AH188" s="198">
        <f t="shared" si="11"/>
        <v>0</v>
      </c>
      <c r="AI188" s="327"/>
      <c r="AJ188" s="328"/>
      <c r="AK188" s="328">
        <f>Roles!$D$8</f>
        <v>0.09</v>
      </c>
      <c r="AL188" s="328"/>
      <c r="AM188" s="198">
        <f t="shared" si="12"/>
        <v>0</v>
      </c>
      <c r="AN188" s="327"/>
      <c r="AO188" s="328"/>
      <c r="AP188" s="328">
        <f>Roles!$D$8</f>
        <v>0.09</v>
      </c>
      <c r="AQ188" s="328"/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 t="shared" si="1"/>
        <v>3</v>
      </c>
      <c r="F189" s="80">
        <v>4.0</v>
      </c>
      <c r="G189" s="105">
        <f t="shared" si="2"/>
        <v>0.003445305771</v>
      </c>
      <c r="H189" s="47">
        <f t="shared" ref="H189:H193" si="163">H188+G189</f>
        <v>0.7235142119</v>
      </c>
      <c r="I189" s="187">
        <f t="shared" si="161"/>
        <v>0</v>
      </c>
      <c r="J189" s="172">
        <f t="shared" ref="J189:J193" si="164">J188+I189</f>
        <v>849</v>
      </c>
      <c r="K189" s="115">
        <f t="shared" si="3"/>
        <v>0.8779731127</v>
      </c>
      <c r="L189" s="232">
        <f t="shared" si="162"/>
        <v>0</v>
      </c>
      <c r="M189" s="172">
        <f t="shared" ref="M189:M193" si="165">M188+L189</f>
        <v>373.56</v>
      </c>
      <c r="N189" s="198">
        <f t="shared" si="6"/>
        <v>0</v>
      </c>
      <c r="O189" s="337">
        <v>0.0</v>
      </c>
      <c r="P189" s="328"/>
      <c r="Q189" s="328">
        <f>Roles!$D$5</f>
        <v>0.44</v>
      </c>
      <c r="R189" s="328">
        <f t="shared" si="7"/>
        <v>0</v>
      </c>
      <c r="S189" s="198">
        <f t="shared" si="8"/>
        <v>0</v>
      </c>
      <c r="T189" s="327"/>
      <c r="U189" s="328"/>
      <c r="V189" s="328">
        <f>Roles!$D$8</f>
        <v>0.09</v>
      </c>
      <c r="W189" s="328"/>
      <c r="X189" s="198">
        <f t="shared" si="9"/>
        <v>0</v>
      </c>
      <c r="Y189" s="327"/>
      <c r="Z189" s="328"/>
      <c r="AA189" s="328">
        <f>Roles!$D$8</f>
        <v>0.09</v>
      </c>
      <c r="AB189" s="328"/>
      <c r="AC189" s="198">
        <f t="shared" si="10"/>
        <v>0</v>
      </c>
      <c r="AD189" s="327"/>
      <c r="AE189" s="328"/>
      <c r="AF189" s="328">
        <f>Roles!$D$8</f>
        <v>0.09</v>
      </c>
      <c r="AG189" s="328"/>
      <c r="AH189" s="198">
        <f t="shared" si="11"/>
        <v>0</v>
      </c>
      <c r="AI189" s="327"/>
      <c r="AJ189" s="328"/>
      <c r="AK189" s="328">
        <f>Roles!$D$8</f>
        <v>0.09</v>
      </c>
      <c r="AL189" s="328"/>
      <c r="AM189" s="198">
        <f t="shared" si="12"/>
        <v>0</v>
      </c>
      <c r="AN189" s="327"/>
      <c r="AO189" s="328"/>
      <c r="AP189" s="328">
        <f>Roles!$D$8</f>
        <v>0.09</v>
      </c>
      <c r="AQ189" s="328"/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 t="shared" si="1"/>
        <v>2</v>
      </c>
      <c r="F190" s="80">
        <v>3.0</v>
      </c>
      <c r="G190" s="105">
        <f t="shared" si="2"/>
        <v>0.002583979328</v>
      </c>
      <c r="H190" s="47">
        <f t="shared" si="163"/>
        <v>0.7260981912</v>
      </c>
      <c r="I190" s="187">
        <f t="shared" si="161"/>
        <v>0</v>
      </c>
      <c r="J190" s="172">
        <f t="shared" si="164"/>
        <v>849</v>
      </c>
      <c r="K190" s="115">
        <f t="shared" si="3"/>
        <v>0.8779731127</v>
      </c>
      <c r="L190" s="232">
        <f t="shared" si="162"/>
        <v>0</v>
      </c>
      <c r="M190" s="172">
        <f t="shared" si="165"/>
        <v>373.56</v>
      </c>
      <c r="N190" s="198">
        <f t="shared" si="6"/>
        <v>0</v>
      </c>
      <c r="O190" s="337">
        <v>0.0</v>
      </c>
      <c r="P190" s="328"/>
      <c r="Q190" s="328">
        <f>Roles!$D$5</f>
        <v>0.44</v>
      </c>
      <c r="R190" s="328">
        <f t="shared" si="7"/>
        <v>0</v>
      </c>
      <c r="S190" s="198">
        <f t="shared" si="8"/>
        <v>0</v>
      </c>
      <c r="T190" s="327"/>
      <c r="U190" s="328"/>
      <c r="V190" s="328">
        <f>Roles!$D$8</f>
        <v>0.09</v>
      </c>
      <c r="W190" s="328"/>
      <c r="X190" s="198">
        <f t="shared" si="9"/>
        <v>0</v>
      </c>
      <c r="Y190" s="327"/>
      <c r="Z190" s="328"/>
      <c r="AA190" s="328">
        <f>Roles!$D$8</f>
        <v>0.09</v>
      </c>
      <c r="AB190" s="328"/>
      <c r="AC190" s="198">
        <f t="shared" si="10"/>
        <v>0</v>
      </c>
      <c r="AD190" s="327"/>
      <c r="AE190" s="328"/>
      <c r="AF190" s="328">
        <f>Roles!$D$8</f>
        <v>0.09</v>
      </c>
      <c r="AG190" s="328"/>
      <c r="AH190" s="198">
        <f t="shared" si="11"/>
        <v>0</v>
      </c>
      <c r="AI190" s="327"/>
      <c r="AJ190" s="328"/>
      <c r="AK190" s="328">
        <f>Roles!$D$8</f>
        <v>0.09</v>
      </c>
      <c r="AL190" s="328"/>
      <c r="AM190" s="198">
        <f t="shared" si="12"/>
        <v>0</v>
      </c>
      <c r="AN190" s="327"/>
      <c r="AO190" s="328"/>
      <c r="AP190" s="328">
        <f>Roles!$D$8</f>
        <v>0.09</v>
      </c>
      <c r="AQ190" s="328"/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 t="shared" si="1"/>
        <v>2</v>
      </c>
      <c r="F191" s="80">
        <v>3.0</v>
      </c>
      <c r="G191" s="105">
        <f t="shared" si="2"/>
        <v>0.002583979328</v>
      </c>
      <c r="H191" s="47">
        <f t="shared" si="163"/>
        <v>0.7286821705</v>
      </c>
      <c r="I191" s="187">
        <f t="shared" si="161"/>
        <v>0</v>
      </c>
      <c r="J191" s="172">
        <f t="shared" si="164"/>
        <v>849</v>
      </c>
      <c r="K191" s="115">
        <f t="shared" si="3"/>
        <v>0.8779731127</v>
      </c>
      <c r="L191" s="232">
        <f t="shared" si="162"/>
        <v>0</v>
      </c>
      <c r="M191" s="172">
        <f t="shared" si="165"/>
        <v>373.56</v>
      </c>
      <c r="N191" s="198">
        <f t="shared" si="6"/>
        <v>0</v>
      </c>
      <c r="O191" s="337">
        <v>0.0</v>
      </c>
      <c r="P191" s="328"/>
      <c r="Q191" s="328">
        <f>Roles!$D$5</f>
        <v>0.44</v>
      </c>
      <c r="R191" s="328">
        <f t="shared" si="7"/>
        <v>0</v>
      </c>
      <c r="S191" s="198">
        <f t="shared" si="8"/>
        <v>0</v>
      </c>
      <c r="T191" s="327"/>
      <c r="U191" s="328"/>
      <c r="V191" s="328">
        <f>Roles!$D$8</f>
        <v>0.09</v>
      </c>
      <c r="W191" s="328"/>
      <c r="X191" s="198">
        <f t="shared" si="9"/>
        <v>0</v>
      </c>
      <c r="Y191" s="327"/>
      <c r="Z191" s="328"/>
      <c r="AA191" s="328">
        <f>Roles!$D$8</f>
        <v>0.09</v>
      </c>
      <c r="AB191" s="328"/>
      <c r="AC191" s="198">
        <f t="shared" si="10"/>
        <v>0</v>
      </c>
      <c r="AD191" s="327"/>
      <c r="AE191" s="328"/>
      <c r="AF191" s="328">
        <f>Roles!$D$8</f>
        <v>0.09</v>
      </c>
      <c r="AG191" s="328"/>
      <c r="AH191" s="198">
        <f t="shared" si="11"/>
        <v>0</v>
      </c>
      <c r="AI191" s="327"/>
      <c r="AJ191" s="328"/>
      <c r="AK191" s="328">
        <f>Roles!$D$8</f>
        <v>0.09</v>
      </c>
      <c r="AL191" s="328"/>
      <c r="AM191" s="198">
        <f t="shared" si="12"/>
        <v>0</v>
      </c>
      <c r="AN191" s="327"/>
      <c r="AO191" s="328"/>
      <c r="AP191" s="328">
        <f>Roles!$D$8</f>
        <v>0.09</v>
      </c>
      <c r="AQ191" s="328"/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 t="shared" si="1"/>
        <v>2</v>
      </c>
      <c r="F192" s="80">
        <v>3.0</v>
      </c>
      <c r="G192" s="105">
        <f t="shared" si="2"/>
        <v>0.002583979328</v>
      </c>
      <c r="H192" s="47">
        <f t="shared" si="163"/>
        <v>0.7312661499</v>
      </c>
      <c r="I192" s="187">
        <f t="shared" si="161"/>
        <v>0</v>
      </c>
      <c r="J192" s="172">
        <f t="shared" si="164"/>
        <v>849</v>
      </c>
      <c r="K192" s="115">
        <f t="shared" si="3"/>
        <v>0.8779731127</v>
      </c>
      <c r="L192" s="232">
        <f t="shared" si="162"/>
        <v>0</v>
      </c>
      <c r="M192" s="172">
        <f t="shared" si="165"/>
        <v>373.56</v>
      </c>
      <c r="N192" s="198">
        <f t="shared" si="6"/>
        <v>0</v>
      </c>
      <c r="O192" s="337">
        <v>0.0</v>
      </c>
      <c r="P192" s="328"/>
      <c r="Q192" s="328">
        <f>Roles!$D$5</f>
        <v>0.44</v>
      </c>
      <c r="R192" s="328">
        <f t="shared" si="7"/>
        <v>0</v>
      </c>
      <c r="S192" s="198">
        <f t="shared" si="8"/>
        <v>0</v>
      </c>
      <c r="T192" s="327"/>
      <c r="U192" s="328"/>
      <c r="V192" s="328">
        <f>Roles!$D$8</f>
        <v>0.09</v>
      </c>
      <c r="W192" s="328"/>
      <c r="X192" s="198">
        <f t="shared" si="9"/>
        <v>0</v>
      </c>
      <c r="Y192" s="327"/>
      <c r="Z192" s="328"/>
      <c r="AA192" s="328">
        <f>Roles!$D$8</f>
        <v>0.09</v>
      </c>
      <c r="AB192" s="328"/>
      <c r="AC192" s="198">
        <f t="shared" si="10"/>
        <v>0</v>
      </c>
      <c r="AD192" s="327"/>
      <c r="AE192" s="328"/>
      <c r="AF192" s="328">
        <f>Roles!$D$8</f>
        <v>0.09</v>
      </c>
      <c r="AG192" s="328"/>
      <c r="AH192" s="198">
        <f t="shared" si="11"/>
        <v>0</v>
      </c>
      <c r="AI192" s="327"/>
      <c r="AJ192" s="328"/>
      <c r="AK192" s="328">
        <f>Roles!$D$8</f>
        <v>0.09</v>
      </c>
      <c r="AL192" s="328"/>
      <c r="AM192" s="198">
        <f t="shared" si="12"/>
        <v>0</v>
      </c>
      <c r="AN192" s="327"/>
      <c r="AO192" s="328"/>
      <c r="AP192" s="328">
        <f>Roles!$D$8</f>
        <v>0.09</v>
      </c>
      <c r="AQ192" s="328"/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 t="shared" si="1"/>
        <v>2</v>
      </c>
      <c r="F193" s="80">
        <v>3.0</v>
      </c>
      <c r="G193" s="105">
        <f t="shared" si="2"/>
        <v>0.002583979328</v>
      </c>
      <c r="H193" s="47">
        <f t="shared" si="163"/>
        <v>0.7338501292</v>
      </c>
      <c r="I193" s="187">
        <f t="shared" si="161"/>
        <v>2</v>
      </c>
      <c r="J193" s="172">
        <f t="shared" si="164"/>
        <v>851</v>
      </c>
      <c r="K193" s="115">
        <f t="shared" si="3"/>
        <v>0.880041365</v>
      </c>
      <c r="L193" s="232">
        <f t="shared" si="162"/>
        <v>0.88</v>
      </c>
      <c r="M193" s="172">
        <f t="shared" si="165"/>
        <v>374.44</v>
      </c>
      <c r="N193" s="198">
        <f t="shared" si="6"/>
        <v>0.6666666667</v>
      </c>
      <c r="O193" s="337">
        <v>2.0</v>
      </c>
      <c r="P193" s="328"/>
      <c r="Q193" s="328">
        <f>Roles!$D$5</f>
        <v>0.44</v>
      </c>
      <c r="R193" s="328">
        <f t="shared" si="7"/>
        <v>0.88</v>
      </c>
      <c r="S193" s="198">
        <f t="shared" si="8"/>
        <v>0</v>
      </c>
      <c r="T193" s="327"/>
      <c r="U193" s="328"/>
      <c r="V193" s="328">
        <f>Roles!$D$8</f>
        <v>0.09</v>
      </c>
      <c r="W193" s="328"/>
      <c r="X193" s="198">
        <f t="shared" si="9"/>
        <v>0</v>
      </c>
      <c r="Y193" s="327"/>
      <c r="Z193" s="328"/>
      <c r="AA193" s="328">
        <f>Roles!$D$8</f>
        <v>0.09</v>
      </c>
      <c r="AB193" s="328"/>
      <c r="AC193" s="198">
        <f t="shared" si="10"/>
        <v>0</v>
      </c>
      <c r="AD193" s="327"/>
      <c r="AE193" s="328"/>
      <c r="AF193" s="328">
        <f>Roles!$D$8</f>
        <v>0.09</v>
      </c>
      <c r="AG193" s="328"/>
      <c r="AH193" s="198">
        <f t="shared" si="11"/>
        <v>0</v>
      </c>
      <c r="AI193" s="327"/>
      <c r="AJ193" s="328"/>
      <c r="AK193" s="328">
        <f>Roles!$D$8</f>
        <v>0.09</v>
      </c>
      <c r="AL193" s="328"/>
      <c r="AM193" s="198">
        <f t="shared" si="12"/>
        <v>0</v>
      </c>
      <c r="AN193" s="327"/>
      <c r="AO193" s="328"/>
      <c r="AP193" s="328">
        <f>Roles!$D$8</f>
        <v>0.09</v>
      </c>
      <c r="AQ193" s="328"/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 t="shared" si="1"/>
        <v>8</v>
      </c>
      <c r="F194" s="246">
        <f>SUM(F195:F197)</f>
        <v>71</v>
      </c>
      <c r="G194" s="105">
        <f t="shared" si="2"/>
        <v>0.06115417743</v>
      </c>
      <c r="H194" s="226">
        <f>H197</f>
        <v>0.7950043066</v>
      </c>
      <c r="I194" s="247">
        <f>SUM(I195:I197)</f>
        <v>1</v>
      </c>
      <c r="J194" s="247">
        <f>J197</f>
        <v>852</v>
      </c>
      <c r="K194" s="167">
        <f t="shared" si="3"/>
        <v>0.8810754912</v>
      </c>
      <c r="L194" s="247">
        <f>SUM(L195:L197)</f>
        <v>0.44</v>
      </c>
      <c r="M194" s="247">
        <f>M197</f>
        <v>374.88</v>
      </c>
      <c r="N194" s="198">
        <f t="shared" si="6"/>
        <v>0</v>
      </c>
      <c r="O194" s="328"/>
      <c r="P194" s="328"/>
      <c r="Q194" s="328">
        <f>Roles!$D$5</f>
        <v>0.44</v>
      </c>
      <c r="R194" s="328">
        <f t="shared" si="7"/>
        <v>0</v>
      </c>
      <c r="S194" s="198">
        <f t="shared" si="8"/>
        <v>0</v>
      </c>
      <c r="T194" s="327"/>
      <c r="U194" s="328"/>
      <c r="V194" s="328">
        <f>Roles!$D$8</f>
        <v>0.09</v>
      </c>
      <c r="W194" s="328"/>
      <c r="X194" s="198">
        <f t="shared" si="9"/>
        <v>0</v>
      </c>
      <c r="Y194" s="327"/>
      <c r="Z194" s="328"/>
      <c r="AA194" s="328">
        <f>Roles!$D$8</f>
        <v>0.09</v>
      </c>
      <c r="AB194" s="328"/>
      <c r="AC194" s="198">
        <f t="shared" si="10"/>
        <v>0</v>
      </c>
      <c r="AD194" s="327"/>
      <c r="AE194" s="328"/>
      <c r="AF194" s="328">
        <f>Roles!$D$8</f>
        <v>0.09</v>
      </c>
      <c r="AG194" s="328"/>
      <c r="AH194" s="198">
        <f t="shared" si="11"/>
        <v>0</v>
      </c>
      <c r="AI194" s="327"/>
      <c r="AJ194" s="328"/>
      <c r="AK194" s="328">
        <f>Roles!$D$8</f>
        <v>0.09</v>
      </c>
      <c r="AL194" s="328"/>
      <c r="AM194" s="198">
        <f t="shared" si="12"/>
        <v>0</v>
      </c>
      <c r="AN194" s="327"/>
      <c r="AO194" s="328"/>
      <c r="AP194" s="328">
        <f>Roles!$D$8</f>
        <v>0.09</v>
      </c>
      <c r="AQ194" s="328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 t="shared" si="1"/>
        <v>4</v>
      </c>
      <c r="F195" s="80">
        <v>35.0</v>
      </c>
      <c r="G195" s="105">
        <f t="shared" si="2"/>
        <v>0.0301464255</v>
      </c>
      <c r="H195" s="47">
        <f>H193+G195</f>
        <v>0.7639965547</v>
      </c>
      <c r="I195" s="187">
        <f t="shared" ref="I195:I197" si="166">O195+T195+Y195+AD195+AI195+AN195</f>
        <v>0</v>
      </c>
      <c r="J195" s="172">
        <f>J193+I195</f>
        <v>851</v>
      </c>
      <c r="K195" s="115">
        <f t="shared" si="3"/>
        <v>0.880041365</v>
      </c>
      <c r="L195" s="232">
        <f t="shared" ref="L195:L197" si="167">R195+W195+AB195+AG195+AL195+AQ195</f>
        <v>0</v>
      </c>
      <c r="M195" s="172">
        <f>M193+L195</f>
        <v>374.44</v>
      </c>
      <c r="N195" s="198">
        <f t="shared" si="6"/>
        <v>0</v>
      </c>
      <c r="O195" s="337">
        <v>0.0</v>
      </c>
      <c r="P195" s="328"/>
      <c r="Q195" s="328">
        <f>Roles!$D$5</f>
        <v>0.44</v>
      </c>
      <c r="R195" s="328">
        <f t="shared" si="7"/>
        <v>0</v>
      </c>
      <c r="S195" s="198">
        <f t="shared" si="8"/>
        <v>0</v>
      </c>
      <c r="T195" s="327"/>
      <c r="U195" s="328"/>
      <c r="V195" s="328">
        <f>Roles!$D$8</f>
        <v>0.09</v>
      </c>
      <c r="W195" s="328"/>
      <c r="X195" s="198">
        <f t="shared" si="9"/>
        <v>0</v>
      </c>
      <c r="Y195" s="327"/>
      <c r="Z195" s="328"/>
      <c r="AA195" s="328">
        <f>Roles!$D$8</f>
        <v>0.09</v>
      </c>
      <c r="AB195" s="328"/>
      <c r="AC195" s="198">
        <f t="shared" si="10"/>
        <v>0</v>
      </c>
      <c r="AD195" s="327"/>
      <c r="AE195" s="328"/>
      <c r="AF195" s="328">
        <f>Roles!$D$8</f>
        <v>0.09</v>
      </c>
      <c r="AG195" s="328"/>
      <c r="AH195" s="198">
        <f t="shared" si="11"/>
        <v>0</v>
      </c>
      <c r="AI195" s="327"/>
      <c r="AJ195" s="328"/>
      <c r="AK195" s="328">
        <f>Roles!$D$8</f>
        <v>0.09</v>
      </c>
      <c r="AL195" s="328"/>
      <c r="AM195" s="198">
        <f t="shared" si="12"/>
        <v>0</v>
      </c>
      <c r="AN195" s="327"/>
      <c r="AO195" s="328"/>
      <c r="AP195" s="328">
        <f>Roles!$D$8</f>
        <v>0.09</v>
      </c>
      <c r="AQ195" s="328"/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 t="shared" si="1"/>
        <v>1</v>
      </c>
      <c r="F196" s="80">
        <v>1.0</v>
      </c>
      <c r="G196" s="105">
        <f t="shared" si="2"/>
        <v>0.0008613264427</v>
      </c>
      <c r="H196" s="186">
        <f t="shared" ref="H196:H197" si="168">H195+G196</f>
        <v>0.7648578811</v>
      </c>
      <c r="I196" s="187">
        <f t="shared" si="166"/>
        <v>1</v>
      </c>
      <c r="J196" s="233">
        <f t="shared" ref="J196:J197" si="169">J195+I196</f>
        <v>852</v>
      </c>
      <c r="K196" s="340">
        <f t="shared" si="3"/>
        <v>0.8810754912</v>
      </c>
      <c r="L196" s="232">
        <f t="shared" si="167"/>
        <v>0.44</v>
      </c>
      <c r="M196" s="233">
        <f t="shared" ref="M196:M197" si="170">M195+L196</f>
        <v>374.88</v>
      </c>
      <c r="N196" s="198">
        <f t="shared" si="6"/>
        <v>1</v>
      </c>
      <c r="O196" s="337">
        <v>1.0</v>
      </c>
      <c r="P196" s="328"/>
      <c r="Q196" s="328">
        <f>Roles!$D$5</f>
        <v>0.44</v>
      </c>
      <c r="R196" s="328">
        <f t="shared" si="7"/>
        <v>0.44</v>
      </c>
      <c r="S196" s="198">
        <f t="shared" si="8"/>
        <v>0</v>
      </c>
      <c r="T196" s="327"/>
      <c r="U196" s="328"/>
      <c r="V196" s="328">
        <f>Roles!$D$8</f>
        <v>0.09</v>
      </c>
      <c r="W196" s="328"/>
      <c r="X196" s="198">
        <f t="shared" si="9"/>
        <v>0</v>
      </c>
      <c r="Y196" s="327"/>
      <c r="Z196" s="328"/>
      <c r="AA196" s="328">
        <f>Roles!$D$8</f>
        <v>0.09</v>
      </c>
      <c r="AB196" s="328"/>
      <c r="AC196" s="198">
        <f t="shared" si="10"/>
        <v>0</v>
      </c>
      <c r="AD196" s="327"/>
      <c r="AE196" s="328"/>
      <c r="AF196" s="328">
        <f>Roles!$D$8</f>
        <v>0.09</v>
      </c>
      <c r="AG196" s="328"/>
      <c r="AH196" s="198">
        <f t="shared" si="11"/>
        <v>0</v>
      </c>
      <c r="AI196" s="327"/>
      <c r="AJ196" s="328"/>
      <c r="AK196" s="328">
        <f>Roles!$D$8</f>
        <v>0.09</v>
      </c>
      <c r="AL196" s="328"/>
      <c r="AM196" s="198">
        <f t="shared" si="12"/>
        <v>0</v>
      </c>
      <c r="AN196" s="327"/>
      <c r="AO196" s="328"/>
      <c r="AP196" s="328">
        <f>Roles!$D$8</f>
        <v>0.09</v>
      </c>
      <c r="AQ196" s="328"/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 t="shared" si="1"/>
        <v>4</v>
      </c>
      <c r="F197" s="80">
        <v>35.0</v>
      </c>
      <c r="G197" s="105">
        <f t="shared" si="2"/>
        <v>0.0301464255</v>
      </c>
      <c r="H197" s="186">
        <f t="shared" si="168"/>
        <v>0.7950043066</v>
      </c>
      <c r="I197" s="187">
        <f t="shared" si="166"/>
        <v>0</v>
      </c>
      <c r="J197" s="233">
        <f t="shared" si="169"/>
        <v>852</v>
      </c>
      <c r="K197" s="340">
        <f t="shared" si="3"/>
        <v>0.8810754912</v>
      </c>
      <c r="L197" s="232">
        <f t="shared" si="167"/>
        <v>0</v>
      </c>
      <c r="M197" s="233">
        <f t="shared" si="170"/>
        <v>374.88</v>
      </c>
      <c r="N197" s="198">
        <f t="shared" si="6"/>
        <v>0</v>
      </c>
      <c r="O197" s="337">
        <v>0.0</v>
      </c>
      <c r="P197" s="328"/>
      <c r="Q197" s="328">
        <f>Roles!$D$5</f>
        <v>0.44</v>
      </c>
      <c r="R197" s="328">
        <f t="shared" si="7"/>
        <v>0</v>
      </c>
      <c r="S197" s="198">
        <f t="shared" si="8"/>
        <v>0</v>
      </c>
      <c r="T197" s="327"/>
      <c r="U197" s="328"/>
      <c r="V197" s="328">
        <f>Roles!$D$8</f>
        <v>0.09</v>
      </c>
      <c r="W197" s="328"/>
      <c r="X197" s="198">
        <f t="shared" si="9"/>
        <v>0</v>
      </c>
      <c r="Y197" s="327"/>
      <c r="Z197" s="328"/>
      <c r="AA197" s="328">
        <f>Roles!$D$8</f>
        <v>0.09</v>
      </c>
      <c r="AB197" s="328"/>
      <c r="AC197" s="198">
        <f t="shared" si="10"/>
        <v>0</v>
      </c>
      <c r="AD197" s="327"/>
      <c r="AE197" s="328"/>
      <c r="AF197" s="328">
        <f>Roles!$D$8</f>
        <v>0.09</v>
      </c>
      <c r="AG197" s="328"/>
      <c r="AH197" s="198">
        <f t="shared" si="11"/>
        <v>0</v>
      </c>
      <c r="AI197" s="327"/>
      <c r="AJ197" s="328"/>
      <c r="AK197" s="328">
        <f>Roles!$D$8</f>
        <v>0.09</v>
      </c>
      <c r="AL197" s="328"/>
      <c r="AM197" s="198">
        <f t="shared" si="12"/>
        <v>0</v>
      </c>
      <c r="AN197" s="327"/>
      <c r="AO197" s="328"/>
      <c r="AP197" s="328">
        <f>Roles!$D$8</f>
        <v>0.09</v>
      </c>
      <c r="AQ197" s="328"/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 t="shared" si="1"/>
        <v>7</v>
      </c>
      <c r="F198" s="246">
        <f>SUM(F199:F201)</f>
        <v>61</v>
      </c>
      <c r="G198" s="105">
        <f t="shared" si="2"/>
        <v>0.05254091301</v>
      </c>
      <c r="H198" s="226">
        <f>H201</f>
        <v>0.8475452196</v>
      </c>
      <c r="I198" s="247">
        <f>SUM(I199:I201)</f>
        <v>1</v>
      </c>
      <c r="J198" s="247">
        <f>J201</f>
        <v>853</v>
      </c>
      <c r="K198" s="167">
        <f t="shared" si="3"/>
        <v>0.8821096174</v>
      </c>
      <c r="L198" s="247">
        <f>SUM(L199:L201)</f>
        <v>0.44</v>
      </c>
      <c r="M198" s="247">
        <f>M201</f>
        <v>375.32</v>
      </c>
      <c r="N198" s="198">
        <f t="shared" si="6"/>
        <v>0</v>
      </c>
      <c r="O198" s="328"/>
      <c r="P198" s="328"/>
      <c r="Q198" s="328">
        <f>Roles!$D$5</f>
        <v>0.44</v>
      </c>
      <c r="R198" s="328">
        <f t="shared" si="7"/>
        <v>0</v>
      </c>
      <c r="S198" s="198">
        <f t="shared" si="8"/>
        <v>0</v>
      </c>
      <c r="T198" s="327"/>
      <c r="U198" s="328"/>
      <c r="V198" s="328">
        <f>Roles!$D$8</f>
        <v>0.09</v>
      </c>
      <c r="W198" s="328"/>
      <c r="X198" s="198">
        <f t="shared" si="9"/>
        <v>0</v>
      </c>
      <c r="Y198" s="327"/>
      <c r="Z198" s="328"/>
      <c r="AA198" s="328">
        <f>Roles!$D$8</f>
        <v>0.09</v>
      </c>
      <c r="AB198" s="328"/>
      <c r="AC198" s="198">
        <f t="shared" si="10"/>
        <v>0</v>
      </c>
      <c r="AD198" s="327"/>
      <c r="AE198" s="328"/>
      <c r="AF198" s="328">
        <f>Roles!$D$8</f>
        <v>0.09</v>
      </c>
      <c r="AG198" s="328"/>
      <c r="AH198" s="198">
        <f t="shared" si="11"/>
        <v>0</v>
      </c>
      <c r="AI198" s="327"/>
      <c r="AJ198" s="328"/>
      <c r="AK198" s="328">
        <f>Roles!$D$8</f>
        <v>0.09</v>
      </c>
      <c r="AL198" s="328"/>
      <c r="AM198" s="198">
        <f t="shared" si="12"/>
        <v>0</v>
      </c>
      <c r="AN198" s="327"/>
      <c r="AO198" s="328"/>
      <c r="AP198" s="328">
        <f>Roles!$D$8</f>
        <v>0.09</v>
      </c>
      <c r="AQ198" s="328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 t="shared" si="1"/>
        <v>1</v>
      </c>
      <c r="F199" s="80">
        <v>1.0</v>
      </c>
      <c r="G199" s="105">
        <f t="shared" si="2"/>
        <v>0.0008613264427</v>
      </c>
      <c r="H199" s="47">
        <f>H197+G199</f>
        <v>0.7958656331</v>
      </c>
      <c r="I199" s="187">
        <f t="shared" ref="I199:I201" si="171">O199+T199+Y199+AD199+AI199+AN199</f>
        <v>1</v>
      </c>
      <c r="J199" s="172">
        <f>J197+I199</f>
        <v>853</v>
      </c>
      <c r="K199" s="115">
        <f t="shared" si="3"/>
        <v>0.8821096174</v>
      </c>
      <c r="L199" s="232">
        <f t="shared" ref="L199:L201" si="172">R199+W199+AB199+AG199+AL199+AQ199</f>
        <v>0.44</v>
      </c>
      <c r="M199" s="172">
        <f>M197+L199</f>
        <v>375.32</v>
      </c>
      <c r="N199" s="198">
        <f t="shared" si="6"/>
        <v>1</v>
      </c>
      <c r="O199" s="337">
        <v>1.0</v>
      </c>
      <c r="P199" s="328"/>
      <c r="Q199" s="328">
        <f>Roles!$D$5</f>
        <v>0.44</v>
      </c>
      <c r="R199" s="328">
        <f t="shared" si="7"/>
        <v>0.44</v>
      </c>
      <c r="S199" s="198">
        <f t="shared" si="8"/>
        <v>0</v>
      </c>
      <c r="T199" s="327"/>
      <c r="U199" s="328"/>
      <c r="V199" s="328">
        <f>Roles!$D$8</f>
        <v>0.09</v>
      </c>
      <c r="W199" s="328"/>
      <c r="X199" s="198">
        <f t="shared" si="9"/>
        <v>0</v>
      </c>
      <c r="Y199" s="327"/>
      <c r="Z199" s="328"/>
      <c r="AA199" s="328">
        <f>Roles!$D$8</f>
        <v>0.09</v>
      </c>
      <c r="AB199" s="328"/>
      <c r="AC199" s="198">
        <f t="shared" si="10"/>
        <v>0</v>
      </c>
      <c r="AD199" s="327"/>
      <c r="AE199" s="328"/>
      <c r="AF199" s="328">
        <f>Roles!$D$8</f>
        <v>0.09</v>
      </c>
      <c r="AG199" s="328"/>
      <c r="AH199" s="198">
        <f t="shared" si="11"/>
        <v>0</v>
      </c>
      <c r="AI199" s="327"/>
      <c r="AJ199" s="328"/>
      <c r="AK199" s="328">
        <f>Roles!$D$8</f>
        <v>0.09</v>
      </c>
      <c r="AL199" s="328"/>
      <c r="AM199" s="198">
        <f t="shared" si="12"/>
        <v>0</v>
      </c>
      <c r="AN199" s="327"/>
      <c r="AO199" s="328"/>
      <c r="AP199" s="328">
        <f>Roles!$D$8</f>
        <v>0.09</v>
      </c>
      <c r="AQ199" s="328"/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 t="shared" si="1"/>
        <v>4</v>
      </c>
      <c r="F200" s="80">
        <v>30.0</v>
      </c>
      <c r="G200" s="105">
        <f t="shared" si="2"/>
        <v>0.02583979328</v>
      </c>
      <c r="H200" s="186">
        <f t="shared" ref="H200:H201" si="173">H199+G200</f>
        <v>0.8217054264</v>
      </c>
      <c r="I200" s="187">
        <f t="shared" si="171"/>
        <v>0</v>
      </c>
      <c r="J200" s="233">
        <f t="shared" ref="J200:J201" si="174">J199+I200</f>
        <v>853</v>
      </c>
      <c r="K200" s="340">
        <f t="shared" si="3"/>
        <v>0.8821096174</v>
      </c>
      <c r="L200" s="232">
        <f t="shared" si="172"/>
        <v>0</v>
      </c>
      <c r="M200" s="233">
        <f t="shared" ref="M200:M201" si="175">M199+L200</f>
        <v>375.32</v>
      </c>
      <c r="N200" s="198">
        <f t="shared" si="6"/>
        <v>0</v>
      </c>
      <c r="O200" s="337">
        <v>0.0</v>
      </c>
      <c r="P200" s="328"/>
      <c r="Q200" s="328">
        <f>Roles!$D$5</f>
        <v>0.44</v>
      </c>
      <c r="R200" s="328">
        <f t="shared" si="7"/>
        <v>0</v>
      </c>
      <c r="S200" s="198">
        <f t="shared" si="8"/>
        <v>0</v>
      </c>
      <c r="T200" s="327"/>
      <c r="U200" s="328"/>
      <c r="V200" s="328">
        <f>Roles!$D$8</f>
        <v>0.09</v>
      </c>
      <c r="W200" s="328"/>
      <c r="X200" s="198">
        <f t="shared" si="9"/>
        <v>0</v>
      </c>
      <c r="Y200" s="327"/>
      <c r="Z200" s="328"/>
      <c r="AA200" s="328">
        <f>Roles!$D$8</f>
        <v>0.09</v>
      </c>
      <c r="AB200" s="328"/>
      <c r="AC200" s="198">
        <f t="shared" si="10"/>
        <v>0</v>
      </c>
      <c r="AD200" s="327"/>
      <c r="AE200" s="328"/>
      <c r="AF200" s="328">
        <f>Roles!$D$8</f>
        <v>0.09</v>
      </c>
      <c r="AG200" s="328"/>
      <c r="AH200" s="198">
        <f t="shared" si="11"/>
        <v>0</v>
      </c>
      <c r="AI200" s="327"/>
      <c r="AJ200" s="328"/>
      <c r="AK200" s="328">
        <f>Roles!$D$8</f>
        <v>0.09</v>
      </c>
      <c r="AL200" s="328"/>
      <c r="AM200" s="198">
        <f t="shared" si="12"/>
        <v>0</v>
      </c>
      <c r="AN200" s="327"/>
      <c r="AO200" s="328"/>
      <c r="AP200" s="328">
        <f>Roles!$D$8</f>
        <v>0.09</v>
      </c>
      <c r="AQ200" s="328"/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 t="shared" si="1"/>
        <v>3</v>
      </c>
      <c r="F201" s="80">
        <v>30.0</v>
      </c>
      <c r="G201" s="105">
        <f t="shared" si="2"/>
        <v>0.02583979328</v>
      </c>
      <c r="H201" s="186">
        <f t="shared" si="173"/>
        <v>0.8475452196</v>
      </c>
      <c r="I201" s="187">
        <f t="shared" si="171"/>
        <v>0</v>
      </c>
      <c r="J201" s="233">
        <f t="shared" si="174"/>
        <v>853</v>
      </c>
      <c r="K201" s="340">
        <f t="shared" si="3"/>
        <v>0.8821096174</v>
      </c>
      <c r="L201" s="232">
        <f t="shared" si="172"/>
        <v>0</v>
      </c>
      <c r="M201" s="233">
        <f t="shared" si="175"/>
        <v>375.32</v>
      </c>
      <c r="N201" s="198">
        <f t="shared" si="6"/>
        <v>0</v>
      </c>
      <c r="O201" s="337">
        <v>0.0</v>
      </c>
      <c r="P201" s="328"/>
      <c r="Q201" s="328">
        <f>Roles!$D$5</f>
        <v>0.44</v>
      </c>
      <c r="R201" s="328">
        <f t="shared" si="7"/>
        <v>0</v>
      </c>
      <c r="S201" s="198">
        <f t="shared" si="8"/>
        <v>0</v>
      </c>
      <c r="T201" s="327"/>
      <c r="U201" s="328"/>
      <c r="V201" s="328">
        <f>Roles!$D$8</f>
        <v>0.09</v>
      </c>
      <c r="W201" s="328"/>
      <c r="X201" s="198">
        <f t="shared" si="9"/>
        <v>0</v>
      </c>
      <c r="Y201" s="327"/>
      <c r="Z201" s="328"/>
      <c r="AA201" s="328">
        <f>Roles!$D$8</f>
        <v>0.09</v>
      </c>
      <c r="AB201" s="328"/>
      <c r="AC201" s="198">
        <f t="shared" si="10"/>
        <v>0</v>
      </c>
      <c r="AD201" s="327"/>
      <c r="AE201" s="328"/>
      <c r="AF201" s="328">
        <f>Roles!$D$8</f>
        <v>0.09</v>
      </c>
      <c r="AG201" s="328"/>
      <c r="AH201" s="198">
        <f t="shared" si="11"/>
        <v>0</v>
      </c>
      <c r="AI201" s="327"/>
      <c r="AJ201" s="328"/>
      <c r="AK201" s="328">
        <f>Roles!$D$8</f>
        <v>0.09</v>
      </c>
      <c r="AL201" s="328"/>
      <c r="AM201" s="198">
        <f t="shared" si="12"/>
        <v>0</v>
      </c>
      <c r="AN201" s="327"/>
      <c r="AO201" s="328"/>
      <c r="AP201" s="328">
        <f>Roles!$D$8</f>
        <v>0.09</v>
      </c>
      <c r="AQ201" s="328"/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 t="shared" si="1"/>
        <v>3</v>
      </c>
      <c r="F202" s="246">
        <f>SUM(F203:F205)</f>
        <v>31</v>
      </c>
      <c r="G202" s="105">
        <f t="shared" si="2"/>
        <v>0.02670111972</v>
      </c>
      <c r="H202" s="226">
        <f>H205</f>
        <v>0.8742463394</v>
      </c>
      <c r="I202" s="247">
        <f>SUM(I203:I205)</f>
        <v>1</v>
      </c>
      <c r="J202" s="247">
        <f>J205</f>
        <v>854</v>
      </c>
      <c r="K202" s="167">
        <f t="shared" si="3"/>
        <v>0.8831437435</v>
      </c>
      <c r="L202" s="247">
        <f>SUM(L203:L205)</f>
        <v>0.44</v>
      </c>
      <c r="M202" s="247">
        <f>M205</f>
        <v>375.76</v>
      </c>
      <c r="N202" s="198">
        <f t="shared" si="6"/>
        <v>0</v>
      </c>
      <c r="O202" s="328"/>
      <c r="P202" s="328"/>
      <c r="Q202" s="328">
        <f>Roles!$D$5</f>
        <v>0.44</v>
      </c>
      <c r="R202" s="328">
        <f t="shared" si="7"/>
        <v>0</v>
      </c>
      <c r="S202" s="198">
        <f t="shared" si="8"/>
        <v>0</v>
      </c>
      <c r="T202" s="327"/>
      <c r="U202" s="328"/>
      <c r="V202" s="328">
        <f>Roles!$D$8</f>
        <v>0.09</v>
      </c>
      <c r="W202" s="328"/>
      <c r="X202" s="198">
        <f t="shared" si="9"/>
        <v>0</v>
      </c>
      <c r="Y202" s="327"/>
      <c r="Z202" s="328"/>
      <c r="AA202" s="328">
        <f>Roles!$D$8</f>
        <v>0.09</v>
      </c>
      <c r="AB202" s="328"/>
      <c r="AC202" s="198">
        <f t="shared" si="10"/>
        <v>0</v>
      </c>
      <c r="AD202" s="327"/>
      <c r="AE202" s="328"/>
      <c r="AF202" s="328">
        <f>Roles!$D$8</f>
        <v>0.09</v>
      </c>
      <c r="AG202" s="328"/>
      <c r="AH202" s="198">
        <f t="shared" si="11"/>
        <v>0</v>
      </c>
      <c r="AI202" s="327"/>
      <c r="AJ202" s="328"/>
      <c r="AK202" s="328">
        <f>Roles!$D$8</f>
        <v>0.09</v>
      </c>
      <c r="AL202" s="328"/>
      <c r="AM202" s="198">
        <f t="shared" si="12"/>
        <v>0</v>
      </c>
      <c r="AN202" s="327"/>
      <c r="AO202" s="328"/>
      <c r="AP202" s="328">
        <f>Roles!$D$8</f>
        <v>0.09</v>
      </c>
      <c r="AQ202" s="328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 t="shared" si="1"/>
        <v>1</v>
      </c>
      <c r="F203" s="80">
        <v>1.0</v>
      </c>
      <c r="G203" s="105">
        <f t="shared" si="2"/>
        <v>0.0008613264427</v>
      </c>
      <c r="H203" s="47">
        <f>H201+G203</f>
        <v>0.8484065461</v>
      </c>
      <c r="I203" s="187">
        <f t="shared" ref="I203:I205" si="176">O203+T203+Y203+AD203+AI203+AN203</f>
        <v>1</v>
      </c>
      <c r="J203" s="172">
        <f>J201+I203</f>
        <v>854</v>
      </c>
      <c r="K203" s="115">
        <f t="shared" si="3"/>
        <v>0.8831437435</v>
      </c>
      <c r="L203" s="232">
        <f t="shared" ref="L203:L205" si="177">R203+W203+AB203+AG203+AL203+AQ203</f>
        <v>0.44</v>
      </c>
      <c r="M203" s="172">
        <f>M201+L203</f>
        <v>375.76</v>
      </c>
      <c r="N203" s="198">
        <f t="shared" si="6"/>
        <v>1</v>
      </c>
      <c r="O203" s="337">
        <v>1.0</v>
      </c>
      <c r="P203" s="328"/>
      <c r="Q203" s="328">
        <f>Roles!$D$5</f>
        <v>0.44</v>
      </c>
      <c r="R203" s="328">
        <f t="shared" si="7"/>
        <v>0.44</v>
      </c>
      <c r="S203" s="198">
        <f t="shared" si="8"/>
        <v>0</v>
      </c>
      <c r="T203" s="327"/>
      <c r="U203" s="328"/>
      <c r="V203" s="328">
        <f>Roles!$D$8</f>
        <v>0.09</v>
      </c>
      <c r="W203" s="328"/>
      <c r="X203" s="198">
        <f t="shared" si="9"/>
        <v>0</v>
      </c>
      <c r="Y203" s="327"/>
      <c r="Z203" s="328"/>
      <c r="AA203" s="328">
        <f>Roles!$D$8</f>
        <v>0.09</v>
      </c>
      <c r="AB203" s="328"/>
      <c r="AC203" s="198">
        <f t="shared" si="10"/>
        <v>0</v>
      </c>
      <c r="AD203" s="327"/>
      <c r="AE203" s="328"/>
      <c r="AF203" s="328">
        <f>Roles!$D$8</f>
        <v>0.09</v>
      </c>
      <c r="AG203" s="328"/>
      <c r="AH203" s="198">
        <f t="shared" si="11"/>
        <v>0</v>
      </c>
      <c r="AI203" s="327"/>
      <c r="AJ203" s="328"/>
      <c r="AK203" s="328">
        <f>Roles!$D$8</f>
        <v>0.09</v>
      </c>
      <c r="AL203" s="328"/>
      <c r="AM203" s="198">
        <f t="shared" si="12"/>
        <v>0</v>
      </c>
      <c r="AN203" s="327"/>
      <c r="AO203" s="328"/>
      <c r="AP203" s="328">
        <f>Roles!$D$8</f>
        <v>0.09</v>
      </c>
      <c r="AQ203" s="328"/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 t="shared" si="1"/>
        <v>2</v>
      </c>
      <c r="F204" s="80">
        <v>20.0</v>
      </c>
      <c r="G204" s="105">
        <f t="shared" si="2"/>
        <v>0.01722652885</v>
      </c>
      <c r="H204" s="186">
        <f t="shared" ref="H204:H205" si="178">H203+G204</f>
        <v>0.8656330749</v>
      </c>
      <c r="I204" s="187">
        <f t="shared" si="176"/>
        <v>0</v>
      </c>
      <c r="J204" s="233">
        <f t="shared" ref="J204:J205" si="179">J203+I204</f>
        <v>854</v>
      </c>
      <c r="K204" s="340">
        <f t="shared" si="3"/>
        <v>0.8831437435</v>
      </c>
      <c r="L204" s="232">
        <f t="shared" si="177"/>
        <v>0</v>
      </c>
      <c r="M204" s="233">
        <f t="shared" ref="M204:M205" si="180">M203+L204</f>
        <v>375.76</v>
      </c>
      <c r="N204" s="198">
        <f t="shared" si="6"/>
        <v>0</v>
      </c>
      <c r="O204" s="337">
        <v>0.0</v>
      </c>
      <c r="P204" s="328"/>
      <c r="Q204" s="328">
        <f>Roles!$D$5</f>
        <v>0.44</v>
      </c>
      <c r="R204" s="328">
        <f t="shared" si="7"/>
        <v>0</v>
      </c>
      <c r="S204" s="198">
        <f t="shared" si="8"/>
        <v>0</v>
      </c>
      <c r="T204" s="327"/>
      <c r="U204" s="328"/>
      <c r="V204" s="328">
        <f>Roles!$D$8</f>
        <v>0.09</v>
      </c>
      <c r="W204" s="328"/>
      <c r="X204" s="198">
        <f t="shared" si="9"/>
        <v>0</v>
      </c>
      <c r="Y204" s="327"/>
      <c r="Z204" s="328"/>
      <c r="AA204" s="328">
        <f>Roles!$D$8</f>
        <v>0.09</v>
      </c>
      <c r="AB204" s="328"/>
      <c r="AC204" s="198">
        <f t="shared" si="10"/>
        <v>0</v>
      </c>
      <c r="AD204" s="327"/>
      <c r="AE204" s="328"/>
      <c r="AF204" s="328">
        <f>Roles!$D$8</f>
        <v>0.09</v>
      </c>
      <c r="AG204" s="328"/>
      <c r="AH204" s="198">
        <f t="shared" si="11"/>
        <v>0</v>
      </c>
      <c r="AI204" s="327"/>
      <c r="AJ204" s="328"/>
      <c r="AK204" s="328">
        <f>Roles!$D$8</f>
        <v>0.09</v>
      </c>
      <c r="AL204" s="328"/>
      <c r="AM204" s="198">
        <f t="shared" si="12"/>
        <v>0</v>
      </c>
      <c r="AN204" s="327"/>
      <c r="AO204" s="328"/>
      <c r="AP204" s="328">
        <f>Roles!$D$8</f>
        <v>0.09</v>
      </c>
      <c r="AQ204" s="328"/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 t="shared" si="1"/>
        <v>1</v>
      </c>
      <c r="F205" s="80">
        <v>10.0</v>
      </c>
      <c r="G205" s="105">
        <f t="shared" si="2"/>
        <v>0.008613264427</v>
      </c>
      <c r="H205" s="186">
        <f t="shared" si="178"/>
        <v>0.8742463394</v>
      </c>
      <c r="I205" s="187">
        <f t="shared" si="176"/>
        <v>0</v>
      </c>
      <c r="J205" s="233">
        <f t="shared" si="179"/>
        <v>854</v>
      </c>
      <c r="K205" s="340">
        <f t="shared" si="3"/>
        <v>0.8831437435</v>
      </c>
      <c r="L205" s="232">
        <f t="shared" si="177"/>
        <v>0</v>
      </c>
      <c r="M205" s="233">
        <f t="shared" si="180"/>
        <v>375.76</v>
      </c>
      <c r="N205" s="198">
        <f t="shared" si="6"/>
        <v>0</v>
      </c>
      <c r="O205" s="337">
        <v>0.0</v>
      </c>
      <c r="P205" s="328"/>
      <c r="Q205" s="328">
        <f>Roles!$D$5</f>
        <v>0.44</v>
      </c>
      <c r="R205" s="328">
        <f t="shared" si="7"/>
        <v>0</v>
      </c>
      <c r="S205" s="198">
        <f t="shared" si="8"/>
        <v>0</v>
      </c>
      <c r="T205" s="327"/>
      <c r="U205" s="328"/>
      <c r="V205" s="328">
        <f>Roles!$D$8</f>
        <v>0.09</v>
      </c>
      <c r="W205" s="328"/>
      <c r="X205" s="198">
        <f t="shared" si="9"/>
        <v>0</v>
      </c>
      <c r="Y205" s="327"/>
      <c r="Z205" s="328"/>
      <c r="AA205" s="328">
        <f>Roles!$D$8</f>
        <v>0.09</v>
      </c>
      <c r="AB205" s="328"/>
      <c r="AC205" s="198">
        <f t="shared" si="10"/>
        <v>0</v>
      </c>
      <c r="AD205" s="327"/>
      <c r="AE205" s="328"/>
      <c r="AF205" s="328">
        <f>Roles!$D$8</f>
        <v>0.09</v>
      </c>
      <c r="AG205" s="328"/>
      <c r="AH205" s="198">
        <f t="shared" si="11"/>
        <v>0</v>
      </c>
      <c r="AI205" s="327"/>
      <c r="AJ205" s="328"/>
      <c r="AK205" s="328">
        <f>Roles!$D$8</f>
        <v>0.09</v>
      </c>
      <c r="AL205" s="328"/>
      <c r="AM205" s="198">
        <f t="shared" si="12"/>
        <v>0</v>
      </c>
      <c r="AN205" s="327"/>
      <c r="AO205" s="328"/>
      <c r="AP205" s="328">
        <f>Roles!$D$8</f>
        <v>0.09</v>
      </c>
      <c r="AQ205" s="328"/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 t="shared" si="1"/>
        <v>3</v>
      </c>
      <c r="F206" s="246">
        <f>SUM(F207:F211)</f>
        <v>27</v>
      </c>
      <c r="G206" s="105">
        <f t="shared" si="2"/>
        <v>0.02325581395</v>
      </c>
      <c r="H206" s="226">
        <f>H211</f>
        <v>0.8975021533</v>
      </c>
      <c r="I206" s="247">
        <f>SUM(I207:I211)</f>
        <v>51</v>
      </c>
      <c r="J206" s="247">
        <f>J211</f>
        <v>905</v>
      </c>
      <c r="K206" s="167">
        <f t="shared" si="3"/>
        <v>0.9358841779</v>
      </c>
      <c r="L206" s="247">
        <f>SUM(L207:L211)</f>
        <v>22.44</v>
      </c>
      <c r="M206" s="247">
        <f>M211</f>
        <v>398.2</v>
      </c>
      <c r="N206" s="198">
        <f t="shared" si="6"/>
        <v>0</v>
      </c>
      <c r="O206" s="328"/>
      <c r="P206" s="328"/>
      <c r="Q206" s="328">
        <f>Roles!$D$5</f>
        <v>0.44</v>
      </c>
      <c r="R206" s="328">
        <f t="shared" si="7"/>
        <v>0</v>
      </c>
      <c r="S206" s="198">
        <f t="shared" si="8"/>
        <v>0</v>
      </c>
      <c r="T206" s="327"/>
      <c r="U206" s="328"/>
      <c r="V206" s="328">
        <f>Roles!$D$8</f>
        <v>0.09</v>
      </c>
      <c r="W206" s="328"/>
      <c r="X206" s="198">
        <f t="shared" si="9"/>
        <v>0</v>
      </c>
      <c r="Y206" s="327"/>
      <c r="Z206" s="328"/>
      <c r="AA206" s="328">
        <f>Roles!$D$8</f>
        <v>0.09</v>
      </c>
      <c r="AB206" s="328"/>
      <c r="AC206" s="198">
        <f t="shared" si="10"/>
        <v>0</v>
      </c>
      <c r="AD206" s="327"/>
      <c r="AE206" s="328"/>
      <c r="AF206" s="328">
        <f>Roles!$D$8</f>
        <v>0.09</v>
      </c>
      <c r="AG206" s="328"/>
      <c r="AH206" s="198">
        <f t="shared" si="11"/>
        <v>0</v>
      </c>
      <c r="AI206" s="327"/>
      <c r="AJ206" s="328"/>
      <c r="AK206" s="328">
        <f>Roles!$D$8</f>
        <v>0.09</v>
      </c>
      <c r="AL206" s="328"/>
      <c r="AM206" s="198">
        <f t="shared" si="12"/>
        <v>0</v>
      </c>
      <c r="AN206" s="327"/>
      <c r="AO206" s="328"/>
      <c r="AP206" s="328">
        <f>Roles!$D$8</f>
        <v>0.09</v>
      </c>
      <c r="AQ206" s="328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 t="shared" si="1"/>
        <v>2</v>
      </c>
      <c r="F207" s="80">
        <v>10.0</v>
      </c>
      <c r="G207" s="105">
        <f t="shared" si="2"/>
        <v>0.008613264427</v>
      </c>
      <c r="H207" s="47">
        <f>H205+G207</f>
        <v>0.8828596038</v>
      </c>
      <c r="I207" s="187">
        <f t="shared" ref="I207:I211" si="181">O207+T207+Y207+AD207+AI207+AN207</f>
        <v>0</v>
      </c>
      <c r="J207" s="172">
        <f>J205+I207</f>
        <v>854</v>
      </c>
      <c r="K207" s="115">
        <f t="shared" si="3"/>
        <v>0.8831437435</v>
      </c>
      <c r="L207" s="232">
        <f t="shared" ref="L207:L211" si="182">R207+W207+AB207+AG207+AL207+AQ207</f>
        <v>0</v>
      </c>
      <c r="M207" s="172">
        <f>M205+L207</f>
        <v>375.76</v>
      </c>
      <c r="N207" s="198">
        <f t="shared" si="6"/>
        <v>0</v>
      </c>
      <c r="O207" s="337">
        <v>0.0</v>
      </c>
      <c r="P207" s="328"/>
      <c r="Q207" s="328">
        <f>Roles!$D$5</f>
        <v>0.44</v>
      </c>
      <c r="R207" s="328">
        <f t="shared" si="7"/>
        <v>0</v>
      </c>
      <c r="S207" s="198">
        <f t="shared" si="8"/>
        <v>0</v>
      </c>
      <c r="T207" s="327"/>
      <c r="U207" s="328"/>
      <c r="V207" s="328">
        <f>Roles!$D$8</f>
        <v>0.09</v>
      </c>
      <c r="W207" s="328"/>
      <c r="X207" s="198">
        <f t="shared" si="9"/>
        <v>0</v>
      </c>
      <c r="Y207" s="327"/>
      <c r="Z207" s="328"/>
      <c r="AA207" s="328">
        <f>Roles!$D$8</f>
        <v>0.09</v>
      </c>
      <c r="AB207" s="328"/>
      <c r="AC207" s="198">
        <f t="shared" si="10"/>
        <v>0</v>
      </c>
      <c r="AD207" s="327"/>
      <c r="AE207" s="328"/>
      <c r="AF207" s="328">
        <f>Roles!$D$8</f>
        <v>0.09</v>
      </c>
      <c r="AG207" s="328"/>
      <c r="AH207" s="198">
        <f t="shared" si="11"/>
        <v>0</v>
      </c>
      <c r="AI207" s="327"/>
      <c r="AJ207" s="328"/>
      <c r="AK207" s="328">
        <f>Roles!$D$8</f>
        <v>0.09</v>
      </c>
      <c r="AL207" s="328"/>
      <c r="AM207" s="198">
        <f t="shared" si="12"/>
        <v>0</v>
      </c>
      <c r="AN207" s="327"/>
      <c r="AO207" s="328"/>
      <c r="AP207" s="328">
        <f>Roles!$D$8</f>
        <v>0.09</v>
      </c>
      <c r="AQ207" s="328"/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 t="shared" si="1"/>
        <v>2</v>
      </c>
      <c r="F208" s="80">
        <v>3.0</v>
      </c>
      <c r="G208" s="105">
        <f t="shared" si="2"/>
        <v>0.002583979328</v>
      </c>
      <c r="H208" s="47">
        <f t="shared" ref="H208:H212" si="183">H207+G208</f>
        <v>0.8854435831</v>
      </c>
      <c r="I208" s="187">
        <f t="shared" si="181"/>
        <v>2</v>
      </c>
      <c r="J208" s="172">
        <f t="shared" ref="J208:J212" si="184">J207+I208</f>
        <v>856</v>
      </c>
      <c r="K208" s="115">
        <f t="shared" si="3"/>
        <v>0.8852119959</v>
      </c>
      <c r="L208" s="232">
        <f t="shared" si="182"/>
        <v>0.88</v>
      </c>
      <c r="M208" s="172">
        <f t="shared" ref="M208:M212" si="185">M207+L208</f>
        <v>376.64</v>
      </c>
      <c r="N208" s="198">
        <f t="shared" si="6"/>
        <v>0.6666666667</v>
      </c>
      <c r="O208" s="337">
        <v>2.0</v>
      </c>
      <c r="P208" s="328"/>
      <c r="Q208" s="328">
        <f>Roles!$D$5</f>
        <v>0.44</v>
      </c>
      <c r="R208" s="328">
        <f t="shared" si="7"/>
        <v>0.88</v>
      </c>
      <c r="S208" s="198">
        <f t="shared" si="8"/>
        <v>0</v>
      </c>
      <c r="T208" s="327"/>
      <c r="U208" s="328"/>
      <c r="V208" s="328">
        <f>Roles!$D$8</f>
        <v>0.09</v>
      </c>
      <c r="W208" s="328"/>
      <c r="X208" s="198">
        <f t="shared" si="9"/>
        <v>0</v>
      </c>
      <c r="Y208" s="327"/>
      <c r="Z208" s="328"/>
      <c r="AA208" s="328">
        <f>Roles!$D$8</f>
        <v>0.09</v>
      </c>
      <c r="AB208" s="328"/>
      <c r="AC208" s="198">
        <f t="shared" si="10"/>
        <v>0</v>
      </c>
      <c r="AD208" s="327"/>
      <c r="AE208" s="328"/>
      <c r="AF208" s="328">
        <f>Roles!$D$8</f>
        <v>0.09</v>
      </c>
      <c r="AG208" s="328"/>
      <c r="AH208" s="198">
        <f t="shared" si="11"/>
        <v>0</v>
      </c>
      <c r="AI208" s="327"/>
      <c r="AJ208" s="328"/>
      <c r="AK208" s="328">
        <f>Roles!$D$8</f>
        <v>0.09</v>
      </c>
      <c r="AL208" s="328"/>
      <c r="AM208" s="198">
        <f t="shared" si="12"/>
        <v>0</v>
      </c>
      <c r="AN208" s="327"/>
      <c r="AO208" s="328"/>
      <c r="AP208" s="328">
        <f>Roles!$D$8</f>
        <v>0.09</v>
      </c>
      <c r="AQ208" s="328"/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 t="shared" si="1"/>
        <v>1</v>
      </c>
      <c r="F209" s="80">
        <v>2.0</v>
      </c>
      <c r="G209" s="105">
        <f t="shared" si="2"/>
        <v>0.001722652885</v>
      </c>
      <c r="H209" s="47">
        <f t="shared" si="183"/>
        <v>0.887166236</v>
      </c>
      <c r="I209" s="187">
        <f t="shared" si="181"/>
        <v>3</v>
      </c>
      <c r="J209" s="172">
        <f t="shared" si="184"/>
        <v>859</v>
      </c>
      <c r="K209" s="115">
        <f t="shared" si="3"/>
        <v>0.8883143744</v>
      </c>
      <c r="L209" s="232">
        <f t="shared" si="182"/>
        <v>1.32</v>
      </c>
      <c r="M209" s="172">
        <f t="shared" si="185"/>
        <v>377.96</v>
      </c>
      <c r="N209" s="198">
        <f t="shared" si="6"/>
        <v>1.5</v>
      </c>
      <c r="O209" s="337">
        <v>3.0</v>
      </c>
      <c r="P209" s="328"/>
      <c r="Q209" s="328">
        <f>Roles!$D$5</f>
        <v>0.44</v>
      </c>
      <c r="R209" s="328">
        <f t="shared" si="7"/>
        <v>1.32</v>
      </c>
      <c r="S209" s="198">
        <f t="shared" si="8"/>
        <v>0</v>
      </c>
      <c r="T209" s="327"/>
      <c r="U209" s="328"/>
      <c r="V209" s="328">
        <f>Roles!$D$8</f>
        <v>0.09</v>
      </c>
      <c r="W209" s="328"/>
      <c r="X209" s="198">
        <f t="shared" si="9"/>
        <v>0</v>
      </c>
      <c r="Y209" s="327"/>
      <c r="Z209" s="328"/>
      <c r="AA209" s="328">
        <f>Roles!$D$8</f>
        <v>0.09</v>
      </c>
      <c r="AB209" s="328"/>
      <c r="AC209" s="198">
        <f t="shared" si="10"/>
        <v>0</v>
      </c>
      <c r="AD209" s="327"/>
      <c r="AE209" s="328"/>
      <c r="AF209" s="328">
        <f>Roles!$D$8</f>
        <v>0.09</v>
      </c>
      <c r="AG209" s="328"/>
      <c r="AH209" s="198">
        <f t="shared" si="11"/>
        <v>0</v>
      </c>
      <c r="AI209" s="327"/>
      <c r="AJ209" s="328"/>
      <c r="AK209" s="328">
        <f>Roles!$D$8</f>
        <v>0.09</v>
      </c>
      <c r="AL209" s="328"/>
      <c r="AM209" s="198">
        <f t="shared" si="12"/>
        <v>0</v>
      </c>
      <c r="AN209" s="327"/>
      <c r="AO209" s="328"/>
      <c r="AP209" s="328">
        <f>Roles!$D$8</f>
        <v>0.09</v>
      </c>
      <c r="AQ209" s="328"/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 t="shared" si="1"/>
        <v>1</v>
      </c>
      <c r="F210" s="80">
        <v>10.0</v>
      </c>
      <c r="G210" s="105">
        <f t="shared" si="2"/>
        <v>0.008613264427</v>
      </c>
      <c r="H210" s="47">
        <f t="shared" si="183"/>
        <v>0.8957795004</v>
      </c>
      <c r="I210" s="187">
        <f t="shared" si="181"/>
        <v>42</v>
      </c>
      <c r="J210" s="351">
        <f t="shared" si="184"/>
        <v>901</v>
      </c>
      <c r="K210" s="352">
        <f t="shared" si="3"/>
        <v>0.9317476732</v>
      </c>
      <c r="L210" s="232">
        <f t="shared" si="182"/>
        <v>18.48</v>
      </c>
      <c r="M210" s="351">
        <f t="shared" si="185"/>
        <v>396.44</v>
      </c>
      <c r="N210" s="198">
        <f t="shared" si="6"/>
        <v>4.2</v>
      </c>
      <c r="O210" s="337">
        <v>42.0</v>
      </c>
      <c r="P210" s="328"/>
      <c r="Q210" s="328">
        <f>Roles!$D$5</f>
        <v>0.44</v>
      </c>
      <c r="R210" s="328">
        <f t="shared" si="7"/>
        <v>18.48</v>
      </c>
      <c r="S210" s="198">
        <f t="shared" si="8"/>
        <v>0</v>
      </c>
      <c r="T210" s="327"/>
      <c r="U210" s="328"/>
      <c r="V210" s="328">
        <f>Roles!$D$8</f>
        <v>0.09</v>
      </c>
      <c r="W210" s="328"/>
      <c r="X210" s="198">
        <f t="shared" si="9"/>
        <v>0</v>
      </c>
      <c r="Y210" s="327"/>
      <c r="Z210" s="328"/>
      <c r="AA210" s="328">
        <f>Roles!$D$8</f>
        <v>0.09</v>
      </c>
      <c r="AB210" s="328"/>
      <c r="AC210" s="198">
        <f t="shared" si="10"/>
        <v>0</v>
      </c>
      <c r="AD210" s="327"/>
      <c r="AE210" s="328"/>
      <c r="AF210" s="328">
        <f>Roles!$D$8</f>
        <v>0.09</v>
      </c>
      <c r="AG210" s="328"/>
      <c r="AH210" s="198">
        <f t="shared" si="11"/>
        <v>0</v>
      </c>
      <c r="AI210" s="327"/>
      <c r="AJ210" s="328"/>
      <c r="AK210" s="328">
        <f>Roles!$D$8</f>
        <v>0.09</v>
      </c>
      <c r="AL210" s="328"/>
      <c r="AM210" s="198">
        <f t="shared" si="12"/>
        <v>0</v>
      </c>
      <c r="AN210" s="327"/>
      <c r="AO210" s="328"/>
      <c r="AP210" s="328">
        <f>Roles!$D$8</f>
        <v>0.09</v>
      </c>
      <c r="AQ210" s="328"/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 t="shared" si="1"/>
        <v>1</v>
      </c>
      <c r="F211" s="80">
        <v>2.0</v>
      </c>
      <c r="G211" s="105">
        <f t="shared" si="2"/>
        <v>0.001722652885</v>
      </c>
      <c r="H211" s="47">
        <f t="shared" si="183"/>
        <v>0.8975021533</v>
      </c>
      <c r="I211" s="187">
        <f t="shared" si="181"/>
        <v>4</v>
      </c>
      <c r="J211" s="172">
        <f t="shared" si="184"/>
        <v>905</v>
      </c>
      <c r="K211" s="115">
        <f t="shared" si="3"/>
        <v>0.9358841779</v>
      </c>
      <c r="L211" s="232">
        <f t="shared" si="182"/>
        <v>1.76</v>
      </c>
      <c r="M211" s="172">
        <f t="shared" si="185"/>
        <v>398.2</v>
      </c>
      <c r="N211" s="198">
        <f t="shared" si="6"/>
        <v>2</v>
      </c>
      <c r="O211" s="337">
        <v>4.0</v>
      </c>
      <c r="P211" s="328"/>
      <c r="Q211" s="328">
        <f>Roles!$D$5</f>
        <v>0.44</v>
      </c>
      <c r="R211" s="328">
        <f t="shared" si="7"/>
        <v>1.76</v>
      </c>
      <c r="S211" s="198">
        <f t="shared" si="8"/>
        <v>0</v>
      </c>
      <c r="T211" s="327"/>
      <c r="U211" s="328"/>
      <c r="V211" s="328">
        <f>Roles!$D$8</f>
        <v>0.09</v>
      </c>
      <c r="W211" s="328"/>
      <c r="X211" s="198">
        <f t="shared" si="9"/>
        <v>0</v>
      </c>
      <c r="Y211" s="327"/>
      <c r="Z211" s="328"/>
      <c r="AA211" s="328">
        <f>Roles!$D$8</f>
        <v>0.09</v>
      </c>
      <c r="AB211" s="328"/>
      <c r="AC211" s="198">
        <f t="shared" si="10"/>
        <v>0</v>
      </c>
      <c r="AD211" s="327"/>
      <c r="AE211" s="328"/>
      <c r="AF211" s="328">
        <f>Roles!$D$8</f>
        <v>0.09</v>
      </c>
      <c r="AG211" s="328"/>
      <c r="AH211" s="198">
        <f t="shared" si="11"/>
        <v>0</v>
      </c>
      <c r="AI211" s="327"/>
      <c r="AJ211" s="328"/>
      <c r="AK211" s="328">
        <f>Roles!$D$8</f>
        <v>0.09</v>
      </c>
      <c r="AL211" s="328"/>
      <c r="AM211" s="198">
        <f t="shared" si="12"/>
        <v>0</v>
      </c>
      <c r="AN211" s="327"/>
      <c r="AO211" s="328"/>
      <c r="AP211" s="328">
        <f>Roles!$D$8</f>
        <v>0.09</v>
      </c>
      <c r="AQ211" s="328"/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 t="shared" si="1"/>
        <v>1</v>
      </c>
      <c r="F212" s="136">
        <v>0.0</v>
      </c>
      <c r="G212" s="105">
        <f t="shared" si="2"/>
        <v>0</v>
      </c>
      <c r="H212" s="115">
        <f t="shared" si="183"/>
        <v>0.8975021533</v>
      </c>
      <c r="I212" s="110">
        <f>F212</f>
        <v>0</v>
      </c>
      <c r="J212" s="110">
        <f t="shared" si="184"/>
        <v>905</v>
      </c>
      <c r="K212" s="115">
        <f t="shared" si="3"/>
        <v>0.9358841779</v>
      </c>
      <c r="L212" s="110">
        <v>0.0</v>
      </c>
      <c r="M212" s="110">
        <f t="shared" si="185"/>
        <v>398.2</v>
      </c>
      <c r="N212" s="198" t="str">
        <f t="shared" si="6"/>
        <v>#DIV/0!</v>
      </c>
      <c r="O212" s="328"/>
      <c r="P212" s="328"/>
      <c r="Q212" s="328">
        <f>Roles!$D$5</f>
        <v>0.44</v>
      </c>
      <c r="R212" s="328">
        <f t="shared" si="7"/>
        <v>0</v>
      </c>
      <c r="S212" s="198" t="str">
        <f t="shared" si="8"/>
        <v>#DIV/0!</v>
      </c>
      <c r="T212" s="327"/>
      <c r="U212" s="328"/>
      <c r="V212" s="328">
        <f>Roles!$D$8</f>
        <v>0.09</v>
      </c>
      <c r="W212" s="328"/>
      <c r="X212" s="198" t="str">
        <f t="shared" si="9"/>
        <v>#DIV/0!</v>
      </c>
      <c r="Y212" s="327"/>
      <c r="Z212" s="328"/>
      <c r="AA212" s="328">
        <f>Roles!$D$8</f>
        <v>0.09</v>
      </c>
      <c r="AB212" s="328"/>
      <c r="AC212" s="198" t="str">
        <f t="shared" si="10"/>
        <v>#DIV/0!</v>
      </c>
      <c r="AD212" s="327"/>
      <c r="AE212" s="328"/>
      <c r="AF212" s="328">
        <f>Roles!$D$8</f>
        <v>0.09</v>
      </c>
      <c r="AG212" s="328"/>
      <c r="AH212" s="198" t="str">
        <f t="shared" si="11"/>
        <v>#DIV/0!</v>
      </c>
      <c r="AI212" s="327"/>
      <c r="AJ212" s="328"/>
      <c r="AK212" s="328">
        <f>Roles!$D$8</f>
        <v>0.09</v>
      </c>
      <c r="AL212" s="328"/>
      <c r="AM212" s="198" t="str">
        <f t="shared" si="12"/>
        <v>#DIV/0!</v>
      </c>
      <c r="AN212" s="327"/>
      <c r="AO212" s="328"/>
      <c r="AP212" s="328">
        <f>Roles!$D$8</f>
        <v>0.09</v>
      </c>
      <c r="AQ212" s="328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 t="shared" si="1"/>
        <v>15</v>
      </c>
      <c r="F213" s="240">
        <f>F214+F218+F223+F229+F232</f>
        <v>119</v>
      </c>
      <c r="G213" s="105">
        <f t="shared" si="2"/>
        <v>0.1024978467</v>
      </c>
      <c r="H213" s="224">
        <f>H237</f>
        <v>1</v>
      </c>
      <c r="I213" s="241">
        <f>I214+I218+I223+I229+I232</f>
        <v>62</v>
      </c>
      <c r="J213" s="241">
        <f>J237</f>
        <v>967</v>
      </c>
      <c r="K213" s="138">
        <f t="shared" si="3"/>
        <v>1</v>
      </c>
      <c r="L213" s="241">
        <f>L214+L218+L223+L229+L232</f>
        <v>27.28</v>
      </c>
      <c r="M213" s="241">
        <f>M237</f>
        <v>425.48</v>
      </c>
      <c r="N213" s="198">
        <f t="shared" si="6"/>
        <v>0</v>
      </c>
      <c r="O213" s="328"/>
      <c r="P213" s="328"/>
      <c r="Q213" s="328">
        <f>Roles!$D$5</f>
        <v>0.44</v>
      </c>
      <c r="R213" s="328">
        <f t="shared" si="7"/>
        <v>0</v>
      </c>
      <c r="S213" s="198">
        <f t="shared" si="8"/>
        <v>0</v>
      </c>
      <c r="T213" s="327"/>
      <c r="U213" s="328"/>
      <c r="V213" s="328">
        <f>Roles!$D$8</f>
        <v>0.09</v>
      </c>
      <c r="W213" s="328"/>
      <c r="X213" s="198">
        <f t="shared" si="9"/>
        <v>0</v>
      </c>
      <c r="Y213" s="327"/>
      <c r="Z213" s="328"/>
      <c r="AA213" s="328">
        <f>Roles!$D$8</f>
        <v>0.09</v>
      </c>
      <c r="AB213" s="328"/>
      <c r="AC213" s="198">
        <f t="shared" si="10"/>
        <v>0</v>
      </c>
      <c r="AD213" s="327"/>
      <c r="AE213" s="328"/>
      <c r="AF213" s="328">
        <f>Roles!$D$8</f>
        <v>0.09</v>
      </c>
      <c r="AG213" s="328"/>
      <c r="AH213" s="198">
        <f t="shared" si="11"/>
        <v>0</v>
      </c>
      <c r="AI213" s="327"/>
      <c r="AJ213" s="328"/>
      <c r="AK213" s="328">
        <f>Roles!$D$8</f>
        <v>0.09</v>
      </c>
      <c r="AL213" s="328"/>
      <c r="AM213" s="198">
        <f t="shared" si="12"/>
        <v>0</v>
      </c>
      <c r="AN213" s="327"/>
      <c r="AO213" s="328"/>
      <c r="AP213" s="328">
        <f>Roles!$D$8</f>
        <v>0.09</v>
      </c>
      <c r="AQ213" s="328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 t="shared" si="1"/>
        <v>6</v>
      </c>
      <c r="F214" s="246">
        <f>SUM(F215:F217)</f>
        <v>31</v>
      </c>
      <c r="G214" s="105">
        <f t="shared" si="2"/>
        <v>0.02670111972</v>
      </c>
      <c r="H214" s="226">
        <f>H217</f>
        <v>0.924203273</v>
      </c>
      <c r="I214" s="247">
        <f>SUM(I215:I217)</f>
        <v>1</v>
      </c>
      <c r="J214" s="247">
        <f>J217</f>
        <v>906</v>
      </c>
      <c r="K214" s="167">
        <f t="shared" si="3"/>
        <v>0.936918304</v>
      </c>
      <c r="L214" s="247">
        <f>SUM(L215:L217)</f>
        <v>0.44</v>
      </c>
      <c r="M214" s="247">
        <f>M217</f>
        <v>398.64</v>
      </c>
      <c r="N214" s="198">
        <f t="shared" si="6"/>
        <v>0</v>
      </c>
      <c r="O214" s="328"/>
      <c r="P214" s="328"/>
      <c r="Q214" s="328">
        <f>Roles!$D$5</f>
        <v>0.44</v>
      </c>
      <c r="R214" s="328">
        <f t="shared" si="7"/>
        <v>0</v>
      </c>
      <c r="S214" s="198">
        <f t="shared" si="8"/>
        <v>0</v>
      </c>
      <c r="T214" s="327"/>
      <c r="U214" s="328"/>
      <c r="V214" s="328">
        <f>Roles!$D$8</f>
        <v>0.09</v>
      </c>
      <c r="W214" s="328"/>
      <c r="X214" s="198">
        <f t="shared" si="9"/>
        <v>0</v>
      </c>
      <c r="Y214" s="327"/>
      <c r="Z214" s="328"/>
      <c r="AA214" s="328">
        <f>Roles!$D$8</f>
        <v>0.09</v>
      </c>
      <c r="AB214" s="328"/>
      <c r="AC214" s="198">
        <f t="shared" si="10"/>
        <v>0</v>
      </c>
      <c r="AD214" s="327"/>
      <c r="AE214" s="328"/>
      <c r="AF214" s="328">
        <f>Roles!$D$8</f>
        <v>0.09</v>
      </c>
      <c r="AG214" s="328"/>
      <c r="AH214" s="198">
        <f t="shared" si="11"/>
        <v>0</v>
      </c>
      <c r="AI214" s="327"/>
      <c r="AJ214" s="328"/>
      <c r="AK214" s="328">
        <f>Roles!$D$8</f>
        <v>0.09</v>
      </c>
      <c r="AL214" s="328"/>
      <c r="AM214" s="198">
        <f t="shared" si="12"/>
        <v>0</v>
      </c>
      <c r="AN214" s="327"/>
      <c r="AO214" s="328"/>
      <c r="AP214" s="328">
        <f>Roles!$D$8</f>
        <v>0.09</v>
      </c>
      <c r="AQ214" s="328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 t="shared" si="1"/>
        <v>3</v>
      </c>
      <c r="F215" s="80">
        <v>15.0</v>
      </c>
      <c r="G215" s="105">
        <f t="shared" si="2"/>
        <v>0.01291989664</v>
      </c>
      <c r="H215" s="353">
        <f>H212+G215</f>
        <v>0.91042205</v>
      </c>
      <c r="I215" s="187">
        <f t="shared" ref="I215:I217" si="186">O215+T215+Y215+AD215+AI215+AN215</f>
        <v>0</v>
      </c>
      <c r="J215" s="351">
        <f>J212+I215</f>
        <v>905</v>
      </c>
      <c r="K215" s="352">
        <f t="shared" si="3"/>
        <v>0.9358841779</v>
      </c>
      <c r="L215" s="232">
        <f t="shared" ref="L215:L217" si="187">R215+W215+AB215+AG215+AL215+AQ215</f>
        <v>0</v>
      </c>
      <c r="M215" s="351">
        <f>M212+L215</f>
        <v>398.2</v>
      </c>
      <c r="N215" s="198">
        <f t="shared" si="6"/>
        <v>0</v>
      </c>
      <c r="O215" s="337">
        <v>0.0</v>
      </c>
      <c r="P215" s="328"/>
      <c r="Q215" s="328">
        <f>Roles!$D$5</f>
        <v>0.44</v>
      </c>
      <c r="R215" s="328">
        <f t="shared" si="7"/>
        <v>0</v>
      </c>
      <c r="S215" s="198">
        <f t="shared" si="8"/>
        <v>0</v>
      </c>
      <c r="T215" s="327"/>
      <c r="U215" s="328"/>
      <c r="V215" s="328">
        <f>Roles!$D$8</f>
        <v>0.09</v>
      </c>
      <c r="W215" s="328"/>
      <c r="X215" s="198">
        <f t="shared" si="9"/>
        <v>0</v>
      </c>
      <c r="Y215" s="327"/>
      <c r="Z215" s="328"/>
      <c r="AA215" s="328">
        <f>Roles!$D$8</f>
        <v>0.09</v>
      </c>
      <c r="AB215" s="328"/>
      <c r="AC215" s="198">
        <f t="shared" si="10"/>
        <v>0</v>
      </c>
      <c r="AD215" s="327"/>
      <c r="AE215" s="328"/>
      <c r="AF215" s="328">
        <f>Roles!$D$8</f>
        <v>0.09</v>
      </c>
      <c r="AG215" s="328"/>
      <c r="AH215" s="198">
        <f t="shared" si="11"/>
        <v>0</v>
      </c>
      <c r="AI215" s="327"/>
      <c r="AJ215" s="328"/>
      <c r="AK215" s="328">
        <f>Roles!$D$8</f>
        <v>0.09</v>
      </c>
      <c r="AL215" s="328"/>
      <c r="AM215" s="198">
        <f t="shared" si="12"/>
        <v>0</v>
      </c>
      <c r="AN215" s="327"/>
      <c r="AO215" s="328"/>
      <c r="AP215" s="328">
        <f>Roles!$D$8</f>
        <v>0.09</v>
      </c>
      <c r="AQ215" s="328"/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 t="shared" si="1"/>
        <v>1</v>
      </c>
      <c r="F216" s="80">
        <v>1.0</v>
      </c>
      <c r="G216" s="105">
        <f t="shared" si="2"/>
        <v>0.0008613264427</v>
      </c>
      <c r="H216" s="47">
        <f t="shared" ref="H216:H217" si="188">H215+G216</f>
        <v>0.9112833764</v>
      </c>
      <c r="I216" s="187">
        <f t="shared" si="186"/>
        <v>1</v>
      </c>
      <c r="J216" s="172">
        <f t="shared" ref="J216:J217" si="189">J215+I216</f>
        <v>906</v>
      </c>
      <c r="K216" s="115">
        <f t="shared" si="3"/>
        <v>0.936918304</v>
      </c>
      <c r="L216" s="232">
        <f t="shared" si="187"/>
        <v>0.44</v>
      </c>
      <c r="M216" s="172">
        <f t="shared" ref="M216:M217" si="190">M215+L216</f>
        <v>398.64</v>
      </c>
      <c r="N216" s="198">
        <f t="shared" si="6"/>
        <v>1</v>
      </c>
      <c r="O216" s="337">
        <v>1.0</v>
      </c>
      <c r="P216" s="328"/>
      <c r="Q216" s="328">
        <f>Roles!$D$5</f>
        <v>0.44</v>
      </c>
      <c r="R216" s="328">
        <f t="shared" si="7"/>
        <v>0.44</v>
      </c>
      <c r="S216" s="198">
        <f t="shared" si="8"/>
        <v>0</v>
      </c>
      <c r="T216" s="327"/>
      <c r="U216" s="328"/>
      <c r="V216" s="328">
        <f>Roles!$D$8</f>
        <v>0.09</v>
      </c>
      <c r="W216" s="328"/>
      <c r="X216" s="198">
        <f t="shared" si="9"/>
        <v>0</v>
      </c>
      <c r="Y216" s="327"/>
      <c r="Z216" s="328"/>
      <c r="AA216" s="328">
        <f>Roles!$D$8</f>
        <v>0.09</v>
      </c>
      <c r="AB216" s="328"/>
      <c r="AC216" s="198">
        <f t="shared" si="10"/>
        <v>0</v>
      </c>
      <c r="AD216" s="327"/>
      <c r="AE216" s="328"/>
      <c r="AF216" s="328">
        <f>Roles!$D$8</f>
        <v>0.09</v>
      </c>
      <c r="AG216" s="328"/>
      <c r="AH216" s="198">
        <f t="shared" si="11"/>
        <v>0</v>
      </c>
      <c r="AI216" s="327"/>
      <c r="AJ216" s="328"/>
      <c r="AK216" s="328">
        <f>Roles!$D$8</f>
        <v>0.09</v>
      </c>
      <c r="AL216" s="328"/>
      <c r="AM216" s="198">
        <f t="shared" si="12"/>
        <v>0</v>
      </c>
      <c r="AN216" s="327"/>
      <c r="AO216" s="328"/>
      <c r="AP216" s="328">
        <f>Roles!$D$8</f>
        <v>0.09</v>
      </c>
      <c r="AQ216" s="328"/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 t="shared" si="1"/>
        <v>3</v>
      </c>
      <c r="F217" s="80">
        <v>15.0</v>
      </c>
      <c r="G217" s="105">
        <f t="shared" si="2"/>
        <v>0.01291989664</v>
      </c>
      <c r="H217" s="47">
        <f t="shared" si="188"/>
        <v>0.924203273</v>
      </c>
      <c r="I217" s="187">
        <f t="shared" si="186"/>
        <v>0</v>
      </c>
      <c r="J217" s="351">
        <f t="shared" si="189"/>
        <v>906</v>
      </c>
      <c r="K217" s="352">
        <f t="shared" si="3"/>
        <v>0.936918304</v>
      </c>
      <c r="L217" s="232">
        <f t="shared" si="187"/>
        <v>0</v>
      </c>
      <c r="M217" s="351">
        <f t="shared" si="190"/>
        <v>398.64</v>
      </c>
      <c r="N217" s="198">
        <f t="shared" si="6"/>
        <v>0</v>
      </c>
      <c r="O217" s="337">
        <v>0.0</v>
      </c>
      <c r="P217" s="328"/>
      <c r="Q217" s="328">
        <f>Roles!$D$5</f>
        <v>0.44</v>
      </c>
      <c r="R217" s="328">
        <f t="shared" si="7"/>
        <v>0</v>
      </c>
      <c r="S217" s="198">
        <f t="shared" si="8"/>
        <v>0</v>
      </c>
      <c r="T217" s="327"/>
      <c r="U217" s="328"/>
      <c r="V217" s="328">
        <f>Roles!$D$8</f>
        <v>0.09</v>
      </c>
      <c r="W217" s="328"/>
      <c r="X217" s="198">
        <f t="shared" si="9"/>
        <v>0</v>
      </c>
      <c r="Y217" s="327"/>
      <c r="Z217" s="328"/>
      <c r="AA217" s="328">
        <f>Roles!$D$8</f>
        <v>0.09</v>
      </c>
      <c r="AB217" s="328"/>
      <c r="AC217" s="198">
        <f t="shared" si="10"/>
        <v>0</v>
      </c>
      <c r="AD217" s="327"/>
      <c r="AE217" s="328"/>
      <c r="AF217" s="328">
        <f>Roles!$D$8</f>
        <v>0.09</v>
      </c>
      <c r="AG217" s="328"/>
      <c r="AH217" s="198">
        <f t="shared" si="11"/>
        <v>0</v>
      </c>
      <c r="AI217" s="327"/>
      <c r="AJ217" s="328"/>
      <c r="AK217" s="328">
        <f>Roles!$D$8</f>
        <v>0.09</v>
      </c>
      <c r="AL217" s="328"/>
      <c r="AM217" s="198">
        <f t="shared" si="12"/>
        <v>0</v>
      </c>
      <c r="AN217" s="327"/>
      <c r="AO217" s="328"/>
      <c r="AP217" s="328">
        <f>Roles!$D$8</f>
        <v>0.09</v>
      </c>
      <c r="AQ217" s="328"/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 t="shared" si="1"/>
        <v>4</v>
      </c>
      <c r="F218" s="246">
        <f>SUM(F219:F222)</f>
        <v>30</v>
      </c>
      <c r="G218" s="105">
        <f t="shared" si="2"/>
        <v>0.02583979328</v>
      </c>
      <c r="H218" s="226">
        <f>H222</f>
        <v>0.9500430663</v>
      </c>
      <c r="I218" s="247">
        <f>SUM(I219:I222)</f>
        <v>0</v>
      </c>
      <c r="J218" s="247">
        <f>J222</f>
        <v>906</v>
      </c>
      <c r="K218" s="167">
        <f t="shared" si="3"/>
        <v>0.936918304</v>
      </c>
      <c r="L218" s="247">
        <f>SUM(L219:L222)</f>
        <v>0</v>
      </c>
      <c r="M218" s="247">
        <f>M222</f>
        <v>398.64</v>
      </c>
      <c r="N218" s="198">
        <f t="shared" si="6"/>
        <v>0</v>
      </c>
      <c r="O218" s="328"/>
      <c r="P218" s="328"/>
      <c r="Q218" s="328">
        <f>Roles!$D$5</f>
        <v>0.44</v>
      </c>
      <c r="R218" s="328">
        <f t="shared" si="7"/>
        <v>0</v>
      </c>
      <c r="S218" s="198">
        <f t="shared" si="8"/>
        <v>0</v>
      </c>
      <c r="T218" s="327"/>
      <c r="U218" s="328"/>
      <c r="V218" s="328">
        <f>Roles!$D$8</f>
        <v>0.09</v>
      </c>
      <c r="W218" s="328"/>
      <c r="X218" s="198">
        <f t="shared" si="9"/>
        <v>0</v>
      </c>
      <c r="Y218" s="327"/>
      <c r="Z218" s="328"/>
      <c r="AA218" s="328">
        <f>Roles!$D$8</f>
        <v>0.09</v>
      </c>
      <c r="AB218" s="328"/>
      <c r="AC218" s="198">
        <f t="shared" si="10"/>
        <v>0</v>
      </c>
      <c r="AD218" s="327"/>
      <c r="AE218" s="328"/>
      <c r="AF218" s="328">
        <f>Roles!$D$8</f>
        <v>0.09</v>
      </c>
      <c r="AG218" s="328"/>
      <c r="AH218" s="198">
        <f t="shared" si="11"/>
        <v>0</v>
      </c>
      <c r="AI218" s="327"/>
      <c r="AJ218" s="328"/>
      <c r="AK218" s="328">
        <f>Roles!$D$8</f>
        <v>0.09</v>
      </c>
      <c r="AL218" s="328"/>
      <c r="AM218" s="198">
        <f t="shared" si="12"/>
        <v>0</v>
      </c>
      <c r="AN218" s="327"/>
      <c r="AO218" s="328"/>
      <c r="AP218" s="328">
        <f>Roles!$D$8</f>
        <v>0.09</v>
      </c>
      <c r="AQ218" s="328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 t="shared" si="1"/>
        <v>2</v>
      </c>
      <c r="F219" s="80">
        <v>15.0</v>
      </c>
      <c r="G219" s="105">
        <f t="shared" si="2"/>
        <v>0.01291989664</v>
      </c>
      <c r="H219" s="47">
        <f>H217+G219</f>
        <v>0.9371231697</v>
      </c>
      <c r="I219" s="187">
        <f t="shared" ref="I219:I222" si="191">O219+T219+Y219+AD219+AI219+AN219</f>
        <v>0</v>
      </c>
      <c r="J219" s="172">
        <f>J217+I219</f>
        <v>906</v>
      </c>
      <c r="K219" s="115">
        <f t="shared" si="3"/>
        <v>0.936918304</v>
      </c>
      <c r="L219" s="232">
        <f t="shared" ref="L219:L222" si="192">R219+W219+AB219+AG219+AL219+AQ219</f>
        <v>0</v>
      </c>
      <c r="M219" s="172">
        <f>M217+L219</f>
        <v>398.64</v>
      </c>
      <c r="N219" s="198">
        <f t="shared" si="6"/>
        <v>0</v>
      </c>
      <c r="O219" s="337">
        <v>0.0</v>
      </c>
      <c r="P219" s="328"/>
      <c r="Q219" s="328">
        <f>Roles!$D$5</f>
        <v>0.44</v>
      </c>
      <c r="R219" s="328">
        <f t="shared" si="7"/>
        <v>0</v>
      </c>
      <c r="S219" s="198">
        <f t="shared" si="8"/>
        <v>0</v>
      </c>
      <c r="T219" s="327"/>
      <c r="U219" s="328"/>
      <c r="V219" s="328">
        <f>Roles!$D$8</f>
        <v>0.09</v>
      </c>
      <c r="W219" s="328"/>
      <c r="X219" s="198">
        <f t="shared" si="9"/>
        <v>0</v>
      </c>
      <c r="Y219" s="327"/>
      <c r="Z219" s="328"/>
      <c r="AA219" s="328">
        <f>Roles!$D$8</f>
        <v>0.09</v>
      </c>
      <c r="AB219" s="328"/>
      <c r="AC219" s="198">
        <f t="shared" si="10"/>
        <v>0</v>
      </c>
      <c r="AD219" s="327"/>
      <c r="AE219" s="328"/>
      <c r="AF219" s="328">
        <f>Roles!$D$8</f>
        <v>0.09</v>
      </c>
      <c r="AG219" s="328"/>
      <c r="AH219" s="198">
        <f t="shared" si="11"/>
        <v>0</v>
      </c>
      <c r="AI219" s="327"/>
      <c r="AJ219" s="328"/>
      <c r="AK219" s="328">
        <f>Roles!$D$8</f>
        <v>0.09</v>
      </c>
      <c r="AL219" s="328"/>
      <c r="AM219" s="198">
        <f t="shared" si="12"/>
        <v>0</v>
      </c>
      <c r="AN219" s="327"/>
      <c r="AO219" s="328"/>
      <c r="AP219" s="328">
        <f>Roles!$D$8</f>
        <v>0.09</v>
      </c>
      <c r="AQ219" s="328"/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 t="shared" si="1"/>
        <v>4</v>
      </c>
      <c r="F220" s="80">
        <v>4.0</v>
      </c>
      <c r="G220" s="105">
        <f t="shared" si="2"/>
        <v>0.003445305771</v>
      </c>
      <c r="H220" s="47">
        <f t="shared" ref="H220:H222" si="193">H219+G220</f>
        <v>0.9405684755</v>
      </c>
      <c r="I220" s="187">
        <f t="shared" si="191"/>
        <v>0</v>
      </c>
      <c r="J220" s="172">
        <f t="shared" ref="J220:J222" si="194">J219+I220</f>
        <v>906</v>
      </c>
      <c r="K220" s="115">
        <f t="shared" si="3"/>
        <v>0.936918304</v>
      </c>
      <c r="L220" s="232">
        <f t="shared" si="192"/>
        <v>0</v>
      </c>
      <c r="M220" s="172">
        <f t="shared" ref="M220:M222" si="195">M219+L220</f>
        <v>398.64</v>
      </c>
      <c r="N220" s="198">
        <f t="shared" si="6"/>
        <v>0</v>
      </c>
      <c r="O220" s="337">
        <v>0.0</v>
      </c>
      <c r="P220" s="328"/>
      <c r="Q220" s="328">
        <f>Roles!$D$5</f>
        <v>0.44</v>
      </c>
      <c r="R220" s="328">
        <f t="shared" si="7"/>
        <v>0</v>
      </c>
      <c r="S220" s="198">
        <f t="shared" si="8"/>
        <v>0</v>
      </c>
      <c r="T220" s="327"/>
      <c r="U220" s="328"/>
      <c r="V220" s="328">
        <f>Roles!$D$8</f>
        <v>0.09</v>
      </c>
      <c r="W220" s="328"/>
      <c r="X220" s="198">
        <f t="shared" si="9"/>
        <v>0</v>
      </c>
      <c r="Y220" s="327"/>
      <c r="Z220" s="328"/>
      <c r="AA220" s="328">
        <f>Roles!$D$8</f>
        <v>0.09</v>
      </c>
      <c r="AB220" s="328"/>
      <c r="AC220" s="198">
        <f t="shared" si="10"/>
        <v>0</v>
      </c>
      <c r="AD220" s="327"/>
      <c r="AE220" s="328"/>
      <c r="AF220" s="328">
        <f>Roles!$D$8</f>
        <v>0.09</v>
      </c>
      <c r="AG220" s="328"/>
      <c r="AH220" s="198">
        <f t="shared" si="11"/>
        <v>0</v>
      </c>
      <c r="AI220" s="327"/>
      <c r="AJ220" s="328"/>
      <c r="AK220" s="328">
        <f>Roles!$D$8</f>
        <v>0.09</v>
      </c>
      <c r="AL220" s="328"/>
      <c r="AM220" s="198">
        <f t="shared" si="12"/>
        <v>0</v>
      </c>
      <c r="AN220" s="327"/>
      <c r="AO220" s="328"/>
      <c r="AP220" s="328">
        <f>Roles!$D$8</f>
        <v>0.09</v>
      </c>
      <c r="AQ220" s="328"/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 t="shared" si="1"/>
        <v>1</v>
      </c>
      <c r="F221" s="80">
        <v>1.0</v>
      </c>
      <c r="G221" s="105">
        <f t="shared" si="2"/>
        <v>0.0008613264427</v>
      </c>
      <c r="H221" s="47">
        <f t="shared" si="193"/>
        <v>0.9414298019</v>
      </c>
      <c r="I221" s="187">
        <f t="shared" si="191"/>
        <v>0</v>
      </c>
      <c r="J221" s="351">
        <f t="shared" si="194"/>
        <v>906</v>
      </c>
      <c r="K221" s="352">
        <f t="shared" si="3"/>
        <v>0.936918304</v>
      </c>
      <c r="L221" s="232">
        <f t="shared" si="192"/>
        <v>0</v>
      </c>
      <c r="M221" s="351">
        <f t="shared" si="195"/>
        <v>398.64</v>
      </c>
      <c r="N221" s="198">
        <f t="shared" si="6"/>
        <v>0</v>
      </c>
      <c r="O221" s="337">
        <v>0.0</v>
      </c>
      <c r="P221" s="328"/>
      <c r="Q221" s="328">
        <f>Roles!$D$5</f>
        <v>0.44</v>
      </c>
      <c r="R221" s="328">
        <f t="shared" si="7"/>
        <v>0</v>
      </c>
      <c r="S221" s="198">
        <f t="shared" si="8"/>
        <v>0</v>
      </c>
      <c r="T221" s="327"/>
      <c r="U221" s="328"/>
      <c r="V221" s="328">
        <f>Roles!$D$8</f>
        <v>0.09</v>
      </c>
      <c r="W221" s="328"/>
      <c r="X221" s="198">
        <f t="shared" si="9"/>
        <v>0</v>
      </c>
      <c r="Y221" s="327"/>
      <c r="Z221" s="328"/>
      <c r="AA221" s="328">
        <f>Roles!$D$8</f>
        <v>0.09</v>
      </c>
      <c r="AB221" s="328"/>
      <c r="AC221" s="198">
        <f t="shared" si="10"/>
        <v>0</v>
      </c>
      <c r="AD221" s="327"/>
      <c r="AE221" s="328"/>
      <c r="AF221" s="328">
        <f>Roles!$D$8</f>
        <v>0.09</v>
      </c>
      <c r="AG221" s="328"/>
      <c r="AH221" s="198">
        <f t="shared" si="11"/>
        <v>0</v>
      </c>
      <c r="AI221" s="327"/>
      <c r="AJ221" s="328"/>
      <c r="AK221" s="328">
        <f>Roles!$D$8</f>
        <v>0.09</v>
      </c>
      <c r="AL221" s="328"/>
      <c r="AM221" s="198">
        <f t="shared" si="12"/>
        <v>0</v>
      </c>
      <c r="AN221" s="327"/>
      <c r="AO221" s="328"/>
      <c r="AP221" s="328">
        <f>Roles!$D$8</f>
        <v>0.09</v>
      </c>
      <c r="AQ221" s="328"/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 t="shared" si="1"/>
        <v>2</v>
      </c>
      <c r="F222" s="80">
        <v>10.0</v>
      </c>
      <c r="G222" s="105">
        <f t="shared" si="2"/>
        <v>0.008613264427</v>
      </c>
      <c r="H222" s="47">
        <f t="shared" si="193"/>
        <v>0.9500430663</v>
      </c>
      <c r="I222" s="187">
        <f t="shared" si="191"/>
        <v>0</v>
      </c>
      <c r="J222" s="351">
        <f t="shared" si="194"/>
        <v>906</v>
      </c>
      <c r="K222" s="352">
        <f t="shared" si="3"/>
        <v>0.936918304</v>
      </c>
      <c r="L222" s="232">
        <f t="shared" si="192"/>
        <v>0</v>
      </c>
      <c r="M222" s="351">
        <f t="shared" si="195"/>
        <v>398.64</v>
      </c>
      <c r="N222" s="198">
        <f t="shared" si="6"/>
        <v>0</v>
      </c>
      <c r="O222" s="337">
        <v>0.0</v>
      </c>
      <c r="P222" s="328"/>
      <c r="Q222" s="328">
        <f>Roles!$D$5</f>
        <v>0.44</v>
      </c>
      <c r="R222" s="328">
        <f t="shared" si="7"/>
        <v>0</v>
      </c>
      <c r="S222" s="198">
        <f t="shared" si="8"/>
        <v>0</v>
      </c>
      <c r="T222" s="327"/>
      <c r="U222" s="328"/>
      <c r="V222" s="328">
        <f>Roles!$D$8</f>
        <v>0.09</v>
      </c>
      <c r="W222" s="328"/>
      <c r="X222" s="198">
        <f t="shared" si="9"/>
        <v>0</v>
      </c>
      <c r="Y222" s="327"/>
      <c r="Z222" s="328"/>
      <c r="AA222" s="328">
        <f>Roles!$D$8</f>
        <v>0.09</v>
      </c>
      <c r="AB222" s="328"/>
      <c r="AC222" s="198">
        <f t="shared" si="10"/>
        <v>0</v>
      </c>
      <c r="AD222" s="327"/>
      <c r="AE222" s="328"/>
      <c r="AF222" s="328">
        <f>Roles!$D$8</f>
        <v>0.09</v>
      </c>
      <c r="AG222" s="328"/>
      <c r="AH222" s="198">
        <f t="shared" si="11"/>
        <v>0</v>
      </c>
      <c r="AI222" s="327"/>
      <c r="AJ222" s="328"/>
      <c r="AK222" s="328">
        <f>Roles!$D$8</f>
        <v>0.09</v>
      </c>
      <c r="AL222" s="328"/>
      <c r="AM222" s="198">
        <f t="shared" si="12"/>
        <v>0</v>
      </c>
      <c r="AN222" s="327"/>
      <c r="AO222" s="328"/>
      <c r="AP222" s="328">
        <f>Roles!$D$8</f>
        <v>0.09</v>
      </c>
      <c r="AQ222" s="328"/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 t="shared" si="1"/>
        <v>4</v>
      </c>
      <c r="F223" s="246">
        <f>SUM(F224:F228)</f>
        <v>15</v>
      </c>
      <c r="G223" s="105">
        <f t="shared" si="2"/>
        <v>0.01291989664</v>
      </c>
      <c r="H223" s="226">
        <f>H228</f>
        <v>0.962962963</v>
      </c>
      <c r="I223" s="247">
        <f>SUM(I224:I228)</f>
        <v>0</v>
      </c>
      <c r="J223" s="247">
        <f>J228</f>
        <v>906</v>
      </c>
      <c r="K223" s="167">
        <f t="shared" si="3"/>
        <v>0.936918304</v>
      </c>
      <c r="L223" s="247">
        <f>SUM(L224:L228)</f>
        <v>0</v>
      </c>
      <c r="M223" s="247">
        <f>M228</f>
        <v>398.64</v>
      </c>
      <c r="N223" s="198">
        <f t="shared" si="6"/>
        <v>0</v>
      </c>
      <c r="O223" s="328"/>
      <c r="P223" s="328"/>
      <c r="Q223" s="328">
        <f>Roles!$D$5</f>
        <v>0.44</v>
      </c>
      <c r="R223" s="328">
        <f t="shared" si="7"/>
        <v>0</v>
      </c>
      <c r="S223" s="198">
        <f t="shared" si="8"/>
        <v>0</v>
      </c>
      <c r="T223" s="327"/>
      <c r="U223" s="328"/>
      <c r="V223" s="328">
        <f>Roles!$D$8</f>
        <v>0.09</v>
      </c>
      <c r="W223" s="328"/>
      <c r="X223" s="198">
        <f t="shared" si="9"/>
        <v>0</v>
      </c>
      <c r="Y223" s="327"/>
      <c r="Z223" s="328"/>
      <c r="AA223" s="328">
        <f>Roles!$D$8</f>
        <v>0.09</v>
      </c>
      <c r="AB223" s="328"/>
      <c r="AC223" s="198">
        <f t="shared" si="10"/>
        <v>0</v>
      </c>
      <c r="AD223" s="327"/>
      <c r="AE223" s="328"/>
      <c r="AF223" s="328">
        <f>Roles!$D$8</f>
        <v>0.09</v>
      </c>
      <c r="AG223" s="328"/>
      <c r="AH223" s="198">
        <f t="shared" si="11"/>
        <v>0</v>
      </c>
      <c r="AI223" s="327"/>
      <c r="AJ223" s="328"/>
      <c r="AK223" s="328">
        <f>Roles!$D$8</f>
        <v>0.09</v>
      </c>
      <c r="AL223" s="328"/>
      <c r="AM223" s="198">
        <f t="shared" si="12"/>
        <v>0</v>
      </c>
      <c r="AN223" s="327"/>
      <c r="AO223" s="328"/>
      <c r="AP223" s="328">
        <f>Roles!$D$8</f>
        <v>0.09</v>
      </c>
      <c r="AQ223" s="328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 t="shared" si="1"/>
        <v>2</v>
      </c>
      <c r="F224" s="80">
        <v>4.0</v>
      </c>
      <c r="G224" s="105">
        <f t="shared" si="2"/>
        <v>0.003445305771</v>
      </c>
      <c r="H224" s="47">
        <f>H222+G224</f>
        <v>0.9534883721</v>
      </c>
      <c r="I224" s="187">
        <f t="shared" ref="I224:I228" si="196">O224+T224+Y224+AD224+AI224+AN224</f>
        <v>0</v>
      </c>
      <c r="J224" s="172">
        <f>J222+I224</f>
        <v>906</v>
      </c>
      <c r="K224" s="115">
        <f t="shared" si="3"/>
        <v>0.936918304</v>
      </c>
      <c r="L224" s="232">
        <f t="shared" ref="L224:L228" si="197">R224+W224+AB224+AG224+AL224+AQ224</f>
        <v>0</v>
      </c>
      <c r="M224" s="172">
        <f>M222+L224</f>
        <v>398.64</v>
      </c>
      <c r="N224" s="198">
        <f t="shared" si="6"/>
        <v>0</v>
      </c>
      <c r="O224" s="337">
        <v>0.0</v>
      </c>
      <c r="P224" s="328"/>
      <c r="Q224" s="328">
        <f>Roles!$D$5</f>
        <v>0.44</v>
      </c>
      <c r="R224" s="328">
        <f t="shared" si="7"/>
        <v>0</v>
      </c>
      <c r="S224" s="198">
        <f t="shared" si="8"/>
        <v>0</v>
      </c>
      <c r="T224" s="327"/>
      <c r="U224" s="328"/>
      <c r="V224" s="328">
        <f>Roles!$D$8</f>
        <v>0.09</v>
      </c>
      <c r="W224" s="328"/>
      <c r="X224" s="198">
        <f t="shared" si="9"/>
        <v>0</v>
      </c>
      <c r="Y224" s="327"/>
      <c r="Z224" s="328"/>
      <c r="AA224" s="328">
        <f>Roles!$D$8</f>
        <v>0.09</v>
      </c>
      <c r="AB224" s="328"/>
      <c r="AC224" s="198">
        <f t="shared" si="10"/>
        <v>0</v>
      </c>
      <c r="AD224" s="327"/>
      <c r="AE224" s="328"/>
      <c r="AF224" s="328">
        <f>Roles!$D$8</f>
        <v>0.09</v>
      </c>
      <c r="AG224" s="328"/>
      <c r="AH224" s="198">
        <f t="shared" si="11"/>
        <v>0</v>
      </c>
      <c r="AI224" s="327"/>
      <c r="AJ224" s="328"/>
      <c r="AK224" s="328">
        <f>Roles!$D$8</f>
        <v>0.09</v>
      </c>
      <c r="AL224" s="328"/>
      <c r="AM224" s="198">
        <f t="shared" si="12"/>
        <v>0</v>
      </c>
      <c r="AN224" s="327"/>
      <c r="AO224" s="328"/>
      <c r="AP224" s="328">
        <f>Roles!$D$8</f>
        <v>0.09</v>
      </c>
      <c r="AQ224" s="328"/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 t="shared" si="1"/>
        <v>2</v>
      </c>
      <c r="F225" s="80">
        <v>3.0</v>
      </c>
      <c r="G225" s="105">
        <f t="shared" si="2"/>
        <v>0.002583979328</v>
      </c>
      <c r="H225" s="47">
        <f t="shared" ref="H225:H228" si="198">H224+G225</f>
        <v>0.9560723514</v>
      </c>
      <c r="I225" s="187">
        <f t="shared" si="196"/>
        <v>0</v>
      </c>
      <c r="J225" s="172">
        <f t="shared" ref="J225:J228" si="199">J224+I225</f>
        <v>906</v>
      </c>
      <c r="K225" s="115">
        <f t="shared" si="3"/>
        <v>0.936918304</v>
      </c>
      <c r="L225" s="232">
        <f t="shared" si="197"/>
        <v>0</v>
      </c>
      <c r="M225" s="172">
        <f t="shared" ref="M225:M228" si="200">M224+L225</f>
        <v>398.64</v>
      </c>
      <c r="N225" s="198">
        <f t="shared" si="6"/>
        <v>0</v>
      </c>
      <c r="O225" s="337">
        <v>0.0</v>
      </c>
      <c r="P225" s="328"/>
      <c r="Q225" s="328">
        <f>Roles!$D$5</f>
        <v>0.44</v>
      </c>
      <c r="R225" s="328">
        <f t="shared" si="7"/>
        <v>0</v>
      </c>
      <c r="S225" s="198">
        <f t="shared" si="8"/>
        <v>0</v>
      </c>
      <c r="T225" s="327"/>
      <c r="U225" s="328"/>
      <c r="V225" s="328">
        <f>Roles!$D$8</f>
        <v>0.09</v>
      </c>
      <c r="W225" s="328"/>
      <c r="X225" s="198">
        <f t="shared" si="9"/>
        <v>0</v>
      </c>
      <c r="Y225" s="327"/>
      <c r="Z225" s="328"/>
      <c r="AA225" s="328">
        <f>Roles!$D$8</f>
        <v>0.09</v>
      </c>
      <c r="AB225" s="328"/>
      <c r="AC225" s="198">
        <f t="shared" si="10"/>
        <v>0</v>
      </c>
      <c r="AD225" s="327"/>
      <c r="AE225" s="328"/>
      <c r="AF225" s="328">
        <f>Roles!$D$8</f>
        <v>0.09</v>
      </c>
      <c r="AG225" s="328"/>
      <c r="AH225" s="198">
        <f t="shared" si="11"/>
        <v>0</v>
      </c>
      <c r="AI225" s="327"/>
      <c r="AJ225" s="328"/>
      <c r="AK225" s="328">
        <f>Roles!$D$8</f>
        <v>0.09</v>
      </c>
      <c r="AL225" s="328"/>
      <c r="AM225" s="198">
        <f t="shared" si="12"/>
        <v>0</v>
      </c>
      <c r="AN225" s="327"/>
      <c r="AO225" s="328"/>
      <c r="AP225" s="328">
        <f>Roles!$D$8</f>
        <v>0.09</v>
      </c>
      <c r="AQ225" s="328"/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 t="shared" si="1"/>
        <v>1</v>
      </c>
      <c r="F226" s="80">
        <v>3.0</v>
      </c>
      <c r="G226" s="105">
        <f t="shared" si="2"/>
        <v>0.002583979328</v>
      </c>
      <c r="H226" s="47">
        <f t="shared" si="198"/>
        <v>0.9586563307</v>
      </c>
      <c r="I226" s="187">
        <f t="shared" si="196"/>
        <v>0</v>
      </c>
      <c r="J226" s="172">
        <f t="shared" si="199"/>
        <v>906</v>
      </c>
      <c r="K226" s="115">
        <f t="shared" si="3"/>
        <v>0.936918304</v>
      </c>
      <c r="L226" s="232">
        <f t="shared" si="197"/>
        <v>0</v>
      </c>
      <c r="M226" s="172">
        <f t="shared" si="200"/>
        <v>398.64</v>
      </c>
      <c r="N226" s="198">
        <f t="shared" si="6"/>
        <v>0</v>
      </c>
      <c r="O226" s="337">
        <v>0.0</v>
      </c>
      <c r="P226" s="328"/>
      <c r="Q226" s="328">
        <f>Roles!$D$5</f>
        <v>0.44</v>
      </c>
      <c r="R226" s="328">
        <f t="shared" si="7"/>
        <v>0</v>
      </c>
      <c r="S226" s="198">
        <f t="shared" si="8"/>
        <v>0</v>
      </c>
      <c r="T226" s="327"/>
      <c r="U226" s="328"/>
      <c r="V226" s="328">
        <f>Roles!$D$8</f>
        <v>0.09</v>
      </c>
      <c r="W226" s="328"/>
      <c r="X226" s="198">
        <f t="shared" si="9"/>
        <v>0</v>
      </c>
      <c r="Y226" s="327"/>
      <c r="Z226" s="328"/>
      <c r="AA226" s="328">
        <f>Roles!$D$8</f>
        <v>0.09</v>
      </c>
      <c r="AB226" s="328"/>
      <c r="AC226" s="198">
        <f t="shared" si="10"/>
        <v>0</v>
      </c>
      <c r="AD226" s="327"/>
      <c r="AE226" s="328"/>
      <c r="AF226" s="328">
        <f>Roles!$D$8</f>
        <v>0.09</v>
      </c>
      <c r="AG226" s="328"/>
      <c r="AH226" s="198">
        <f t="shared" si="11"/>
        <v>0</v>
      </c>
      <c r="AI226" s="327"/>
      <c r="AJ226" s="328"/>
      <c r="AK226" s="328">
        <f>Roles!$D$8</f>
        <v>0.09</v>
      </c>
      <c r="AL226" s="328"/>
      <c r="AM226" s="198">
        <f t="shared" si="12"/>
        <v>0</v>
      </c>
      <c r="AN226" s="327"/>
      <c r="AO226" s="328"/>
      <c r="AP226" s="328">
        <f>Roles!$D$8</f>
        <v>0.09</v>
      </c>
      <c r="AQ226" s="328"/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 t="shared" si="1"/>
        <v>2</v>
      </c>
      <c r="F227" s="80">
        <v>3.0</v>
      </c>
      <c r="G227" s="105">
        <f t="shared" si="2"/>
        <v>0.002583979328</v>
      </c>
      <c r="H227" s="47">
        <f t="shared" si="198"/>
        <v>0.9612403101</v>
      </c>
      <c r="I227" s="187">
        <f t="shared" si="196"/>
        <v>0</v>
      </c>
      <c r="J227" s="172">
        <f t="shared" si="199"/>
        <v>906</v>
      </c>
      <c r="K227" s="115">
        <f t="shared" si="3"/>
        <v>0.936918304</v>
      </c>
      <c r="L227" s="232">
        <f t="shared" si="197"/>
        <v>0</v>
      </c>
      <c r="M227" s="172">
        <f t="shared" si="200"/>
        <v>398.64</v>
      </c>
      <c r="N227" s="198">
        <f t="shared" si="6"/>
        <v>0</v>
      </c>
      <c r="O227" s="337">
        <v>0.0</v>
      </c>
      <c r="P227" s="328"/>
      <c r="Q227" s="328">
        <f>Roles!$D$5</f>
        <v>0.44</v>
      </c>
      <c r="R227" s="328">
        <f t="shared" si="7"/>
        <v>0</v>
      </c>
      <c r="S227" s="198">
        <f t="shared" si="8"/>
        <v>0</v>
      </c>
      <c r="T227" s="327"/>
      <c r="U227" s="328"/>
      <c r="V227" s="328">
        <f>Roles!$D$8</f>
        <v>0.09</v>
      </c>
      <c r="W227" s="328"/>
      <c r="X227" s="198">
        <f t="shared" si="9"/>
        <v>0</v>
      </c>
      <c r="Y227" s="327"/>
      <c r="Z227" s="328"/>
      <c r="AA227" s="328">
        <f>Roles!$D$8</f>
        <v>0.09</v>
      </c>
      <c r="AB227" s="328"/>
      <c r="AC227" s="198">
        <f t="shared" si="10"/>
        <v>0</v>
      </c>
      <c r="AD227" s="327"/>
      <c r="AE227" s="328"/>
      <c r="AF227" s="328">
        <f>Roles!$D$8</f>
        <v>0.09</v>
      </c>
      <c r="AG227" s="328"/>
      <c r="AH227" s="198">
        <f t="shared" si="11"/>
        <v>0</v>
      </c>
      <c r="AI227" s="327"/>
      <c r="AJ227" s="328"/>
      <c r="AK227" s="328">
        <f>Roles!$D$8</f>
        <v>0.09</v>
      </c>
      <c r="AL227" s="328"/>
      <c r="AM227" s="198">
        <f t="shared" si="12"/>
        <v>0</v>
      </c>
      <c r="AN227" s="327"/>
      <c r="AO227" s="328"/>
      <c r="AP227" s="328">
        <f>Roles!$D$8</f>
        <v>0.09</v>
      </c>
      <c r="AQ227" s="328"/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 t="shared" si="1"/>
        <v>1</v>
      </c>
      <c r="F228" s="80">
        <v>2.0</v>
      </c>
      <c r="G228" s="105">
        <f t="shared" si="2"/>
        <v>0.001722652885</v>
      </c>
      <c r="H228" s="47">
        <f t="shared" si="198"/>
        <v>0.962962963</v>
      </c>
      <c r="I228" s="187">
        <f t="shared" si="196"/>
        <v>0</v>
      </c>
      <c r="J228" s="172">
        <f t="shared" si="199"/>
        <v>906</v>
      </c>
      <c r="K228" s="115">
        <f t="shared" si="3"/>
        <v>0.936918304</v>
      </c>
      <c r="L228" s="232">
        <f t="shared" si="197"/>
        <v>0</v>
      </c>
      <c r="M228" s="172">
        <f t="shared" si="200"/>
        <v>398.64</v>
      </c>
      <c r="N228" s="198">
        <f t="shared" si="6"/>
        <v>0</v>
      </c>
      <c r="O228" s="337">
        <v>0.0</v>
      </c>
      <c r="P228" s="328"/>
      <c r="Q228" s="328">
        <f>Roles!$D$5</f>
        <v>0.44</v>
      </c>
      <c r="R228" s="328">
        <f t="shared" si="7"/>
        <v>0</v>
      </c>
      <c r="S228" s="198">
        <f t="shared" si="8"/>
        <v>0</v>
      </c>
      <c r="T228" s="327"/>
      <c r="U228" s="328"/>
      <c r="V228" s="328">
        <f>Roles!$D$8</f>
        <v>0.09</v>
      </c>
      <c r="W228" s="328"/>
      <c r="X228" s="198">
        <f t="shared" si="9"/>
        <v>0</v>
      </c>
      <c r="Y228" s="327"/>
      <c r="Z228" s="328"/>
      <c r="AA228" s="328">
        <f>Roles!$D$8</f>
        <v>0.09</v>
      </c>
      <c r="AB228" s="328"/>
      <c r="AC228" s="198">
        <f t="shared" si="10"/>
        <v>0</v>
      </c>
      <c r="AD228" s="327"/>
      <c r="AE228" s="328"/>
      <c r="AF228" s="328">
        <f>Roles!$D$8</f>
        <v>0.09</v>
      </c>
      <c r="AG228" s="328"/>
      <c r="AH228" s="198">
        <f t="shared" si="11"/>
        <v>0</v>
      </c>
      <c r="AI228" s="327"/>
      <c r="AJ228" s="328"/>
      <c r="AK228" s="328">
        <f>Roles!$D$8</f>
        <v>0.09</v>
      </c>
      <c r="AL228" s="328"/>
      <c r="AM228" s="198">
        <f t="shared" si="12"/>
        <v>0</v>
      </c>
      <c r="AN228" s="327"/>
      <c r="AO228" s="328"/>
      <c r="AP228" s="328">
        <f>Roles!$D$8</f>
        <v>0.09</v>
      </c>
      <c r="AQ228" s="328"/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 t="shared" si="1"/>
        <v>3</v>
      </c>
      <c r="F229" s="246">
        <f>SUM(F230:F231)</f>
        <v>20</v>
      </c>
      <c r="G229" s="105">
        <f t="shared" si="2"/>
        <v>0.01722652885</v>
      </c>
      <c r="H229" s="226">
        <f>H231</f>
        <v>0.9801894918</v>
      </c>
      <c r="I229" s="247">
        <f>SUM(I230:I231)</f>
        <v>2</v>
      </c>
      <c r="J229" s="247">
        <f>J231</f>
        <v>908</v>
      </c>
      <c r="K229" s="167">
        <f t="shared" si="3"/>
        <v>0.9389865564</v>
      </c>
      <c r="L229" s="247">
        <f>SUM(L230:L231)</f>
        <v>0.88</v>
      </c>
      <c r="M229" s="247">
        <f>M231</f>
        <v>399.52</v>
      </c>
      <c r="N229" s="198">
        <f t="shared" si="6"/>
        <v>0</v>
      </c>
      <c r="O229" s="328"/>
      <c r="P229" s="328"/>
      <c r="Q229" s="328">
        <f>Roles!$D$5</f>
        <v>0.44</v>
      </c>
      <c r="R229" s="328">
        <f t="shared" si="7"/>
        <v>0</v>
      </c>
      <c r="S229" s="198">
        <f t="shared" si="8"/>
        <v>0</v>
      </c>
      <c r="T229" s="327"/>
      <c r="U229" s="328"/>
      <c r="V229" s="328">
        <f>Roles!$D$8</f>
        <v>0.09</v>
      </c>
      <c r="W229" s="328"/>
      <c r="X229" s="198">
        <f t="shared" si="9"/>
        <v>0</v>
      </c>
      <c r="Y229" s="327"/>
      <c r="Z229" s="328"/>
      <c r="AA229" s="328">
        <f>Roles!$D$8</f>
        <v>0.09</v>
      </c>
      <c r="AB229" s="328"/>
      <c r="AC229" s="198">
        <f t="shared" si="10"/>
        <v>0</v>
      </c>
      <c r="AD229" s="327"/>
      <c r="AE229" s="328"/>
      <c r="AF229" s="328">
        <f>Roles!$D$8</f>
        <v>0.09</v>
      </c>
      <c r="AG229" s="328"/>
      <c r="AH229" s="198">
        <f t="shared" si="11"/>
        <v>0</v>
      </c>
      <c r="AI229" s="327"/>
      <c r="AJ229" s="328"/>
      <c r="AK229" s="328">
        <f>Roles!$D$8</f>
        <v>0.09</v>
      </c>
      <c r="AL229" s="328"/>
      <c r="AM229" s="198">
        <f t="shared" si="12"/>
        <v>0</v>
      </c>
      <c r="AN229" s="327"/>
      <c r="AO229" s="328"/>
      <c r="AP229" s="328">
        <f>Roles!$D$8</f>
        <v>0.09</v>
      </c>
      <c r="AQ229" s="328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 t="shared" si="1"/>
        <v>2</v>
      </c>
      <c r="F230" s="80">
        <v>10.0</v>
      </c>
      <c r="G230" s="105">
        <f t="shared" si="2"/>
        <v>0.008613264427</v>
      </c>
      <c r="H230" s="47">
        <f>H228+G230</f>
        <v>0.9715762274</v>
      </c>
      <c r="I230" s="187">
        <f t="shared" ref="I230:I231" si="201">O230+T230+Y230+AD230+AI230+AN230</f>
        <v>2</v>
      </c>
      <c r="J230" s="172">
        <f>J228+I230</f>
        <v>908</v>
      </c>
      <c r="K230" s="115">
        <f t="shared" si="3"/>
        <v>0.9389865564</v>
      </c>
      <c r="L230" s="232">
        <f t="shared" ref="L230:L231" si="202">R230+W230+AB230+AG230+AL230+AQ230</f>
        <v>0.88</v>
      </c>
      <c r="M230" s="172">
        <f>M228+L230</f>
        <v>399.52</v>
      </c>
      <c r="N230" s="198">
        <f t="shared" si="6"/>
        <v>0.2</v>
      </c>
      <c r="O230" s="337">
        <v>2.0</v>
      </c>
      <c r="P230" s="328"/>
      <c r="Q230" s="328">
        <f>Roles!$D$5</f>
        <v>0.44</v>
      </c>
      <c r="R230" s="328">
        <f t="shared" si="7"/>
        <v>0.88</v>
      </c>
      <c r="S230" s="198">
        <f t="shared" si="8"/>
        <v>0</v>
      </c>
      <c r="T230" s="327"/>
      <c r="U230" s="328"/>
      <c r="V230" s="328">
        <f>Roles!$D$8</f>
        <v>0.09</v>
      </c>
      <c r="W230" s="328"/>
      <c r="X230" s="198">
        <f t="shared" si="9"/>
        <v>0</v>
      </c>
      <c r="Y230" s="327"/>
      <c r="Z230" s="328"/>
      <c r="AA230" s="328">
        <f>Roles!$D$8</f>
        <v>0.09</v>
      </c>
      <c r="AB230" s="328"/>
      <c r="AC230" s="198">
        <f t="shared" si="10"/>
        <v>0</v>
      </c>
      <c r="AD230" s="327"/>
      <c r="AE230" s="328"/>
      <c r="AF230" s="328">
        <f>Roles!$D$8</f>
        <v>0.09</v>
      </c>
      <c r="AG230" s="328"/>
      <c r="AH230" s="198">
        <f t="shared" si="11"/>
        <v>0</v>
      </c>
      <c r="AI230" s="327"/>
      <c r="AJ230" s="328"/>
      <c r="AK230" s="328">
        <f>Roles!$D$8</f>
        <v>0.09</v>
      </c>
      <c r="AL230" s="328"/>
      <c r="AM230" s="198">
        <f t="shared" si="12"/>
        <v>0</v>
      </c>
      <c r="AN230" s="327"/>
      <c r="AO230" s="328"/>
      <c r="AP230" s="328">
        <f>Roles!$D$8</f>
        <v>0.09</v>
      </c>
      <c r="AQ230" s="328"/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 t="shared" si="1"/>
        <v>1</v>
      </c>
      <c r="F231" s="80">
        <v>10.0</v>
      </c>
      <c r="G231" s="105">
        <f t="shared" si="2"/>
        <v>0.008613264427</v>
      </c>
      <c r="H231" s="353">
        <f>H230+G231</f>
        <v>0.9801894918</v>
      </c>
      <c r="I231" s="187">
        <f t="shared" si="201"/>
        <v>0</v>
      </c>
      <c r="J231" s="351">
        <f>J230+I231</f>
        <v>908</v>
      </c>
      <c r="K231" s="352">
        <f t="shared" si="3"/>
        <v>0.9389865564</v>
      </c>
      <c r="L231" s="232">
        <f t="shared" si="202"/>
        <v>0</v>
      </c>
      <c r="M231" s="351">
        <f>M230+L231</f>
        <v>399.52</v>
      </c>
      <c r="N231" s="198">
        <f t="shared" si="6"/>
        <v>0</v>
      </c>
      <c r="O231" s="337">
        <v>0.0</v>
      </c>
      <c r="P231" s="328"/>
      <c r="Q231" s="328">
        <f>Roles!$D$5</f>
        <v>0.44</v>
      </c>
      <c r="R231" s="328">
        <f t="shared" si="7"/>
        <v>0</v>
      </c>
      <c r="S231" s="198">
        <f t="shared" si="8"/>
        <v>0</v>
      </c>
      <c r="T231" s="327"/>
      <c r="U231" s="328"/>
      <c r="V231" s="328">
        <f>Roles!$D$8</f>
        <v>0.09</v>
      </c>
      <c r="W231" s="328"/>
      <c r="X231" s="198">
        <f t="shared" si="9"/>
        <v>0</v>
      </c>
      <c r="Y231" s="327"/>
      <c r="Z231" s="328"/>
      <c r="AA231" s="328">
        <f>Roles!$D$8</f>
        <v>0.09</v>
      </c>
      <c r="AB231" s="328"/>
      <c r="AC231" s="198">
        <f t="shared" si="10"/>
        <v>0</v>
      </c>
      <c r="AD231" s="327"/>
      <c r="AE231" s="328"/>
      <c r="AF231" s="328">
        <f>Roles!$D$8</f>
        <v>0.09</v>
      </c>
      <c r="AG231" s="328"/>
      <c r="AH231" s="198">
        <f t="shared" si="11"/>
        <v>0</v>
      </c>
      <c r="AI231" s="327"/>
      <c r="AJ231" s="328"/>
      <c r="AK231" s="328">
        <f>Roles!$D$8</f>
        <v>0.09</v>
      </c>
      <c r="AL231" s="328"/>
      <c r="AM231" s="198">
        <f t="shared" si="12"/>
        <v>0</v>
      </c>
      <c r="AN231" s="327"/>
      <c r="AO231" s="328"/>
      <c r="AP231" s="328">
        <f>Roles!$D$8</f>
        <v>0.09</v>
      </c>
      <c r="AQ231" s="328"/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 t="shared" si="1"/>
        <v>3</v>
      </c>
      <c r="F232" s="246">
        <f>SUM(F233:F237)</f>
        <v>23</v>
      </c>
      <c r="G232" s="105">
        <f t="shared" si="2"/>
        <v>0.01981050818</v>
      </c>
      <c r="H232" s="226">
        <f>H237</f>
        <v>1</v>
      </c>
      <c r="I232" s="247">
        <f>SUM(I233:I237)</f>
        <v>59</v>
      </c>
      <c r="J232" s="247">
        <f>J237</f>
        <v>967</v>
      </c>
      <c r="K232" s="167">
        <f t="shared" si="3"/>
        <v>1</v>
      </c>
      <c r="L232" s="247">
        <f>SUM(L233:L237)</f>
        <v>25.96</v>
      </c>
      <c r="M232" s="247">
        <f>M237</f>
        <v>425.48</v>
      </c>
      <c r="N232" s="198">
        <f t="shared" si="6"/>
        <v>0</v>
      </c>
      <c r="O232" s="328"/>
      <c r="P232" s="328"/>
      <c r="Q232" s="328">
        <f>Roles!$D$5</f>
        <v>0.44</v>
      </c>
      <c r="R232" s="328">
        <f t="shared" si="7"/>
        <v>0</v>
      </c>
      <c r="S232" s="198">
        <f t="shared" si="8"/>
        <v>0</v>
      </c>
      <c r="T232" s="327"/>
      <c r="U232" s="328"/>
      <c r="V232" s="328">
        <f>Roles!$D$8</f>
        <v>0.09</v>
      </c>
      <c r="W232" s="328"/>
      <c r="X232" s="198">
        <f t="shared" si="9"/>
        <v>0</v>
      </c>
      <c r="Y232" s="327"/>
      <c r="Z232" s="328"/>
      <c r="AA232" s="328">
        <f>Roles!$D$8</f>
        <v>0.09</v>
      </c>
      <c r="AB232" s="328"/>
      <c r="AC232" s="198">
        <f t="shared" si="10"/>
        <v>0</v>
      </c>
      <c r="AD232" s="327"/>
      <c r="AE232" s="328"/>
      <c r="AF232" s="328">
        <f>Roles!$D$8</f>
        <v>0.09</v>
      </c>
      <c r="AG232" s="328"/>
      <c r="AH232" s="198">
        <f t="shared" si="11"/>
        <v>0</v>
      </c>
      <c r="AI232" s="327"/>
      <c r="AJ232" s="328"/>
      <c r="AK232" s="328">
        <f>Roles!$D$8</f>
        <v>0.09</v>
      </c>
      <c r="AL232" s="328"/>
      <c r="AM232" s="198">
        <f t="shared" si="12"/>
        <v>0</v>
      </c>
      <c r="AN232" s="327"/>
      <c r="AO232" s="328"/>
      <c r="AP232" s="328">
        <f>Roles!$D$8</f>
        <v>0.09</v>
      </c>
      <c r="AQ232" s="328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 t="shared" si="1"/>
        <v>2</v>
      </c>
      <c r="F233" s="80">
        <v>3.0</v>
      </c>
      <c r="G233" s="105">
        <f t="shared" si="2"/>
        <v>0.002583979328</v>
      </c>
      <c r="H233" s="47">
        <f>H231+G233</f>
        <v>0.9827734711</v>
      </c>
      <c r="I233" s="187">
        <f t="shared" ref="I233:I237" si="203">O233+T233+Y233+AD233+AI233+AN233</f>
        <v>4</v>
      </c>
      <c r="J233" s="172">
        <f>J231+I233</f>
        <v>912</v>
      </c>
      <c r="K233" s="115">
        <f t="shared" si="3"/>
        <v>0.943123061</v>
      </c>
      <c r="L233" s="232">
        <f t="shared" ref="L233:L237" si="204">R233+W233+AB233+AG233+AL233+AQ233</f>
        <v>1.76</v>
      </c>
      <c r="M233" s="172">
        <f>M231+L233</f>
        <v>401.28</v>
      </c>
      <c r="N233" s="198">
        <f t="shared" si="6"/>
        <v>1.333333333</v>
      </c>
      <c r="O233" s="337">
        <v>4.0</v>
      </c>
      <c r="P233" s="328"/>
      <c r="Q233" s="328">
        <f>Roles!$D$5</f>
        <v>0.44</v>
      </c>
      <c r="R233" s="328">
        <f t="shared" si="7"/>
        <v>1.76</v>
      </c>
      <c r="S233" s="198">
        <f t="shared" si="8"/>
        <v>0</v>
      </c>
      <c r="T233" s="327"/>
      <c r="U233" s="328"/>
      <c r="V233" s="328">
        <f>Roles!$D$8</f>
        <v>0.09</v>
      </c>
      <c r="W233" s="328"/>
      <c r="X233" s="198">
        <f t="shared" si="9"/>
        <v>0</v>
      </c>
      <c r="Y233" s="327"/>
      <c r="Z233" s="328"/>
      <c r="AA233" s="328">
        <f>Roles!$D$8</f>
        <v>0.09</v>
      </c>
      <c r="AB233" s="328"/>
      <c r="AC233" s="198">
        <f t="shared" si="10"/>
        <v>0</v>
      </c>
      <c r="AD233" s="327"/>
      <c r="AE233" s="328"/>
      <c r="AF233" s="328">
        <f>Roles!$D$8</f>
        <v>0.09</v>
      </c>
      <c r="AG233" s="328"/>
      <c r="AH233" s="198">
        <f t="shared" si="11"/>
        <v>0</v>
      </c>
      <c r="AI233" s="327"/>
      <c r="AJ233" s="328"/>
      <c r="AK233" s="328">
        <f>Roles!$D$8</f>
        <v>0.09</v>
      </c>
      <c r="AL233" s="328"/>
      <c r="AM233" s="198">
        <f t="shared" si="12"/>
        <v>0</v>
      </c>
      <c r="AN233" s="327"/>
      <c r="AO233" s="328"/>
      <c r="AP233" s="328">
        <f>Roles!$D$8</f>
        <v>0.09</v>
      </c>
      <c r="AQ233" s="328"/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 t="shared" si="1"/>
        <v>2</v>
      </c>
      <c r="F234" s="80">
        <v>10.0</v>
      </c>
      <c r="G234" s="105">
        <f t="shared" si="2"/>
        <v>0.008613264427</v>
      </c>
      <c r="H234" s="47">
        <f t="shared" ref="H234:H238" si="205">H233+G234</f>
        <v>0.9913867356</v>
      </c>
      <c r="I234" s="187">
        <f t="shared" si="203"/>
        <v>30</v>
      </c>
      <c r="J234" s="172">
        <f t="shared" ref="J234:J238" si="206">J233+I234</f>
        <v>942</v>
      </c>
      <c r="K234" s="115">
        <f t="shared" si="3"/>
        <v>0.9741468459</v>
      </c>
      <c r="L234" s="232">
        <f t="shared" si="204"/>
        <v>13.2</v>
      </c>
      <c r="M234" s="172">
        <f t="shared" ref="M234:M238" si="207">M233+L234</f>
        <v>414.48</v>
      </c>
      <c r="N234" s="198">
        <f t="shared" si="6"/>
        <v>3</v>
      </c>
      <c r="O234" s="337">
        <v>30.0</v>
      </c>
      <c r="P234" s="328"/>
      <c r="Q234" s="328">
        <f>Roles!$D$5</f>
        <v>0.44</v>
      </c>
      <c r="R234" s="328">
        <f t="shared" si="7"/>
        <v>13.2</v>
      </c>
      <c r="S234" s="198">
        <f t="shared" si="8"/>
        <v>0</v>
      </c>
      <c r="T234" s="327"/>
      <c r="U234" s="328"/>
      <c r="V234" s="328">
        <f>Roles!$D$8</f>
        <v>0.09</v>
      </c>
      <c r="W234" s="328"/>
      <c r="X234" s="198">
        <f t="shared" si="9"/>
        <v>0</v>
      </c>
      <c r="Y234" s="327"/>
      <c r="Z234" s="328"/>
      <c r="AA234" s="328">
        <f>Roles!$D$8</f>
        <v>0.09</v>
      </c>
      <c r="AB234" s="328"/>
      <c r="AC234" s="198">
        <f t="shared" si="10"/>
        <v>0</v>
      </c>
      <c r="AD234" s="327"/>
      <c r="AE234" s="328"/>
      <c r="AF234" s="328">
        <f>Roles!$D$8</f>
        <v>0.09</v>
      </c>
      <c r="AG234" s="328"/>
      <c r="AH234" s="198">
        <f t="shared" si="11"/>
        <v>0</v>
      </c>
      <c r="AI234" s="327"/>
      <c r="AJ234" s="328"/>
      <c r="AK234" s="328">
        <f>Roles!$D$8</f>
        <v>0.09</v>
      </c>
      <c r="AL234" s="328"/>
      <c r="AM234" s="198">
        <f t="shared" si="12"/>
        <v>0</v>
      </c>
      <c r="AN234" s="327"/>
      <c r="AO234" s="328"/>
      <c r="AP234" s="328">
        <f>Roles!$D$8</f>
        <v>0.09</v>
      </c>
      <c r="AQ234" s="328"/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 t="shared" si="1"/>
        <v>1</v>
      </c>
      <c r="F235" s="80">
        <v>2.0</v>
      </c>
      <c r="G235" s="105">
        <f t="shared" si="2"/>
        <v>0.001722652885</v>
      </c>
      <c r="H235" s="47">
        <f t="shared" si="205"/>
        <v>0.9931093885</v>
      </c>
      <c r="I235" s="187">
        <f t="shared" si="203"/>
        <v>3</v>
      </c>
      <c r="J235" s="172">
        <f t="shared" si="206"/>
        <v>945</v>
      </c>
      <c r="K235" s="115">
        <f t="shared" si="3"/>
        <v>0.9772492244</v>
      </c>
      <c r="L235" s="232">
        <f t="shared" si="204"/>
        <v>1.32</v>
      </c>
      <c r="M235" s="172">
        <f t="shared" si="207"/>
        <v>415.8</v>
      </c>
      <c r="N235" s="198">
        <f t="shared" si="6"/>
        <v>1.5</v>
      </c>
      <c r="O235" s="337">
        <v>3.0</v>
      </c>
      <c r="P235" s="328"/>
      <c r="Q235" s="328">
        <f>Roles!$D$5</f>
        <v>0.44</v>
      </c>
      <c r="R235" s="328">
        <f t="shared" si="7"/>
        <v>1.32</v>
      </c>
      <c r="S235" s="198">
        <f t="shared" si="8"/>
        <v>0</v>
      </c>
      <c r="T235" s="327"/>
      <c r="U235" s="328"/>
      <c r="V235" s="328">
        <f>Roles!$D$8</f>
        <v>0.09</v>
      </c>
      <c r="W235" s="328"/>
      <c r="X235" s="198">
        <f t="shared" si="9"/>
        <v>0</v>
      </c>
      <c r="Y235" s="327"/>
      <c r="Z235" s="328"/>
      <c r="AA235" s="328">
        <f>Roles!$D$8</f>
        <v>0.09</v>
      </c>
      <c r="AB235" s="328"/>
      <c r="AC235" s="198">
        <f t="shared" si="10"/>
        <v>0</v>
      </c>
      <c r="AD235" s="327"/>
      <c r="AE235" s="328"/>
      <c r="AF235" s="328">
        <f>Roles!$D$8</f>
        <v>0.09</v>
      </c>
      <c r="AG235" s="328"/>
      <c r="AH235" s="198">
        <f t="shared" si="11"/>
        <v>0</v>
      </c>
      <c r="AI235" s="327"/>
      <c r="AJ235" s="328"/>
      <c r="AK235" s="328">
        <f>Roles!$D$8</f>
        <v>0.09</v>
      </c>
      <c r="AL235" s="328"/>
      <c r="AM235" s="198">
        <f t="shared" si="12"/>
        <v>0</v>
      </c>
      <c r="AN235" s="327"/>
      <c r="AO235" s="328"/>
      <c r="AP235" s="328">
        <f>Roles!$D$8</f>
        <v>0.09</v>
      </c>
      <c r="AQ235" s="328"/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 t="shared" si="1"/>
        <v>2</v>
      </c>
      <c r="F236" s="80">
        <v>3.0</v>
      </c>
      <c r="G236" s="105">
        <f t="shared" si="2"/>
        <v>0.002583979328</v>
      </c>
      <c r="H236" s="47">
        <f t="shared" si="205"/>
        <v>0.9956933678</v>
      </c>
      <c r="I236" s="187">
        <f t="shared" si="203"/>
        <v>4</v>
      </c>
      <c r="J236" s="172">
        <f t="shared" si="206"/>
        <v>949</v>
      </c>
      <c r="K236" s="115">
        <f t="shared" si="3"/>
        <v>0.9813857291</v>
      </c>
      <c r="L236" s="232">
        <f t="shared" si="204"/>
        <v>1.76</v>
      </c>
      <c r="M236" s="172">
        <f t="shared" si="207"/>
        <v>417.56</v>
      </c>
      <c r="N236" s="198">
        <f t="shared" si="6"/>
        <v>1.333333333</v>
      </c>
      <c r="O236" s="337">
        <v>4.0</v>
      </c>
      <c r="P236" s="328"/>
      <c r="Q236" s="328">
        <f>Roles!$D$5</f>
        <v>0.44</v>
      </c>
      <c r="R236" s="328">
        <f t="shared" si="7"/>
        <v>1.76</v>
      </c>
      <c r="S236" s="198">
        <f t="shared" si="8"/>
        <v>0</v>
      </c>
      <c r="T236" s="327"/>
      <c r="U236" s="328"/>
      <c r="V236" s="328">
        <f>Roles!$D$8</f>
        <v>0.09</v>
      </c>
      <c r="W236" s="328"/>
      <c r="X236" s="198">
        <f t="shared" si="9"/>
        <v>0</v>
      </c>
      <c r="Y236" s="327"/>
      <c r="Z236" s="328"/>
      <c r="AA236" s="328">
        <f>Roles!$D$8</f>
        <v>0.09</v>
      </c>
      <c r="AB236" s="328"/>
      <c r="AC236" s="198">
        <f t="shared" si="10"/>
        <v>0</v>
      </c>
      <c r="AD236" s="327"/>
      <c r="AE236" s="328"/>
      <c r="AF236" s="328">
        <f>Roles!$D$8</f>
        <v>0.09</v>
      </c>
      <c r="AG236" s="328"/>
      <c r="AH236" s="198">
        <f t="shared" si="11"/>
        <v>0</v>
      </c>
      <c r="AI236" s="327"/>
      <c r="AJ236" s="328"/>
      <c r="AK236" s="328">
        <f>Roles!$D$8</f>
        <v>0.09</v>
      </c>
      <c r="AL236" s="328"/>
      <c r="AM236" s="198">
        <f t="shared" si="12"/>
        <v>0</v>
      </c>
      <c r="AN236" s="327"/>
      <c r="AO236" s="328"/>
      <c r="AP236" s="328">
        <f>Roles!$D$8</f>
        <v>0.09</v>
      </c>
      <c r="AQ236" s="328"/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 t="shared" si="1"/>
        <v>1</v>
      </c>
      <c r="F237" s="80">
        <v>5.0</v>
      </c>
      <c r="G237" s="105">
        <f t="shared" si="2"/>
        <v>0.004306632214</v>
      </c>
      <c r="H237" s="47">
        <f t="shared" si="205"/>
        <v>1</v>
      </c>
      <c r="I237" s="187">
        <f t="shared" si="203"/>
        <v>18</v>
      </c>
      <c r="J237" s="172">
        <f t="shared" si="206"/>
        <v>967</v>
      </c>
      <c r="K237" s="115">
        <f t="shared" si="3"/>
        <v>1</v>
      </c>
      <c r="L237" s="232">
        <f t="shared" si="204"/>
        <v>7.92</v>
      </c>
      <c r="M237" s="172">
        <f t="shared" si="207"/>
        <v>425.48</v>
      </c>
      <c r="N237" s="198">
        <f t="shared" si="6"/>
        <v>3.6</v>
      </c>
      <c r="O237" s="337">
        <v>18.0</v>
      </c>
      <c r="P237" s="328"/>
      <c r="Q237" s="328">
        <f>Roles!$D$5</f>
        <v>0.44</v>
      </c>
      <c r="R237" s="328">
        <f t="shared" si="7"/>
        <v>7.92</v>
      </c>
      <c r="S237" s="198">
        <f t="shared" si="8"/>
        <v>0</v>
      </c>
      <c r="T237" s="327"/>
      <c r="U237" s="328"/>
      <c r="V237" s="328">
        <f>Roles!$D$8</f>
        <v>0.09</v>
      </c>
      <c r="W237" s="328"/>
      <c r="X237" s="198">
        <f t="shared" si="9"/>
        <v>0</v>
      </c>
      <c r="Y237" s="327"/>
      <c r="Z237" s="328"/>
      <c r="AA237" s="328">
        <f>Roles!$D$8</f>
        <v>0.09</v>
      </c>
      <c r="AB237" s="328"/>
      <c r="AC237" s="198">
        <f t="shared" si="10"/>
        <v>0</v>
      </c>
      <c r="AD237" s="327"/>
      <c r="AE237" s="328"/>
      <c r="AF237" s="328">
        <f>Roles!$D$8</f>
        <v>0.09</v>
      </c>
      <c r="AG237" s="328"/>
      <c r="AH237" s="198">
        <f t="shared" si="11"/>
        <v>0</v>
      </c>
      <c r="AI237" s="327"/>
      <c r="AJ237" s="328"/>
      <c r="AK237" s="328">
        <f>Roles!$D$8</f>
        <v>0.09</v>
      </c>
      <c r="AL237" s="328"/>
      <c r="AM237" s="198">
        <f t="shared" si="12"/>
        <v>0</v>
      </c>
      <c r="AN237" s="327"/>
      <c r="AO237" s="328"/>
      <c r="AP237" s="328">
        <f>Roles!$D$8</f>
        <v>0.09</v>
      </c>
      <c r="AQ237" s="328"/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 t="shared" si="1"/>
        <v>1</v>
      </c>
      <c r="F238" s="136">
        <v>0.0</v>
      </c>
      <c r="G238" s="105">
        <f t="shared" si="2"/>
        <v>0</v>
      </c>
      <c r="H238" s="115">
        <f t="shared" si="205"/>
        <v>1</v>
      </c>
      <c r="I238" s="110">
        <f>F238</f>
        <v>0</v>
      </c>
      <c r="J238" s="110">
        <f t="shared" si="206"/>
        <v>967</v>
      </c>
      <c r="K238" s="115">
        <f t="shared" si="3"/>
        <v>1</v>
      </c>
      <c r="L238" s="110">
        <v>0.0</v>
      </c>
      <c r="M238" s="110">
        <f t="shared" si="207"/>
        <v>425.48</v>
      </c>
      <c r="N238" s="198" t="str">
        <f t="shared" si="6"/>
        <v>#DIV/0!</v>
      </c>
      <c r="O238" s="327"/>
      <c r="P238" s="328"/>
      <c r="Q238" s="328">
        <f>Roles!$D$5</f>
        <v>0.44</v>
      </c>
      <c r="R238" s="328">
        <f t="shared" si="7"/>
        <v>0</v>
      </c>
      <c r="S238" s="198" t="str">
        <f t="shared" si="8"/>
        <v>#DIV/0!</v>
      </c>
      <c r="T238" s="327"/>
      <c r="U238" s="328"/>
      <c r="V238" s="328">
        <f>Roles!$D$8</f>
        <v>0.09</v>
      </c>
      <c r="W238" s="328"/>
      <c r="X238" s="198" t="str">
        <f t="shared" si="9"/>
        <v>#DIV/0!</v>
      </c>
      <c r="Y238" s="327"/>
      <c r="Z238" s="328"/>
      <c r="AA238" s="328">
        <f>Roles!$D$8</f>
        <v>0.09</v>
      </c>
      <c r="AB238" s="328"/>
      <c r="AC238" s="198" t="str">
        <f t="shared" si="10"/>
        <v>#DIV/0!</v>
      </c>
      <c r="AD238" s="327"/>
      <c r="AE238" s="328"/>
      <c r="AF238" s="328">
        <f>Roles!$D$8</f>
        <v>0.09</v>
      </c>
      <c r="AG238" s="328"/>
      <c r="AH238" s="198" t="str">
        <f t="shared" si="11"/>
        <v>#DIV/0!</v>
      </c>
      <c r="AI238" s="327"/>
      <c r="AJ238" s="328"/>
      <c r="AK238" s="328">
        <f>Roles!$D$8</f>
        <v>0.09</v>
      </c>
      <c r="AL238" s="328"/>
      <c r="AM238" s="198" t="str">
        <f t="shared" si="12"/>
        <v>#DIV/0!</v>
      </c>
      <c r="AN238" s="327"/>
      <c r="AO238" s="328"/>
      <c r="AP238" s="328">
        <f>Roles!$D$8</f>
        <v>0.09</v>
      </c>
      <c r="AQ238" s="328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967</v>
      </c>
      <c r="J239" s="7"/>
      <c r="K239" s="7"/>
      <c r="L239" s="329">
        <f>L5+L30+L80+L146+L186+L213</f>
        <v>425.48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</row>
    <row r="287" ht="15.75" customHeight="1">
      <c r="A287" s="7"/>
      <c r="B287" s="7"/>
      <c r="C287" s="7"/>
      <c r="D287" s="7"/>
      <c r="E287" s="7"/>
      <c r="F287" s="7"/>
      <c r="G287" s="216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C1:AG2"/>
    <mergeCell ref="AH1:AL2"/>
    <mergeCell ref="AM1:AQ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N1:R2"/>
    <mergeCell ref="S1:W2"/>
    <mergeCell ref="X1:AB2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1.14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hidden="1" min="14" max="14" width="8.14"/>
    <col customWidth="1" min="15" max="15" width="8.0"/>
    <col customWidth="1" min="16" max="16" width="8.71"/>
    <col customWidth="1" min="17" max="17" width="3.14"/>
    <col customWidth="1" min="18" max="18" width="9.57"/>
    <col customWidth="1" min="19" max="19" width="7.57"/>
    <col customWidth="1" min="20" max="20" width="9.14"/>
    <col customWidth="1" min="21" max="21" width="8.71"/>
    <col customWidth="1" min="22" max="22" width="3.14"/>
    <col customWidth="1" min="23" max="23" width="9.57"/>
    <col customWidth="1" min="24" max="24" width="7.57"/>
    <col customWidth="1" min="25" max="25" width="9.57"/>
    <col customWidth="1" min="26" max="26" width="8.71"/>
    <col customWidth="1" min="27" max="27" width="3.14"/>
    <col customWidth="1" min="28" max="28" width="9.57"/>
    <col customWidth="1" min="29" max="29" width="7.57"/>
    <col customWidth="1" min="30" max="30" width="7.71"/>
    <col customWidth="1" min="31" max="31" width="8.71"/>
    <col customWidth="1" min="32" max="32" width="3.14"/>
    <col customWidth="1" min="33" max="33" width="9.57"/>
    <col customWidth="1" min="34" max="34" width="7.57"/>
    <col customWidth="1" min="35" max="35" width="8.43"/>
    <col customWidth="1" min="36" max="36" width="8.71"/>
    <col customWidth="1" min="37" max="37" width="3.14"/>
    <col customWidth="1" min="38" max="38" width="9.57"/>
    <col customWidth="1" min="39" max="39" width="7.57"/>
    <col customWidth="1" min="40" max="40" width="7.71"/>
    <col customWidth="1" min="41" max="41" width="8.71"/>
    <col customWidth="1" min="42" max="42" width="3.14"/>
    <col customWidth="1" min="43" max="43" width="9.57"/>
    <col customWidth="1" min="44" max="44" width="7.57"/>
    <col customWidth="1" min="45" max="45" width="7.71"/>
    <col customWidth="1" min="46" max="46" width="8.71"/>
    <col customWidth="1" min="47" max="47" width="3.14"/>
    <col customWidth="1" min="48" max="48" width="9.57"/>
    <col customWidth="1" min="49" max="49" width="7.57"/>
    <col customWidth="1" min="50" max="50" width="7.86"/>
    <col customWidth="1" min="51" max="51" width="8.71"/>
    <col customWidth="1" min="52" max="52" width="3.14"/>
    <col customWidth="1" min="53" max="53" width="9.57"/>
    <col customWidth="1" min="54" max="54" width="7.57"/>
    <col customWidth="1" min="55" max="55" width="7.43"/>
    <col customWidth="1" min="56" max="56" width="8.71"/>
    <col customWidth="1" min="57" max="57" width="3.14"/>
    <col customWidth="1" min="58" max="58" width="9.57"/>
    <col customWidth="1" min="59" max="59" width="7.57"/>
    <col customWidth="1" min="60" max="60" width="8.14"/>
    <col customWidth="1" min="61" max="61" width="8.71"/>
    <col customWidth="1" min="62" max="62" width="3.14"/>
    <col customWidth="1" min="63" max="63" width="9.57"/>
    <col customWidth="1" min="64" max="64" width="7.57"/>
    <col customWidth="1" min="65" max="65" width="7.71"/>
    <col customWidth="1" min="66" max="66" width="8.71"/>
    <col customWidth="1" min="67" max="67" width="3.14"/>
    <col customWidth="1" min="68" max="68" width="9.57"/>
    <col customWidth="1" min="69" max="69" width="7.57"/>
    <col customWidth="1" min="70" max="70" width="8.43"/>
    <col customWidth="1" min="71" max="71" width="8.71"/>
    <col customWidth="1" min="72" max="72" width="3.14"/>
    <col customWidth="1" min="73" max="73" width="9.57"/>
    <col customWidth="1" min="74" max="74" width="7.57"/>
    <col customWidth="1" min="75" max="75" width="8.14"/>
    <col customWidth="1" min="76" max="76" width="8.71"/>
    <col customWidth="1" min="77" max="77" width="3.14"/>
    <col customWidth="1" min="78" max="78" width="9.57"/>
    <col customWidth="1" min="79" max="79" width="7.57"/>
    <col customWidth="1" min="80" max="80" width="8.0"/>
    <col customWidth="1" min="81" max="81" width="8.71"/>
    <col customWidth="1" min="82" max="82" width="3.14"/>
    <col customWidth="1" min="83" max="83" width="9.57"/>
    <col customWidth="1" min="84" max="84" width="7.57"/>
    <col customWidth="1" min="85" max="85" width="8.0"/>
    <col customWidth="1" min="86" max="86" width="8.71"/>
    <col customWidth="1" min="87" max="87" width="3.14"/>
    <col customWidth="1" min="88" max="88" width="9.57"/>
    <col customWidth="1" min="89" max="89" width="7.57"/>
    <col customWidth="1" min="90" max="90" width="8.29"/>
    <col customWidth="1" min="91" max="91" width="8.71"/>
    <col customWidth="1" min="92" max="92" width="3.14"/>
    <col customWidth="1" min="93" max="93" width="9.57"/>
    <col customWidth="1" min="94" max="94" width="7.57"/>
    <col customWidth="1" min="95" max="95" width="7.71"/>
    <col customWidth="1" min="96" max="96" width="8.71"/>
    <col customWidth="1" min="97" max="97" width="3.14"/>
    <col customWidth="1" min="98" max="98" width="9.57"/>
    <col customWidth="1" min="99" max="99" width="7.57"/>
    <col customWidth="1" min="100" max="100" width="9.71"/>
    <col customWidth="1" min="101" max="101" width="8.71"/>
    <col customWidth="1" min="102" max="102" width="3.14"/>
    <col customWidth="1" min="103" max="103" width="9.57"/>
    <col customWidth="1" min="104" max="104" width="7.57"/>
    <col customWidth="1" min="105" max="105" width="9.29"/>
    <col customWidth="1" min="106" max="106" width="8.71"/>
    <col customWidth="1" min="107" max="107" width="3.14"/>
    <col customWidth="1" min="108" max="108" width="9.57"/>
    <col customWidth="1" min="109" max="109" width="7.57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6"/>
      <c r="N1" s="62"/>
      <c r="O1" s="369" t="s">
        <v>632</v>
      </c>
      <c r="P1" s="325"/>
      <c r="Q1" s="325"/>
      <c r="R1" s="325"/>
      <c r="S1" s="16"/>
      <c r="T1" s="369" t="s">
        <v>633</v>
      </c>
      <c r="U1" s="325"/>
      <c r="V1" s="325"/>
      <c r="W1" s="325"/>
      <c r="X1" s="16"/>
      <c r="Y1" s="369" t="s">
        <v>634</v>
      </c>
      <c r="Z1" s="325"/>
      <c r="AA1" s="325"/>
      <c r="AB1" s="325"/>
      <c r="AC1" s="16"/>
      <c r="AD1" s="369" t="s">
        <v>635</v>
      </c>
      <c r="AE1" s="325"/>
      <c r="AF1" s="325"/>
      <c r="AG1" s="325"/>
      <c r="AH1" s="16"/>
      <c r="AI1" s="369" t="s">
        <v>636</v>
      </c>
      <c r="AJ1" s="325"/>
      <c r="AK1" s="325"/>
      <c r="AL1" s="325"/>
      <c r="AM1" s="16"/>
      <c r="AN1" s="369" t="s">
        <v>637</v>
      </c>
      <c r="AO1" s="325"/>
      <c r="AP1" s="325"/>
      <c r="AQ1" s="325"/>
      <c r="AR1" s="16"/>
      <c r="AS1" s="369" t="s">
        <v>638</v>
      </c>
      <c r="AT1" s="325"/>
      <c r="AU1" s="325"/>
      <c r="AV1" s="325"/>
      <c r="AW1" s="16"/>
      <c r="AX1" s="369" t="s">
        <v>639</v>
      </c>
      <c r="AY1" s="325"/>
      <c r="AZ1" s="325"/>
      <c r="BA1" s="325"/>
      <c r="BB1" s="16"/>
      <c r="BC1" s="369" t="s">
        <v>640</v>
      </c>
      <c r="BD1" s="325"/>
      <c r="BE1" s="325"/>
      <c r="BF1" s="325"/>
      <c r="BG1" s="16"/>
      <c r="BH1" s="369" t="s">
        <v>641</v>
      </c>
      <c r="BI1" s="325"/>
      <c r="BJ1" s="325"/>
      <c r="BK1" s="325"/>
      <c r="BL1" s="16"/>
      <c r="BM1" s="369" t="s">
        <v>643</v>
      </c>
      <c r="BN1" s="325"/>
      <c r="BO1" s="325"/>
      <c r="BP1" s="325"/>
      <c r="BQ1" s="16"/>
      <c r="BR1" s="369" t="s">
        <v>644</v>
      </c>
      <c r="BS1" s="325"/>
      <c r="BT1" s="325"/>
      <c r="BU1" s="325"/>
      <c r="BV1" s="16"/>
      <c r="BW1" s="369" t="s">
        <v>645</v>
      </c>
      <c r="BX1" s="325"/>
      <c r="BY1" s="325"/>
      <c r="BZ1" s="325"/>
      <c r="CA1" s="16"/>
      <c r="CB1" s="369" t="s">
        <v>646</v>
      </c>
      <c r="CC1" s="325"/>
      <c r="CD1" s="325"/>
      <c r="CE1" s="325"/>
      <c r="CF1" s="16"/>
      <c r="CG1" s="369" t="s">
        <v>647</v>
      </c>
      <c r="CH1" s="325"/>
      <c r="CI1" s="325"/>
      <c r="CJ1" s="325"/>
      <c r="CK1" s="16"/>
      <c r="CL1" s="369" t="s">
        <v>648</v>
      </c>
      <c r="CM1" s="325"/>
      <c r="CN1" s="325"/>
      <c r="CO1" s="325"/>
      <c r="CP1" s="16"/>
      <c r="CQ1" s="369" t="s">
        <v>649</v>
      </c>
      <c r="CR1" s="325"/>
      <c r="CS1" s="325"/>
      <c r="CT1" s="325"/>
      <c r="CU1" s="16"/>
      <c r="CV1" s="369" t="s">
        <v>650</v>
      </c>
      <c r="CW1" s="325"/>
      <c r="CX1" s="325"/>
      <c r="CY1" s="325"/>
      <c r="CZ1" s="16"/>
      <c r="DA1" s="369" t="s">
        <v>651</v>
      </c>
      <c r="DB1" s="325"/>
      <c r="DC1" s="325"/>
      <c r="DD1" s="325"/>
      <c r="DE1" s="16"/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6"/>
      <c r="N2" s="59"/>
      <c r="O2" s="40"/>
      <c r="P2" s="45"/>
      <c r="Q2" s="45"/>
      <c r="R2" s="45"/>
      <c r="S2" s="31"/>
      <c r="T2" s="40"/>
      <c r="U2" s="45"/>
      <c r="V2" s="45"/>
      <c r="W2" s="45"/>
      <c r="X2" s="31"/>
      <c r="Y2" s="40"/>
      <c r="Z2" s="45"/>
      <c r="AA2" s="45"/>
      <c r="AB2" s="45"/>
      <c r="AC2" s="31"/>
      <c r="AD2" s="40"/>
      <c r="AE2" s="45"/>
      <c r="AF2" s="45"/>
      <c r="AG2" s="45"/>
      <c r="AH2" s="31"/>
      <c r="AI2" s="40"/>
      <c r="AJ2" s="45"/>
      <c r="AK2" s="45"/>
      <c r="AL2" s="45"/>
      <c r="AM2" s="31"/>
      <c r="AN2" s="40"/>
      <c r="AO2" s="45"/>
      <c r="AP2" s="45"/>
      <c r="AQ2" s="45"/>
      <c r="AR2" s="31"/>
      <c r="AS2" s="40"/>
      <c r="AT2" s="45"/>
      <c r="AU2" s="45"/>
      <c r="AV2" s="45"/>
      <c r="AW2" s="31"/>
      <c r="AX2" s="40"/>
      <c r="AY2" s="45"/>
      <c r="AZ2" s="45"/>
      <c r="BA2" s="45"/>
      <c r="BB2" s="31"/>
      <c r="BC2" s="40"/>
      <c r="BD2" s="45"/>
      <c r="BE2" s="45"/>
      <c r="BF2" s="45"/>
      <c r="BG2" s="31"/>
      <c r="BH2" s="40"/>
      <c r="BI2" s="45"/>
      <c r="BJ2" s="45"/>
      <c r="BK2" s="45"/>
      <c r="BL2" s="31"/>
      <c r="BM2" s="40"/>
      <c r="BN2" s="45"/>
      <c r="BO2" s="45"/>
      <c r="BP2" s="45"/>
      <c r="BQ2" s="31"/>
      <c r="BR2" s="40"/>
      <c r="BS2" s="45"/>
      <c r="BT2" s="45"/>
      <c r="BU2" s="45"/>
      <c r="BV2" s="31"/>
      <c r="BW2" s="40"/>
      <c r="BX2" s="45"/>
      <c r="BY2" s="45"/>
      <c r="BZ2" s="45"/>
      <c r="CA2" s="31"/>
      <c r="CB2" s="40"/>
      <c r="CC2" s="45"/>
      <c r="CD2" s="45"/>
      <c r="CE2" s="45"/>
      <c r="CF2" s="31"/>
      <c r="CG2" s="40"/>
      <c r="CH2" s="45"/>
      <c r="CI2" s="45"/>
      <c r="CJ2" s="45"/>
      <c r="CK2" s="31"/>
      <c r="CL2" s="40"/>
      <c r="CM2" s="45"/>
      <c r="CN2" s="45"/>
      <c r="CO2" s="45"/>
      <c r="CP2" s="31"/>
      <c r="CQ2" s="40"/>
      <c r="CR2" s="45"/>
      <c r="CS2" s="45"/>
      <c r="CT2" s="45"/>
      <c r="CU2" s="31"/>
      <c r="CV2" s="40"/>
      <c r="CW2" s="45"/>
      <c r="CX2" s="45"/>
      <c r="CY2" s="45"/>
      <c r="CZ2" s="31"/>
      <c r="DA2" s="40"/>
      <c r="DB2" s="45"/>
      <c r="DC2" s="45"/>
      <c r="DD2" s="45"/>
      <c r="DE2" s="31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42</v>
      </c>
      <c r="J3" s="76" t="s">
        <v>43</v>
      </c>
      <c r="K3" s="76" t="s">
        <v>44</v>
      </c>
      <c r="L3" s="76" t="s">
        <v>45</v>
      </c>
      <c r="M3" s="76" t="s">
        <v>43</v>
      </c>
      <c r="N3" s="62" t="s">
        <v>44</v>
      </c>
      <c r="O3" s="370" t="s">
        <v>46</v>
      </c>
      <c r="P3" s="370" t="s">
        <v>48</v>
      </c>
      <c r="Q3" s="370" t="s">
        <v>49</v>
      </c>
      <c r="R3" s="370" t="s">
        <v>50</v>
      </c>
      <c r="S3" s="370" t="s">
        <v>32</v>
      </c>
      <c r="T3" s="370" t="s">
        <v>46</v>
      </c>
      <c r="U3" s="370" t="s">
        <v>48</v>
      </c>
      <c r="V3" s="370" t="s">
        <v>49</v>
      </c>
      <c r="W3" s="370" t="s">
        <v>50</v>
      </c>
      <c r="X3" s="370" t="s">
        <v>32</v>
      </c>
      <c r="Y3" s="370" t="s">
        <v>46</v>
      </c>
      <c r="Z3" s="370" t="s">
        <v>48</v>
      </c>
      <c r="AA3" s="370" t="s">
        <v>49</v>
      </c>
      <c r="AB3" s="370" t="s">
        <v>50</v>
      </c>
      <c r="AC3" s="370" t="s">
        <v>32</v>
      </c>
      <c r="AD3" s="370" t="s">
        <v>46</v>
      </c>
      <c r="AE3" s="370" t="s">
        <v>48</v>
      </c>
      <c r="AF3" s="370" t="s">
        <v>49</v>
      </c>
      <c r="AG3" s="370" t="s">
        <v>50</v>
      </c>
      <c r="AH3" s="370" t="s">
        <v>32</v>
      </c>
      <c r="AI3" s="370" t="s">
        <v>46</v>
      </c>
      <c r="AJ3" s="370" t="s">
        <v>48</v>
      </c>
      <c r="AK3" s="370" t="s">
        <v>49</v>
      </c>
      <c r="AL3" s="370" t="s">
        <v>50</v>
      </c>
      <c r="AM3" s="370" t="s">
        <v>32</v>
      </c>
      <c r="AN3" s="370" t="s">
        <v>46</v>
      </c>
      <c r="AO3" s="370" t="s">
        <v>48</v>
      </c>
      <c r="AP3" s="370" t="s">
        <v>49</v>
      </c>
      <c r="AQ3" s="370" t="s">
        <v>50</v>
      </c>
      <c r="AR3" s="370" t="s">
        <v>32</v>
      </c>
      <c r="AS3" s="370" t="s">
        <v>46</v>
      </c>
      <c r="AT3" s="370" t="s">
        <v>48</v>
      </c>
      <c r="AU3" s="370" t="s">
        <v>49</v>
      </c>
      <c r="AV3" s="370" t="s">
        <v>50</v>
      </c>
      <c r="AW3" s="370" t="s">
        <v>32</v>
      </c>
      <c r="AX3" s="370" t="s">
        <v>46</v>
      </c>
      <c r="AY3" s="370" t="s">
        <v>48</v>
      </c>
      <c r="AZ3" s="370" t="s">
        <v>49</v>
      </c>
      <c r="BA3" s="370" t="s">
        <v>50</v>
      </c>
      <c r="BB3" s="370" t="s">
        <v>32</v>
      </c>
      <c r="BC3" s="370" t="s">
        <v>46</v>
      </c>
      <c r="BD3" s="370" t="s">
        <v>48</v>
      </c>
      <c r="BE3" s="370" t="s">
        <v>49</v>
      </c>
      <c r="BF3" s="370" t="s">
        <v>50</v>
      </c>
      <c r="BG3" s="370" t="s">
        <v>32</v>
      </c>
      <c r="BH3" s="370" t="s">
        <v>46</v>
      </c>
      <c r="BI3" s="370" t="s">
        <v>48</v>
      </c>
      <c r="BJ3" s="370" t="s">
        <v>49</v>
      </c>
      <c r="BK3" s="370" t="s">
        <v>50</v>
      </c>
      <c r="BL3" s="370" t="s">
        <v>32</v>
      </c>
      <c r="BM3" s="370" t="s">
        <v>46</v>
      </c>
      <c r="BN3" s="370" t="s">
        <v>48</v>
      </c>
      <c r="BO3" s="370" t="s">
        <v>49</v>
      </c>
      <c r="BP3" s="370" t="s">
        <v>50</v>
      </c>
      <c r="BQ3" s="370" t="s">
        <v>32</v>
      </c>
      <c r="BR3" s="370" t="s">
        <v>46</v>
      </c>
      <c r="BS3" s="370" t="s">
        <v>48</v>
      </c>
      <c r="BT3" s="370" t="s">
        <v>49</v>
      </c>
      <c r="BU3" s="370" t="s">
        <v>50</v>
      </c>
      <c r="BV3" s="370" t="s">
        <v>32</v>
      </c>
      <c r="BW3" s="370" t="s">
        <v>46</v>
      </c>
      <c r="BX3" s="370" t="s">
        <v>48</v>
      </c>
      <c r="BY3" s="370" t="s">
        <v>49</v>
      </c>
      <c r="BZ3" s="370" t="s">
        <v>50</v>
      </c>
      <c r="CA3" s="370" t="s">
        <v>32</v>
      </c>
      <c r="CB3" s="370" t="s">
        <v>46</v>
      </c>
      <c r="CC3" s="370" t="s">
        <v>48</v>
      </c>
      <c r="CD3" s="370" t="s">
        <v>49</v>
      </c>
      <c r="CE3" s="370" t="s">
        <v>50</v>
      </c>
      <c r="CF3" s="370" t="s">
        <v>32</v>
      </c>
      <c r="CG3" s="370" t="s">
        <v>46</v>
      </c>
      <c r="CH3" s="370" t="s">
        <v>48</v>
      </c>
      <c r="CI3" s="370" t="s">
        <v>49</v>
      </c>
      <c r="CJ3" s="370" t="s">
        <v>50</v>
      </c>
      <c r="CK3" s="370" t="s">
        <v>32</v>
      </c>
      <c r="CL3" s="370" t="s">
        <v>46</v>
      </c>
      <c r="CM3" s="370" t="s">
        <v>48</v>
      </c>
      <c r="CN3" s="370" t="s">
        <v>49</v>
      </c>
      <c r="CO3" s="370" t="s">
        <v>50</v>
      </c>
      <c r="CP3" s="370" t="s">
        <v>32</v>
      </c>
      <c r="CQ3" s="370" t="s">
        <v>46</v>
      </c>
      <c r="CR3" s="370" t="s">
        <v>48</v>
      </c>
      <c r="CS3" s="370" t="s">
        <v>49</v>
      </c>
      <c r="CT3" s="370" t="s">
        <v>50</v>
      </c>
      <c r="CU3" s="370" t="s">
        <v>32</v>
      </c>
      <c r="CV3" s="370" t="s">
        <v>46</v>
      </c>
      <c r="CW3" s="370" t="s">
        <v>48</v>
      </c>
      <c r="CX3" s="370" t="s">
        <v>49</v>
      </c>
      <c r="CY3" s="370" t="s">
        <v>50</v>
      </c>
      <c r="CZ3" s="370" t="s">
        <v>32</v>
      </c>
      <c r="DA3" s="370" t="s">
        <v>46</v>
      </c>
      <c r="DB3" s="370" t="s">
        <v>48</v>
      </c>
      <c r="DC3" s="370" t="s">
        <v>49</v>
      </c>
      <c r="DD3" s="370" t="s">
        <v>50</v>
      </c>
      <c r="DE3" s="370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 t="shared" ref="E4:E238" si="1">D4-C4+1</f>
        <v>1</v>
      </c>
      <c r="F4" s="100">
        <v>0.0</v>
      </c>
      <c r="G4" s="105">
        <f t="shared" ref="G4:G238" si="2"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 t="shared" ref="K4:K238" si="3">J4/$I$239</f>
        <v>0</v>
      </c>
      <c r="L4" s="110">
        <v>0.0</v>
      </c>
      <c r="M4" s="110">
        <f>L4</f>
        <v>0</v>
      </c>
      <c r="N4" s="115"/>
      <c r="O4" s="203"/>
      <c r="P4" s="371"/>
      <c r="Q4" s="372"/>
      <c r="R4" s="372"/>
      <c r="S4" s="372"/>
      <c r="T4" s="372"/>
      <c r="U4" s="372"/>
      <c r="V4" s="372"/>
      <c r="W4" s="372"/>
      <c r="X4" s="372"/>
      <c r="Y4" s="372"/>
      <c r="Z4" s="372"/>
      <c r="AA4" s="372"/>
      <c r="AB4" s="372"/>
      <c r="AC4" s="372"/>
      <c r="AD4" s="372"/>
      <c r="AE4" s="372"/>
      <c r="AF4" s="372"/>
      <c r="AG4" s="372"/>
      <c r="AH4" s="372"/>
      <c r="AI4" s="203"/>
      <c r="AJ4" s="372"/>
      <c r="AK4" s="372"/>
      <c r="AL4" s="372"/>
      <c r="AM4" s="372"/>
      <c r="AN4" s="372"/>
      <c r="AO4" s="372"/>
      <c r="AP4" s="372"/>
      <c r="AQ4" s="372"/>
      <c r="AR4" s="372"/>
      <c r="AS4" s="203"/>
      <c r="AT4" s="372"/>
      <c r="AU4" s="372"/>
      <c r="AV4" s="372"/>
      <c r="AW4" s="372"/>
      <c r="AX4" s="372"/>
      <c r="AY4" s="372"/>
      <c r="AZ4" s="372"/>
      <c r="BA4" s="372"/>
      <c r="BB4" s="372"/>
      <c r="BC4" s="372"/>
      <c r="BD4" s="372"/>
      <c r="BE4" s="372"/>
      <c r="BF4" s="372"/>
      <c r="BG4" s="372"/>
      <c r="BH4" s="372"/>
      <c r="BI4" s="372"/>
      <c r="BJ4" s="372"/>
      <c r="BK4" s="372"/>
      <c r="BL4" s="372"/>
      <c r="BM4" s="203"/>
      <c r="BN4" s="372"/>
      <c r="BO4" s="372"/>
      <c r="BP4" s="372"/>
      <c r="BQ4" s="372"/>
      <c r="BR4" s="372"/>
      <c r="BS4" s="372"/>
      <c r="BT4" s="372"/>
      <c r="BU4" s="372"/>
      <c r="BV4" s="372"/>
      <c r="BW4" s="372"/>
      <c r="BX4" s="372"/>
      <c r="BY4" s="372"/>
      <c r="BZ4" s="372"/>
      <c r="CA4" s="372"/>
      <c r="CB4" s="203"/>
      <c r="CC4" s="372"/>
      <c r="CD4" s="372"/>
      <c r="CE4" s="372"/>
      <c r="CF4" s="372"/>
      <c r="CG4" s="203"/>
      <c r="CH4" s="372"/>
      <c r="CI4" s="372"/>
      <c r="CJ4" s="372"/>
      <c r="CK4" s="372"/>
      <c r="CL4" s="372"/>
      <c r="CM4" s="372"/>
      <c r="CN4" s="372"/>
      <c r="CO4" s="372"/>
      <c r="CP4" s="372"/>
      <c r="CQ4" s="372"/>
      <c r="CR4" s="372"/>
      <c r="CS4" s="372"/>
      <c r="CT4" s="372"/>
      <c r="CU4" s="372"/>
      <c r="CV4" s="372"/>
      <c r="CW4" s="372"/>
      <c r="CX4" s="372"/>
      <c r="CY4" s="372"/>
      <c r="CZ4" s="372"/>
      <c r="DA4" s="372"/>
      <c r="DB4" s="372"/>
      <c r="DC4" s="372"/>
      <c r="DD4" s="372"/>
      <c r="DE4" s="372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 t="shared" si="1"/>
        <v>7</v>
      </c>
      <c r="F5" s="131">
        <f>F6+F10+F23</f>
        <v>58</v>
      </c>
      <c r="G5" s="105">
        <f t="shared" si="2"/>
        <v>0.04995693368</v>
      </c>
      <c r="H5" s="135">
        <f>H28</f>
        <v>0.04995693368</v>
      </c>
      <c r="I5" s="137">
        <f>I6+I10+I23</f>
        <v>46</v>
      </c>
      <c r="J5" s="137">
        <f>J28</f>
        <v>46</v>
      </c>
      <c r="K5" s="138">
        <f t="shared" si="3"/>
        <v>0.04042179262</v>
      </c>
      <c r="L5" s="137">
        <f>L6+L10+L23</f>
        <v>20.24</v>
      </c>
      <c r="M5" s="137">
        <f>M28</f>
        <v>20.24</v>
      </c>
      <c r="N5" s="138" t="str">
        <f>M5/#REF!</f>
        <v>#REF!</v>
      </c>
      <c r="O5" s="203"/>
      <c r="P5" s="373"/>
      <c r="Q5" s="374"/>
      <c r="R5" s="375"/>
      <c r="S5" s="376"/>
      <c r="T5" s="377"/>
      <c r="U5" s="377"/>
      <c r="V5" s="377"/>
      <c r="W5" s="375"/>
      <c r="X5" s="374"/>
      <c r="Y5" s="377"/>
      <c r="Z5" s="377"/>
      <c r="AA5" s="377"/>
      <c r="AB5" s="375"/>
      <c r="AC5" s="374"/>
      <c r="AD5" s="375"/>
      <c r="AE5" s="377"/>
      <c r="AF5" s="377"/>
      <c r="AG5" s="375"/>
      <c r="AH5" s="372"/>
      <c r="AI5" s="203"/>
      <c r="AJ5" s="377"/>
      <c r="AK5" s="377"/>
      <c r="AL5" s="375"/>
      <c r="AM5" s="376"/>
      <c r="AN5" s="377"/>
      <c r="AO5" s="377"/>
      <c r="AP5" s="377"/>
      <c r="AQ5" s="375"/>
      <c r="AR5" s="374"/>
      <c r="AS5" s="203"/>
      <c r="AT5" s="377"/>
      <c r="AU5" s="377"/>
      <c r="AV5" s="375"/>
      <c r="AW5" s="376"/>
      <c r="AX5" s="377"/>
      <c r="AY5" s="377"/>
      <c r="AZ5" s="377"/>
      <c r="BA5" s="375"/>
      <c r="BB5" s="374"/>
      <c r="BC5" s="377"/>
      <c r="BD5" s="377"/>
      <c r="BE5" s="377"/>
      <c r="BF5" s="375"/>
      <c r="BG5" s="374"/>
      <c r="BH5" s="375"/>
      <c r="BI5" s="377"/>
      <c r="BJ5" s="377"/>
      <c r="BK5" s="375"/>
      <c r="BL5" s="372"/>
      <c r="BM5" s="203"/>
      <c r="BN5" s="377"/>
      <c r="BO5" s="377"/>
      <c r="BP5" s="375"/>
      <c r="BQ5" s="376"/>
      <c r="BR5" s="377"/>
      <c r="BS5" s="377"/>
      <c r="BT5" s="377"/>
      <c r="BU5" s="375"/>
      <c r="BV5" s="374"/>
      <c r="BW5" s="377"/>
      <c r="BX5" s="377"/>
      <c r="BY5" s="377"/>
      <c r="BZ5" s="375"/>
      <c r="CA5" s="374"/>
      <c r="CB5" s="203"/>
      <c r="CC5" s="377"/>
      <c r="CD5" s="377"/>
      <c r="CE5" s="375"/>
      <c r="CF5" s="376"/>
      <c r="CG5" s="203"/>
      <c r="CH5" s="377"/>
      <c r="CI5" s="377"/>
      <c r="CJ5" s="375"/>
      <c r="CK5" s="376"/>
      <c r="CL5" s="377"/>
      <c r="CM5" s="377"/>
      <c r="CN5" s="377"/>
      <c r="CO5" s="375"/>
      <c r="CP5" s="374"/>
      <c r="CQ5" s="377"/>
      <c r="CR5" s="377"/>
      <c r="CS5" s="377"/>
      <c r="CT5" s="375"/>
      <c r="CU5" s="374"/>
      <c r="CV5" s="375"/>
      <c r="CW5" s="377"/>
      <c r="CX5" s="377"/>
      <c r="CY5" s="375"/>
      <c r="CZ5" s="372"/>
      <c r="DA5" s="375"/>
      <c r="DB5" s="377"/>
      <c r="DC5" s="377"/>
      <c r="DD5" s="375"/>
      <c r="DE5" s="372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 t="shared" si="1"/>
        <v>3</v>
      </c>
      <c r="F6" s="161">
        <f>SUM(F7:F9)</f>
        <v>8</v>
      </c>
      <c r="G6" s="105">
        <f t="shared" si="2"/>
        <v>0.006890611542</v>
      </c>
      <c r="H6" s="163">
        <f>H9</f>
        <v>0.006890611542</v>
      </c>
      <c r="I6" s="165">
        <f>SUM(I7:I9)</f>
        <v>11</v>
      </c>
      <c r="J6" s="165">
        <f>J9</f>
        <v>11</v>
      </c>
      <c r="K6" s="167">
        <f t="shared" si="3"/>
        <v>0.009666080844</v>
      </c>
      <c r="L6" s="165">
        <f>SUM(L7:L9)</f>
        <v>4.84</v>
      </c>
      <c r="M6" s="165">
        <f>M9</f>
        <v>4.84</v>
      </c>
      <c r="N6" s="167" t="str">
        <f>SUM(N7)</f>
        <v>#REF!</v>
      </c>
      <c r="O6" s="203"/>
      <c r="P6" s="373"/>
      <c r="Q6" s="374"/>
      <c r="R6" s="375"/>
      <c r="S6" s="376"/>
      <c r="T6" s="377"/>
      <c r="U6" s="377"/>
      <c r="V6" s="377"/>
      <c r="W6" s="375"/>
      <c r="X6" s="374"/>
      <c r="Y6" s="203"/>
      <c r="Z6" s="377"/>
      <c r="AA6" s="377"/>
      <c r="AB6" s="375"/>
      <c r="AC6" s="374"/>
      <c r="AD6" s="375"/>
      <c r="AE6" s="377"/>
      <c r="AF6" s="377"/>
      <c r="AG6" s="375"/>
      <c r="AH6" s="372"/>
      <c r="AI6" s="203"/>
      <c r="AJ6" s="377"/>
      <c r="AK6" s="377"/>
      <c r="AL6" s="375"/>
      <c r="AM6" s="376"/>
      <c r="AN6" s="377"/>
      <c r="AO6" s="377"/>
      <c r="AP6" s="377"/>
      <c r="AQ6" s="375"/>
      <c r="AR6" s="374"/>
      <c r="AS6" s="203"/>
      <c r="AT6" s="377"/>
      <c r="AU6" s="377"/>
      <c r="AV6" s="375"/>
      <c r="AW6" s="376"/>
      <c r="AX6" s="377"/>
      <c r="AY6" s="377"/>
      <c r="AZ6" s="377"/>
      <c r="BA6" s="375"/>
      <c r="BB6" s="374"/>
      <c r="BC6" s="377"/>
      <c r="BD6" s="377"/>
      <c r="BE6" s="377"/>
      <c r="BF6" s="375"/>
      <c r="BG6" s="374"/>
      <c r="BH6" s="375"/>
      <c r="BI6" s="377"/>
      <c r="BJ6" s="377"/>
      <c r="BK6" s="375"/>
      <c r="BL6" s="372"/>
      <c r="BM6" s="203"/>
      <c r="BN6" s="377"/>
      <c r="BO6" s="377"/>
      <c r="BP6" s="375"/>
      <c r="BQ6" s="376"/>
      <c r="BR6" s="377"/>
      <c r="BS6" s="377"/>
      <c r="BT6" s="377"/>
      <c r="BU6" s="375"/>
      <c r="BV6" s="374"/>
      <c r="BW6" s="377"/>
      <c r="BX6" s="377"/>
      <c r="BY6" s="377"/>
      <c r="BZ6" s="375"/>
      <c r="CA6" s="374"/>
      <c r="CB6" s="203"/>
      <c r="CC6" s="377"/>
      <c r="CD6" s="377"/>
      <c r="CE6" s="375"/>
      <c r="CF6" s="376"/>
      <c r="CG6" s="203"/>
      <c r="CH6" s="377"/>
      <c r="CI6" s="377"/>
      <c r="CJ6" s="375"/>
      <c r="CK6" s="376"/>
      <c r="CL6" s="377"/>
      <c r="CM6" s="377"/>
      <c r="CN6" s="377"/>
      <c r="CO6" s="375"/>
      <c r="CP6" s="374"/>
      <c r="CQ6" s="377"/>
      <c r="CR6" s="377"/>
      <c r="CS6" s="377"/>
      <c r="CT6" s="375"/>
      <c r="CU6" s="374"/>
      <c r="CV6" s="375"/>
      <c r="CW6" s="377"/>
      <c r="CX6" s="377"/>
      <c r="CY6" s="375"/>
      <c r="CZ6" s="372"/>
      <c r="DA6" s="375"/>
      <c r="DB6" s="377"/>
      <c r="DC6" s="377"/>
      <c r="DD6" s="375"/>
      <c r="DE6" s="372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 t="shared" si="1"/>
        <v>2</v>
      </c>
      <c r="F7" s="185">
        <v>1.0</v>
      </c>
      <c r="G7" s="105">
        <f t="shared" si="2"/>
        <v>0.0008613264427</v>
      </c>
      <c r="H7" s="186">
        <f>H4+G7</f>
        <v>0.0008613264427</v>
      </c>
      <c r="I7" s="187">
        <f t="shared" ref="I7:I9" si="4">P7+U7+Z7+AE7+AJ7+AO7+AT7+AY7+BD7+BI7+BN7+BS7+BX7+CC7+CH7+CM7+CR7+CW7+DB7</f>
        <v>0</v>
      </c>
      <c r="J7" s="187">
        <f>J4+I7</f>
        <v>0</v>
      </c>
      <c r="K7" s="115">
        <f t="shared" si="3"/>
        <v>0</v>
      </c>
      <c r="L7" s="336">
        <f t="shared" ref="L7:L9" si="5">S7+X7+AC7+AH7+AM7+AR7+AW7+BB7+BG7+BL7+BQ7+BV7+CA7+CF7+CK7+CP7+CU7+CZ7+DE7</f>
        <v>0</v>
      </c>
      <c r="M7" s="191">
        <f>M4+L7</f>
        <v>0</v>
      </c>
      <c r="N7" s="47" t="str">
        <f t="shared" ref="N7:N86" si="6">M7/#REF!</f>
        <v>#REF!</v>
      </c>
      <c r="O7" s="203">
        <f t="shared" ref="O7:O238" si="7">P7/$F7</f>
        <v>0</v>
      </c>
      <c r="P7" s="378">
        <v>0.0</v>
      </c>
      <c r="Q7" s="372"/>
      <c r="R7" s="372">
        <f>Roles!$D$5</f>
        <v>0.44</v>
      </c>
      <c r="S7" s="372">
        <f t="shared" ref="S7:S238" si="8">P7*R7</f>
        <v>0</v>
      </c>
      <c r="T7" s="203">
        <f t="shared" ref="T7:T238" si="9">U7/$F7</f>
        <v>0</v>
      </c>
      <c r="U7" s="372"/>
      <c r="V7" s="372"/>
      <c r="W7" s="372">
        <f>Roles!$D$7</f>
        <v>0.12</v>
      </c>
      <c r="X7" s="372"/>
      <c r="Y7" s="203">
        <f t="shared" ref="Y7:Y238" si="10">Z7/$F7</f>
        <v>0</v>
      </c>
      <c r="Z7" s="372"/>
      <c r="AA7" s="372"/>
      <c r="AB7" s="372">
        <f>Roles!$D$7</f>
        <v>0.12</v>
      </c>
      <c r="AC7" s="372"/>
      <c r="AD7" s="203">
        <f t="shared" ref="AD7:AD238" si="11">AE7/$F7</f>
        <v>0</v>
      </c>
      <c r="AE7" s="372"/>
      <c r="AF7" s="372"/>
      <c r="AG7" s="372">
        <f>Roles!$D$7</f>
        <v>0.12</v>
      </c>
      <c r="AH7" s="372"/>
      <c r="AI7" s="203">
        <f t="shared" ref="AI7:AI238" si="12">AJ7/$F7</f>
        <v>0</v>
      </c>
      <c r="AJ7" s="372"/>
      <c r="AK7" s="372"/>
      <c r="AL7" s="372">
        <f>Roles!$D$7</f>
        <v>0.12</v>
      </c>
      <c r="AM7" s="372"/>
      <c r="AN7" s="203">
        <f t="shared" ref="AN7:AN238" si="13">AO7/$F7</f>
        <v>0</v>
      </c>
      <c r="AO7" s="372"/>
      <c r="AP7" s="372"/>
      <c r="AQ7" s="372">
        <f>Roles!$D$7</f>
        <v>0.12</v>
      </c>
      <c r="AR7" s="372"/>
      <c r="AS7" s="203">
        <f t="shared" ref="AS7:AS238" si="14">AT7/$F7</f>
        <v>0</v>
      </c>
      <c r="AT7" s="372"/>
      <c r="AU7" s="372"/>
      <c r="AV7" s="372">
        <f>Roles!$D$7</f>
        <v>0.12</v>
      </c>
      <c r="AW7" s="372"/>
      <c r="AX7" s="203">
        <f t="shared" ref="AX7:AX238" si="15">AY7/$F7</f>
        <v>0</v>
      </c>
      <c r="AY7" s="372"/>
      <c r="AZ7" s="372"/>
      <c r="BA7" s="372">
        <f>Roles!$D$7</f>
        <v>0.12</v>
      </c>
      <c r="BB7" s="372"/>
      <c r="BC7" s="203">
        <f t="shared" ref="BC7:BC238" si="16">BD7/$F7</f>
        <v>0</v>
      </c>
      <c r="BD7" s="372"/>
      <c r="BE7" s="372"/>
      <c r="BF7" s="372">
        <f>Roles!$D$7</f>
        <v>0.12</v>
      </c>
      <c r="BG7" s="372"/>
      <c r="BH7" s="203">
        <f t="shared" ref="BH7:BH238" si="17">BI7/$F7</f>
        <v>0</v>
      </c>
      <c r="BI7" s="372"/>
      <c r="BJ7" s="372"/>
      <c r="BK7" s="372">
        <f>Roles!$D$7</f>
        <v>0.12</v>
      </c>
      <c r="BL7" s="372"/>
      <c r="BM7" s="203">
        <f t="shared" ref="BM7:BM238" si="18">BN7/$F7</f>
        <v>0</v>
      </c>
      <c r="BN7" s="372"/>
      <c r="BO7" s="372"/>
      <c r="BP7" s="372">
        <f>Roles!$D$7</f>
        <v>0.12</v>
      </c>
      <c r="BQ7" s="372"/>
      <c r="BR7" s="203">
        <f t="shared" ref="BR7:BR238" si="19">BS7/$F7</f>
        <v>0</v>
      </c>
      <c r="BS7" s="372"/>
      <c r="BT7" s="372"/>
      <c r="BU7" s="372">
        <f>Roles!$D$7</f>
        <v>0.12</v>
      </c>
      <c r="BV7" s="372"/>
      <c r="BW7" s="203">
        <f t="shared" ref="BW7:BW238" si="20">BX7/$F7</f>
        <v>0</v>
      </c>
      <c r="BX7" s="372"/>
      <c r="BY7" s="372"/>
      <c r="BZ7" s="372">
        <f>Roles!$D$7</f>
        <v>0.12</v>
      </c>
      <c r="CA7" s="372"/>
      <c r="CB7" s="203">
        <f t="shared" ref="CB7:CB238" si="21">CC7/$F7</f>
        <v>0</v>
      </c>
      <c r="CC7" s="372"/>
      <c r="CD7" s="372"/>
      <c r="CE7" s="372">
        <f>Roles!$D$7</f>
        <v>0.12</v>
      </c>
      <c r="CF7" s="372"/>
      <c r="CG7" s="203">
        <f t="shared" ref="CG7:CG238" si="22">CH7/$F7</f>
        <v>0</v>
      </c>
      <c r="CH7" s="372"/>
      <c r="CI7" s="372"/>
      <c r="CJ7" s="372">
        <f>Roles!$D$7</f>
        <v>0.12</v>
      </c>
      <c r="CK7" s="372"/>
      <c r="CL7" s="203">
        <f t="shared" ref="CL7:CL238" si="23">CM7/$F7</f>
        <v>0</v>
      </c>
      <c r="CM7" s="372"/>
      <c r="CN7" s="372"/>
      <c r="CO7" s="372">
        <f>Roles!$D$7</f>
        <v>0.12</v>
      </c>
      <c r="CP7" s="372"/>
      <c r="CQ7" s="203">
        <f t="shared" ref="CQ7:CQ238" si="24">CR7/$F7</f>
        <v>0</v>
      </c>
      <c r="CR7" s="372"/>
      <c r="CS7" s="372"/>
      <c r="CT7" s="372">
        <f>Roles!$D$7</f>
        <v>0.12</v>
      </c>
      <c r="CU7" s="372"/>
      <c r="CV7" s="203">
        <f t="shared" ref="CV7:CV238" si="25">CW7/$F7</f>
        <v>0</v>
      </c>
      <c r="CW7" s="372"/>
      <c r="CX7" s="372"/>
      <c r="CY7" s="372">
        <f>Roles!$D$7</f>
        <v>0.12</v>
      </c>
      <c r="CZ7" s="372"/>
      <c r="DA7" s="203">
        <f t="shared" ref="DA7:DA238" si="26">DB7/$F7</f>
        <v>0</v>
      </c>
      <c r="DB7" s="372"/>
      <c r="DC7" s="372"/>
      <c r="DD7" s="372">
        <f>Roles!$D$7</f>
        <v>0.12</v>
      </c>
      <c r="DE7" s="372"/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 t="shared" si="1"/>
        <v>2</v>
      </c>
      <c r="F8" s="80">
        <v>4.0</v>
      </c>
      <c r="G8" s="105">
        <f t="shared" si="2"/>
        <v>0.003445305771</v>
      </c>
      <c r="H8" s="47">
        <f t="shared" ref="H8:H9" si="27">H7+G8</f>
        <v>0.004306632214</v>
      </c>
      <c r="I8" s="187">
        <f t="shared" si="4"/>
        <v>8</v>
      </c>
      <c r="J8" s="172">
        <f t="shared" ref="J8:J9" si="28">J7+I8</f>
        <v>8</v>
      </c>
      <c r="K8" s="115">
        <f t="shared" si="3"/>
        <v>0.007029876977</v>
      </c>
      <c r="L8" s="336">
        <f t="shared" si="5"/>
        <v>3.52</v>
      </c>
      <c r="M8" s="172">
        <f t="shared" ref="M8:M9" si="29">M7+L8</f>
        <v>3.52</v>
      </c>
      <c r="N8" s="167" t="str">
        <f t="shared" si="6"/>
        <v>#REF!</v>
      </c>
      <c r="O8" s="203">
        <f t="shared" si="7"/>
        <v>2</v>
      </c>
      <c r="P8" s="378">
        <v>8.0</v>
      </c>
      <c r="Q8" s="372"/>
      <c r="R8" s="372">
        <f>Roles!$D$5</f>
        <v>0.44</v>
      </c>
      <c r="S8" s="372">
        <f t="shared" si="8"/>
        <v>3.52</v>
      </c>
      <c r="T8" s="203">
        <f t="shared" si="9"/>
        <v>0</v>
      </c>
      <c r="U8" s="372"/>
      <c r="V8" s="372"/>
      <c r="W8" s="372">
        <f>Roles!$D$7</f>
        <v>0.12</v>
      </c>
      <c r="X8" s="372"/>
      <c r="Y8" s="203">
        <f t="shared" si="10"/>
        <v>0</v>
      </c>
      <c r="Z8" s="372"/>
      <c r="AA8" s="372"/>
      <c r="AB8" s="372">
        <f>Roles!$D$7</f>
        <v>0.12</v>
      </c>
      <c r="AC8" s="372"/>
      <c r="AD8" s="203">
        <f t="shared" si="11"/>
        <v>0</v>
      </c>
      <c r="AE8" s="372"/>
      <c r="AF8" s="372"/>
      <c r="AG8" s="372">
        <f>Roles!$D$7</f>
        <v>0.12</v>
      </c>
      <c r="AH8" s="372"/>
      <c r="AI8" s="203">
        <f t="shared" si="12"/>
        <v>0</v>
      </c>
      <c r="AJ8" s="372"/>
      <c r="AK8" s="372"/>
      <c r="AL8" s="372">
        <f>Roles!$D$7</f>
        <v>0.12</v>
      </c>
      <c r="AM8" s="372"/>
      <c r="AN8" s="203">
        <f t="shared" si="13"/>
        <v>0</v>
      </c>
      <c r="AO8" s="372"/>
      <c r="AP8" s="372"/>
      <c r="AQ8" s="372">
        <f>Roles!$D$7</f>
        <v>0.12</v>
      </c>
      <c r="AR8" s="372"/>
      <c r="AS8" s="203">
        <f t="shared" si="14"/>
        <v>0</v>
      </c>
      <c r="AT8" s="372"/>
      <c r="AU8" s="372"/>
      <c r="AV8" s="372">
        <f>Roles!$D$7</f>
        <v>0.12</v>
      </c>
      <c r="AW8" s="372"/>
      <c r="AX8" s="203">
        <f t="shared" si="15"/>
        <v>0</v>
      </c>
      <c r="AY8" s="372"/>
      <c r="AZ8" s="372"/>
      <c r="BA8" s="372">
        <f>Roles!$D$7</f>
        <v>0.12</v>
      </c>
      <c r="BB8" s="372"/>
      <c r="BC8" s="203">
        <f t="shared" si="16"/>
        <v>0</v>
      </c>
      <c r="BD8" s="372"/>
      <c r="BE8" s="372"/>
      <c r="BF8" s="372">
        <f>Roles!$D$7</f>
        <v>0.12</v>
      </c>
      <c r="BG8" s="372"/>
      <c r="BH8" s="203">
        <f t="shared" si="17"/>
        <v>0</v>
      </c>
      <c r="BI8" s="372"/>
      <c r="BJ8" s="372"/>
      <c r="BK8" s="372">
        <f>Roles!$D$7</f>
        <v>0.12</v>
      </c>
      <c r="BL8" s="372"/>
      <c r="BM8" s="203">
        <f t="shared" si="18"/>
        <v>0</v>
      </c>
      <c r="BN8" s="372"/>
      <c r="BO8" s="372"/>
      <c r="BP8" s="372">
        <f>Roles!$D$7</f>
        <v>0.12</v>
      </c>
      <c r="BQ8" s="372"/>
      <c r="BR8" s="203">
        <f t="shared" si="19"/>
        <v>0</v>
      </c>
      <c r="BS8" s="372"/>
      <c r="BT8" s="372"/>
      <c r="BU8" s="372">
        <f>Roles!$D$7</f>
        <v>0.12</v>
      </c>
      <c r="BV8" s="372"/>
      <c r="BW8" s="203">
        <f t="shared" si="20"/>
        <v>0</v>
      </c>
      <c r="BX8" s="372"/>
      <c r="BY8" s="372"/>
      <c r="BZ8" s="372">
        <f>Roles!$D$7</f>
        <v>0.12</v>
      </c>
      <c r="CA8" s="372"/>
      <c r="CB8" s="203">
        <f t="shared" si="21"/>
        <v>0</v>
      </c>
      <c r="CC8" s="372"/>
      <c r="CD8" s="372"/>
      <c r="CE8" s="372">
        <f>Roles!$D$7</f>
        <v>0.12</v>
      </c>
      <c r="CF8" s="372"/>
      <c r="CG8" s="203">
        <f t="shared" si="22"/>
        <v>0</v>
      </c>
      <c r="CH8" s="372"/>
      <c r="CI8" s="372"/>
      <c r="CJ8" s="372">
        <f>Roles!$D$7</f>
        <v>0.12</v>
      </c>
      <c r="CK8" s="372"/>
      <c r="CL8" s="203">
        <f t="shared" si="23"/>
        <v>0</v>
      </c>
      <c r="CM8" s="372"/>
      <c r="CN8" s="372"/>
      <c r="CO8" s="372">
        <f>Roles!$D$7</f>
        <v>0.12</v>
      </c>
      <c r="CP8" s="372"/>
      <c r="CQ8" s="203">
        <f t="shared" si="24"/>
        <v>0</v>
      </c>
      <c r="CR8" s="372"/>
      <c r="CS8" s="372"/>
      <c r="CT8" s="372">
        <f>Roles!$D$7</f>
        <v>0.12</v>
      </c>
      <c r="CU8" s="372"/>
      <c r="CV8" s="203">
        <f t="shared" si="25"/>
        <v>0</v>
      </c>
      <c r="CW8" s="372"/>
      <c r="CX8" s="372"/>
      <c r="CY8" s="372">
        <f>Roles!$D$7</f>
        <v>0.12</v>
      </c>
      <c r="CZ8" s="372"/>
      <c r="DA8" s="203">
        <f t="shared" si="26"/>
        <v>0</v>
      </c>
      <c r="DB8" s="372"/>
      <c r="DC8" s="372"/>
      <c r="DD8" s="372">
        <f>Roles!$D$7</f>
        <v>0.12</v>
      </c>
      <c r="DE8" s="372"/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 t="shared" si="1"/>
        <v>2</v>
      </c>
      <c r="F9" s="80">
        <v>3.0</v>
      </c>
      <c r="G9" s="105">
        <f t="shared" si="2"/>
        <v>0.002583979328</v>
      </c>
      <c r="H9" s="47">
        <f t="shared" si="27"/>
        <v>0.006890611542</v>
      </c>
      <c r="I9" s="187">
        <f t="shared" si="4"/>
        <v>3</v>
      </c>
      <c r="J9" s="172">
        <f t="shared" si="28"/>
        <v>11</v>
      </c>
      <c r="K9" s="115">
        <f t="shared" si="3"/>
        <v>0.009666080844</v>
      </c>
      <c r="L9" s="336">
        <f t="shared" si="5"/>
        <v>1.32</v>
      </c>
      <c r="M9" s="172">
        <f t="shared" si="29"/>
        <v>4.84</v>
      </c>
      <c r="N9" s="47" t="str">
        <f t="shared" si="6"/>
        <v>#REF!</v>
      </c>
      <c r="O9" s="203">
        <f t="shared" si="7"/>
        <v>1</v>
      </c>
      <c r="P9" s="378">
        <v>3.0</v>
      </c>
      <c r="Q9" s="372"/>
      <c r="R9" s="372">
        <f>Roles!$D$5</f>
        <v>0.44</v>
      </c>
      <c r="S9" s="372">
        <f t="shared" si="8"/>
        <v>1.32</v>
      </c>
      <c r="T9" s="203">
        <f t="shared" si="9"/>
        <v>0</v>
      </c>
      <c r="U9" s="372"/>
      <c r="V9" s="372"/>
      <c r="W9" s="372">
        <f>Roles!$D$7</f>
        <v>0.12</v>
      </c>
      <c r="X9" s="372"/>
      <c r="Y9" s="203">
        <f t="shared" si="10"/>
        <v>0</v>
      </c>
      <c r="Z9" s="372"/>
      <c r="AA9" s="372"/>
      <c r="AB9" s="372">
        <f>Roles!$D$7</f>
        <v>0.12</v>
      </c>
      <c r="AC9" s="372"/>
      <c r="AD9" s="203">
        <f t="shared" si="11"/>
        <v>0</v>
      </c>
      <c r="AE9" s="372"/>
      <c r="AF9" s="372"/>
      <c r="AG9" s="372">
        <f>Roles!$D$7</f>
        <v>0.12</v>
      </c>
      <c r="AH9" s="372"/>
      <c r="AI9" s="203">
        <f t="shared" si="12"/>
        <v>0</v>
      </c>
      <c r="AJ9" s="372"/>
      <c r="AK9" s="372"/>
      <c r="AL9" s="372">
        <f>Roles!$D$7</f>
        <v>0.12</v>
      </c>
      <c r="AM9" s="372"/>
      <c r="AN9" s="203">
        <f t="shared" si="13"/>
        <v>0</v>
      </c>
      <c r="AO9" s="372"/>
      <c r="AP9" s="372"/>
      <c r="AQ9" s="372">
        <f>Roles!$D$7</f>
        <v>0.12</v>
      </c>
      <c r="AR9" s="372"/>
      <c r="AS9" s="203">
        <f t="shared" si="14"/>
        <v>0</v>
      </c>
      <c r="AT9" s="372"/>
      <c r="AU9" s="372"/>
      <c r="AV9" s="372">
        <f>Roles!$D$7</f>
        <v>0.12</v>
      </c>
      <c r="AW9" s="372"/>
      <c r="AX9" s="203">
        <f t="shared" si="15"/>
        <v>0</v>
      </c>
      <c r="AY9" s="372"/>
      <c r="AZ9" s="372"/>
      <c r="BA9" s="372">
        <f>Roles!$D$7</f>
        <v>0.12</v>
      </c>
      <c r="BB9" s="372"/>
      <c r="BC9" s="203">
        <f t="shared" si="16"/>
        <v>0</v>
      </c>
      <c r="BD9" s="372"/>
      <c r="BE9" s="372"/>
      <c r="BF9" s="372">
        <f>Roles!$D$7</f>
        <v>0.12</v>
      </c>
      <c r="BG9" s="372"/>
      <c r="BH9" s="203">
        <f t="shared" si="17"/>
        <v>0</v>
      </c>
      <c r="BI9" s="372"/>
      <c r="BJ9" s="372"/>
      <c r="BK9" s="372">
        <f>Roles!$D$7</f>
        <v>0.12</v>
      </c>
      <c r="BL9" s="372"/>
      <c r="BM9" s="203">
        <f t="shared" si="18"/>
        <v>0</v>
      </c>
      <c r="BN9" s="372"/>
      <c r="BO9" s="372"/>
      <c r="BP9" s="372">
        <f>Roles!$D$7</f>
        <v>0.12</v>
      </c>
      <c r="BQ9" s="372"/>
      <c r="BR9" s="203">
        <f t="shared" si="19"/>
        <v>0</v>
      </c>
      <c r="BS9" s="372"/>
      <c r="BT9" s="372"/>
      <c r="BU9" s="372">
        <f>Roles!$D$7</f>
        <v>0.12</v>
      </c>
      <c r="BV9" s="372"/>
      <c r="BW9" s="203">
        <f t="shared" si="20"/>
        <v>0</v>
      </c>
      <c r="BX9" s="372"/>
      <c r="BY9" s="372"/>
      <c r="BZ9" s="372">
        <f>Roles!$D$7</f>
        <v>0.12</v>
      </c>
      <c r="CA9" s="372"/>
      <c r="CB9" s="203">
        <f t="shared" si="21"/>
        <v>0</v>
      </c>
      <c r="CC9" s="372"/>
      <c r="CD9" s="372"/>
      <c r="CE9" s="372">
        <f>Roles!$D$7</f>
        <v>0.12</v>
      </c>
      <c r="CF9" s="372"/>
      <c r="CG9" s="203">
        <f t="shared" si="22"/>
        <v>0</v>
      </c>
      <c r="CH9" s="372"/>
      <c r="CI9" s="372"/>
      <c r="CJ9" s="372">
        <f>Roles!$D$7</f>
        <v>0.12</v>
      </c>
      <c r="CK9" s="372"/>
      <c r="CL9" s="203">
        <f t="shared" si="23"/>
        <v>0</v>
      </c>
      <c r="CM9" s="372"/>
      <c r="CN9" s="372"/>
      <c r="CO9" s="372">
        <f>Roles!$D$7</f>
        <v>0.12</v>
      </c>
      <c r="CP9" s="372"/>
      <c r="CQ9" s="203">
        <f t="shared" si="24"/>
        <v>0</v>
      </c>
      <c r="CR9" s="372"/>
      <c r="CS9" s="372"/>
      <c r="CT9" s="372">
        <f>Roles!$D$7</f>
        <v>0.12</v>
      </c>
      <c r="CU9" s="372"/>
      <c r="CV9" s="203">
        <f t="shared" si="25"/>
        <v>0</v>
      </c>
      <c r="CW9" s="372"/>
      <c r="CX9" s="372"/>
      <c r="CY9" s="372">
        <f>Roles!$D$7</f>
        <v>0.12</v>
      </c>
      <c r="CZ9" s="372"/>
      <c r="DA9" s="203">
        <f t="shared" si="26"/>
        <v>0</v>
      </c>
      <c r="DB9" s="372"/>
      <c r="DC9" s="372"/>
      <c r="DD9" s="372">
        <f>Roles!$D$7</f>
        <v>0.12</v>
      </c>
      <c r="DE9" s="372"/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 t="shared" si="1"/>
        <v>5</v>
      </c>
      <c r="F10" s="161">
        <f>SUM(F11:F22)</f>
        <v>30</v>
      </c>
      <c r="G10" s="105">
        <f t="shared" si="2"/>
        <v>0.02583979328</v>
      </c>
      <c r="H10" s="163">
        <f>H22</f>
        <v>0.03273040482</v>
      </c>
      <c r="I10" s="213">
        <f>SUM(I11:I22)</f>
        <v>27</v>
      </c>
      <c r="J10" s="213">
        <f>J22</f>
        <v>38</v>
      </c>
      <c r="K10" s="167">
        <f t="shared" si="3"/>
        <v>0.03339191564</v>
      </c>
      <c r="L10" s="215">
        <f>SUM(L11:L22)</f>
        <v>11.88</v>
      </c>
      <c r="M10" s="215">
        <f>M22</f>
        <v>16.72</v>
      </c>
      <c r="N10" s="226" t="str">
        <f t="shared" si="6"/>
        <v>#REF!</v>
      </c>
      <c r="O10" s="203">
        <f t="shared" si="7"/>
        <v>0</v>
      </c>
      <c r="P10" s="372"/>
      <c r="Q10" s="372"/>
      <c r="R10" s="372">
        <f>Roles!$D$5</f>
        <v>0.44</v>
      </c>
      <c r="S10" s="372">
        <f t="shared" si="8"/>
        <v>0</v>
      </c>
      <c r="T10" s="203">
        <f t="shared" si="9"/>
        <v>0</v>
      </c>
      <c r="U10" s="372"/>
      <c r="V10" s="372"/>
      <c r="W10" s="372">
        <f>Roles!$D$7</f>
        <v>0.12</v>
      </c>
      <c r="X10" s="372"/>
      <c r="Y10" s="203">
        <f t="shared" si="10"/>
        <v>0</v>
      </c>
      <c r="Z10" s="372"/>
      <c r="AA10" s="372"/>
      <c r="AB10" s="372">
        <f>Roles!$D$7</f>
        <v>0.12</v>
      </c>
      <c r="AC10" s="372"/>
      <c r="AD10" s="203">
        <f t="shared" si="11"/>
        <v>0</v>
      </c>
      <c r="AE10" s="372"/>
      <c r="AF10" s="372"/>
      <c r="AG10" s="372">
        <f>Roles!$D$7</f>
        <v>0.12</v>
      </c>
      <c r="AH10" s="372"/>
      <c r="AI10" s="203">
        <f t="shared" si="12"/>
        <v>0</v>
      </c>
      <c r="AJ10" s="372"/>
      <c r="AK10" s="372"/>
      <c r="AL10" s="372">
        <f>Roles!$D$7</f>
        <v>0.12</v>
      </c>
      <c r="AM10" s="372"/>
      <c r="AN10" s="203">
        <f t="shared" si="13"/>
        <v>0</v>
      </c>
      <c r="AO10" s="372"/>
      <c r="AP10" s="372"/>
      <c r="AQ10" s="372">
        <f>Roles!$D$7</f>
        <v>0.12</v>
      </c>
      <c r="AR10" s="372"/>
      <c r="AS10" s="203">
        <f t="shared" si="14"/>
        <v>0</v>
      </c>
      <c r="AT10" s="372"/>
      <c r="AU10" s="372"/>
      <c r="AV10" s="372">
        <f>Roles!$D$7</f>
        <v>0.12</v>
      </c>
      <c r="AW10" s="372"/>
      <c r="AX10" s="203">
        <f t="shared" si="15"/>
        <v>0</v>
      </c>
      <c r="AY10" s="372"/>
      <c r="AZ10" s="372"/>
      <c r="BA10" s="372">
        <f>Roles!$D$7</f>
        <v>0.12</v>
      </c>
      <c r="BB10" s="372"/>
      <c r="BC10" s="203">
        <f t="shared" si="16"/>
        <v>0</v>
      </c>
      <c r="BD10" s="372"/>
      <c r="BE10" s="372"/>
      <c r="BF10" s="372">
        <f>Roles!$D$7</f>
        <v>0.12</v>
      </c>
      <c r="BG10" s="372"/>
      <c r="BH10" s="203">
        <f t="shared" si="17"/>
        <v>0</v>
      </c>
      <c r="BI10" s="372"/>
      <c r="BJ10" s="372"/>
      <c r="BK10" s="372">
        <f>Roles!$D$7</f>
        <v>0.12</v>
      </c>
      <c r="BL10" s="372"/>
      <c r="BM10" s="203">
        <f t="shared" si="18"/>
        <v>0</v>
      </c>
      <c r="BN10" s="372"/>
      <c r="BO10" s="372"/>
      <c r="BP10" s="372">
        <f>Roles!$D$7</f>
        <v>0.12</v>
      </c>
      <c r="BQ10" s="372"/>
      <c r="BR10" s="203">
        <f t="shared" si="19"/>
        <v>0</v>
      </c>
      <c r="BS10" s="372"/>
      <c r="BT10" s="372"/>
      <c r="BU10" s="372">
        <f>Roles!$D$7</f>
        <v>0.12</v>
      </c>
      <c r="BV10" s="372"/>
      <c r="BW10" s="203">
        <f t="shared" si="20"/>
        <v>0</v>
      </c>
      <c r="BX10" s="372"/>
      <c r="BY10" s="372"/>
      <c r="BZ10" s="372">
        <f>Roles!$D$7</f>
        <v>0.12</v>
      </c>
      <c r="CA10" s="372"/>
      <c r="CB10" s="203">
        <f t="shared" si="21"/>
        <v>0</v>
      </c>
      <c r="CC10" s="372"/>
      <c r="CD10" s="372"/>
      <c r="CE10" s="372">
        <f>Roles!$D$7</f>
        <v>0.12</v>
      </c>
      <c r="CF10" s="372"/>
      <c r="CG10" s="203">
        <f t="shared" si="22"/>
        <v>0</v>
      </c>
      <c r="CH10" s="372"/>
      <c r="CI10" s="372"/>
      <c r="CJ10" s="372">
        <f>Roles!$D$7</f>
        <v>0.12</v>
      </c>
      <c r="CK10" s="372"/>
      <c r="CL10" s="203">
        <f t="shared" si="23"/>
        <v>0</v>
      </c>
      <c r="CM10" s="372"/>
      <c r="CN10" s="372"/>
      <c r="CO10" s="372">
        <f>Roles!$D$7</f>
        <v>0.12</v>
      </c>
      <c r="CP10" s="372"/>
      <c r="CQ10" s="203">
        <f t="shared" si="24"/>
        <v>0</v>
      </c>
      <c r="CR10" s="372"/>
      <c r="CS10" s="372"/>
      <c r="CT10" s="372">
        <f>Roles!$D$7</f>
        <v>0.12</v>
      </c>
      <c r="CU10" s="372"/>
      <c r="CV10" s="203">
        <f t="shared" si="25"/>
        <v>0</v>
      </c>
      <c r="CW10" s="372"/>
      <c r="CX10" s="372"/>
      <c r="CY10" s="372">
        <f>Roles!$D$7</f>
        <v>0.12</v>
      </c>
      <c r="CZ10" s="372"/>
      <c r="DA10" s="203">
        <f t="shared" si="26"/>
        <v>0</v>
      </c>
      <c r="DB10" s="372"/>
      <c r="DC10" s="372"/>
      <c r="DD10" s="372">
        <f>Roles!$D$7</f>
        <v>0.12</v>
      </c>
      <c r="DE10" s="372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 t="shared" si="1"/>
        <v>1</v>
      </c>
      <c r="F11" s="185">
        <v>1.0</v>
      </c>
      <c r="G11" s="105">
        <f t="shared" si="2"/>
        <v>0.0008613264427</v>
      </c>
      <c r="H11" s="186">
        <f>H9+G11</f>
        <v>0.007751937984</v>
      </c>
      <c r="I11" s="187">
        <f t="shared" ref="I11:I22" si="30">P11+U11+Z11+AE11+AJ11+AO11+AT11+AY11+BD11+BI11+BN11+BS11+BX11+CC11+CH11+CM11+CR11+CW11+DB11</f>
        <v>3</v>
      </c>
      <c r="J11" s="187">
        <f>J9+I11</f>
        <v>14</v>
      </c>
      <c r="K11" s="115">
        <f t="shared" si="3"/>
        <v>0.01230228471</v>
      </c>
      <c r="L11" s="336">
        <f t="shared" ref="L11:L22" si="31">S11+X11+AC11+AH11+AM11+AR11+AW11+BB11+BG11+BL11+BQ11+BV11+CA11+CF11+CK11+CP11+CU11+CZ11+DE11</f>
        <v>1.32</v>
      </c>
      <c r="M11" s="191">
        <f>M9+L11</f>
        <v>6.16</v>
      </c>
      <c r="N11" s="47" t="str">
        <f t="shared" si="6"/>
        <v>#REF!</v>
      </c>
      <c r="O11" s="203">
        <f t="shared" si="7"/>
        <v>3</v>
      </c>
      <c r="P11" s="378">
        <v>3.0</v>
      </c>
      <c r="Q11" s="372"/>
      <c r="R11" s="372">
        <f>Roles!$D$5</f>
        <v>0.44</v>
      </c>
      <c r="S11" s="372">
        <f t="shared" si="8"/>
        <v>1.32</v>
      </c>
      <c r="T11" s="203">
        <f t="shared" si="9"/>
        <v>0</v>
      </c>
      <c r="U11" s="372"/>
      <c r="V11" s="372"/>
      <c r="W11" s="372">
        <f>Roles!$D$7</f>
        <v>0.12</v>
      </c>
      <c r="X11" s="372"/>
      <c r="Y11" s="203">
        <f t="shared" si="10"/>
        <v>0</v>
      </c>
      <c r="Z11" s="372"/>
      <c r="AA11" s="372"/>
      <c r="AB11" s="372">
        <f>Roles!$D$7</f>
        <v>0.12</v>
      </c>
      <c r="AC11" s="372"/>
      <c r="AD11" s="203">
        <f t="shared" si="11"/>
        <v>0</v>
      </c>
      <c r="AE11" s="372"/>
      <c r="AF11" s="372"/>
      <c r="AG11" s="372">
        <f>Roles!$D$7</f>
        <v>0.12</v>
      </c>
      <c r="AH11" s="372"/>
      <c r="AI11" s="203">
        <f t="shared" si="12"/>
        <v>0</v>
      </c>
      <c r="AJ11" s="372"/>
      <c r="AK11" s="372"/>
      <c r="AL11" s="372">
        <f>Roles!$D$7</f>
        <v>0.12</v>
      </c>
      <c r="AM11" s="372"/>
      <c r="AN11" s="203">
        <f t="shared" si="13"/>
        <v>0</v>
      </c>
      <c r="AO11" s="372"/>
      <c r="AP11" s="372"/>
      <c r="AQ11" s="372">
        <f>Roles!$D$7</f>
        <v>0.12</v>
      </c>
      <c r="AR11" s="372"/>
      <c r="AS11" s="203">
        <f t="shared" si="14"/>
        <v>0</v>
      </c>
      <c r="AT11" s="372"/>
      <c r="AU11" s="372"/>
      <c r="AV11" s="372">
        <f>Roles!$D$7</f>
        <v>0.12</v>
      </c>
      <c r="AW11" s="372"/>
      <c r="AX11" s="203">
        <f t="shared" si="15"/>
        <v>0</v>
      </c>
      <c r="AY11" s="372"/>
      <c r="AZ11" s="372"/>
      <c r="BA11" s="372">
        <f>Roles!$D$7</f>
        <v>0.12</v>
      </c>
      <c r="BB11" s="372"/>
      <c r="BC11" s="203">
        <f t="shared" si="16"/>
        <v>0</v>
      </c>
      <c r="BD11" s="372"/>
      <c r="BE11" s="372"/>
      <c r="BF11" s="372">
        <f>Roles!$D$7</f>
        <v>0.12</v>
      </c>
      <c r="BG11" s="372"/>
      <c r="BH11" s="203">
        <f t="shared" si="17"/>
        <v>0</v>
      </c>
      <c r="BI11" s="372"/>
      <c r="BJ11" s="372"/>
      <c r="BK11" s="372">
        <f>Roles!$D$7</f>
        <v>0.12</v>
      </c>
      <c r="BL11" s="372"/>
      <c r="BM11" s="203">
        <f t="shared" si="18"/>
        <v>0</v>
      </c>
      <c r="BN11" s="372"/>
      <c r="BO11" s="372"/>
      <c r="BP11" s="372">
        <f>Roles!$D$7</f>
        <v>0.12</v>
      </c>
      <c r="BQ11" s="372"/>
      <c r="BR11" s="203">
        <f t="shared" si="19"/>
        <v>0</v>
      </c>
      <c r="BS11" s="372"/>
      <c r="BT11" s="372"/>
      <c r="BU11" s="372">
        <f>Roles!$D$7</f>
        <v>0.12</v>
      </c>
      <c r="BV11" s="372"/>
      <c r="BW11" s="203">
        <f t="shared" si="20"/>
        <v>0</v>
      </c>
      <c r="BX11" s="372"/>
      <c r="BY11" s="372"/>
      <c r="BZ11" s="372">
        <f>Roles!$D$7</f>
        <v>0.12</v>
      </c>
      <c r="CA11" s="372"/>
      <c r="CB11" s="203">
        <f t="shared" si="21"/>
        <v>0</v>
      </c>
      <c r="CC11" s="372"/>
      <c r="CD11" s="372"/>
      <c r="CE11" s="372">
        <f>Roles!$D$7</f>
        <v>0.12</v>
      </c>
      <c r="CF11" s="372"/>
      <c r="CG11" s="203">
        <f t="shared" si="22"/>
        <v>0</v>
      </c>
      <c r="CH11" s="372"/>
      <c r="CI11" s="372"/>
      <c r="CJ11" s="372">
        <f>Roles!$D$7</f>
        <v>0.12</v>
      </c>
      <c r="CK11" s="372"/>
      <c r="CL11" s="203">
        <f t="shared" si="23"/>
        <v>0</v>
      </c>
      <c r="CM11" s="372"/>
      <c r="CN11" s="372"/>
      <c r="CO11" s="372">
        <f>Roles!$D$7</f>
        <v>0.12</v>
      </c>
      <c r="CP11" s="372"/>
      <c r="CQ11" s="203">
        <f t="shared" si="24"/>
        <v>0</v>
      </c>
      <c r="CR11" s="372"/>
      <c r="CS11" s="372"/>
      <c r="CT11" s="372">
        <f>Roles!$D$7</f>
        <v>0.12</v>
      </c>
      <c r="CU11" s="372"/>
      <c r="CV11" s="203">
        <f t="shared" si="25"/>
        <v>0</v>
      </c>
      <c r="CW11" s="372"/>
      <c r="CX11" s="372"/>
      <c r="CY11" s="372">
        <f>Roles!$D$7</f>
        <v>0.12</v>
      </c>
      <c r="CZ11" s="372"/>
      <c r="DA11" s="203">
        <f t="shared" si="26"/>
        <v>0</v>
      </c>
      <c r="DB11" s="372"/>
      <c r="DC11" s="372"/>
      <c r="DD11" s="372">
        <f>Roles!$D$7</f>
        <v>0.12</v>
      </c>
      <c r="DE11" s="372"/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 t="shared" si="1"/>
        <v>1</v>
      </c>
      <c r="F12" s="185">
        <v>2.0</v>
      </c>
      <c r="G12" s="105">
        <f t="shared" si="2"/>
        <v>0.001722652885</v>
      </c>
      <c r="H12" s="186">
        <f t="shared" ref="H12:H22" si="32">H11+G12</f>
        <v>0.00947459087</v>
      </c>
      <c r="I12" s="187">
        <f t="shared" si="30"/>
        <v>2</v>
      </c>
      <c r="J12" s="187">
        <f t="shared" ref="J12:J22" si="33">J11+I12</f>
        <v>16</v>
      </c>
      <c r="K12" s="115">
        <f t="shared" si="3"/>
        <v>0.01405975395</v>
      </c>
      <c r="L12" s="336">
        <f t="shared" si="31"/>
        <v>0.88</v>
      </c>
      <c r="M12" s="191">
        <f t="shared" ref="M12:M22" si="34">M11+L12</f>
        <v>7.04</v>
      </c>
      <c r="N12" s="47" t="str">
        <f t="shared" si="6"/>
        <v>#REF!</v>
      </c>
      <c r="O12" s="203">
        <f t="shared" si="7"/>
        <v>1</v>
      </c>
      <c r="P12" s="378">
        <v>2.0</v>
      </c>
      <c r="Q12" s="372"/>
      <c r="R12" s="372">
        <f>Roles!$D$5</f>
        <v>0.44</v>
      </c>
      <c r="S12" s="372">
        <f t="shared" si="8"/>
        <v>0.88</v>
      </c>
      <c r="T12" s="203">
        <f t="shared" si="9"/>
        <v>0</v>
      </c>
      <c r="U12" s="372"/>
      <c r="V12" s="372"/>
      <c r="W12" s="372">
        <f>Roles!$D$7</f>
        <v>0.12</v>
      </c>
      <c r="X12" s="372"/>
      <c r="Y12" s="203">
        <f t="shared" si="10"/>
        <v>0</v>
      </c>
      <c r="Z12" s="372"/>
      <c r="AA12" s="372"/>
      <c r="AB12" s="372">
        <f>Roles!$D$7</f>
        <v>0.12</v>
      </c>
      <c r="AC12" s="372"/>
      <c r="AD12" s="203">
        <f t="shared" si="11"/>
        <v>0</v>
      </c>
      <c r="AE12" s="372"/>
      <c r="AF12" s="372"/>
      <c r="AG12" s="372">
        <f>Roles!$D$7</f>
        <v>0.12</v>
      </c>
      <c r="AH12" s="372"/>
      <c r="AI12" s="203">
        <f t="shared" si="12"/>
        <v>0</v>
      </c>
      <c r="AJ12" s="372"/>
      <c r="AK12" s="372"/>
      <c r="AL12" s="372">
        <f>Roles!$D$7</f>
        <v>0.12</v>
      </c>
      <c r="AM12" s="372"/>
      <c r="AN12" s="203">
        <f t="shared" si="13"/>
        <v>0</v>
      </c>
      <c r="AO12" s="372"/>
      <c r="AP12" s="372"/>
      <c r="AQ12" s="372">
        <f>Roles!$D$7</f>
        <v>0.12</v>
      </c>
      <c r="AR12" s="372"/>
      <c r="AS12" s="203">
        <f t="shared" si="14"/>
        <v>0</v>
      </c>
      <c r="AT12" s="372"/>
      <c r="AU12" s="372"/>
      <c r="AV12" s="372">
        <f>Roles!$D$7</f>
        <v>0.12</v>
      </c>
      <c r="AW12" s="372"/>
      <c r="AX12" s="203">
        <f t="shared" si="15"/>
        <v>0</v>
      </c>
      <c r="AY12" s="372"/>
      <c r="AZ12" s="372"/>
      <c r="BA12" s="372">
        <f>Roles!$D$7</f>
        <v>0.12</v>
      </c>
      <c r="BB12" s="372"/>
      <c r="BC12" s="203">
        <f t="shared" si="16"/>
        <v>0</v>
      </c>
      <c r="BD12" s="372"/>
      <c r="BE12" s="372"/>
      <c r="BF12" s="372">
        <f>Roles!$D$7</f>
        <v>0.12</v>
      </c>
      <c r="BG12" s="372"/>
      <c r="BH12" s="203">
        <f t="shared" si="17"/>
        <v>0</v>
      </c>
      <c r="BI12" s="372"/>
      <c r="BJ12" s="372"/>
      <c r="BK12" s="372">
        <f>Roles!$D$7</f>
        <v>0.12</v>
      </c>
      <c r="BL12" s="372"/>
      <c r="BM12" s="203">
        <f t="shared" si="18"/>
        <v>0</v>
      </c>
      <c r="BN12" s="372"/>
      <c r="BO12" s="372"/>
      <c r="BP12" s="372">
        <f>Roles!$D$7</f>
        <v>0.12</v>
      </c>
      <c r="BQ12" s="372"/>
      <c r="BR12" s="203">
        <f t="shared" si="19"/>
        <v>0</v>
      </c>
      <c r="BS12" s="372"/>
      <c r="BT12" s="372"/>
      <c r="BU12" s="372">
        <f>Roles!$D$7</f>
        <v>0.12</v>
      </c>
      <c r="BV12" s="372"/>
      <c r="BW12" s="203">
        <f t="shared" si="20"/>
        <v>0</v>
      </c>
      <c r="BX12" s="372"/>
      <c r="BY12" s="372"/>
      <c r="BZ12" s="372">
        <f>Roles!$D$7</f>
        <v>0.12</v>
      </c>
      <c r="CA12" s="372"/>
      <c r="CB12" s="203">
        <f t="shared" si="21"/>
        <v>0</v>
      </c>
      <c r="CC12" s="372"/>
      <c r="CD12" s="372"/>
      <c r="CE12" s="372">
        <f>Roles!$D$7</f>
        <v>0.12</v>
      </c>
      <c r="CF12" s="372"/>
      <c r="CG12" s="203">
        <f t="shared" si="22"/>
        <v>0</v>
      </c>
      <c r="CH12" s="372"/>
      <c r="CI12" s="372"/>
      <c r="CJ12" s="372">
        <f>Roles!$D$7</f>
        <v>0.12</v>
      </c>
      <c r="CK12" s="372"/>
      <c r="CL12" s="203">
        <f t="shared" si="23"/>
        <v>0</v>
      </c>
      <c r="CM12" s="372"/>
      <c r="CN12" s="372"/>
      <c r="CO12" s="372">
        <f>Roles!$D$7</f>
        <v>0.12</v>
      </c>
      <c r="CP12" s="372"/>
      <c r="CQ12" s="203">
        <f t="shared" si="24"/>
        <v>0</v>
      </c>
      <c r="CR12" s="372"/>
      <c r="CS12" s="372"/>
      <c r="CT12" s="372">
        <f>Roles!$D$7</f>
        <v>0.12</v>
      </c>
      <c r="CU12" s="372"/>
      <c r="CV12" s="203">
        <f t="shared" si="25"/>
        <v>0</v>
      </c>
      <c r="CW12" s="372"/>
      <c r="CX12" s="372"/>
      <c r="CY12" s="372">
        <f>Roles!$D$7</f>
        <v>0.12</v>
      </c>
      <c r="CZ12" s="372"/>
      <c r="DA12" s="203">
        <f t="shared" si="26"/>
        <v>0</v>
      </c>
      <c r="DB12" s="372"/>
      <c r="DC12" s="372"/>
      <c r="DD12" s="372">
        <f>Roles!$D$7</f>
        <v>0.12</v>
      </c>
      <c r="DE12" s="372"/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 t="shared" si="1"/>
        <v>1</v>
      </c>
      <c r="F13" s="185">
        <v>1.0</v>
      </c>
      <c r="G13" s="105">
        <f t="shared" si="2"/>
        <v>0.0008613264427</v>
      </c>
      <c r="H13" s="186">
        <f t="shared" si="32"/>
        <v>0.01033591731</v>
      </c>
      <c r="I13" s="187">
        <f t="shared" si="30"/>
        <v>1</v>
      </c>
      <c r="J13" s="187">
        <f t="shared" si="33"/>
        <v>17</v>
      </c>
      <c r="K13" s="115">
        <f t="shared" si="3"/>
        <v>0.01493848858</v>
      </c>
      <c r="L13" s="336">
        <f t="shared" si="31"/>
        <v>0.44</v>
      </c>
      <c r="M13" s="191">
        <f t="shared" si="34"/>
        <v>7.48</v>
      </c>
      <c r="N13" s="226" t="str">
        <f t="shared" si="6"/>
        <v>#REF!</v>
      </c>
      <c r="O13" s="203">
        <f t="shared" si="7"/>
        <v>1</v>
      </c>
      <c r="P13" s="378">
        <v>1.0</v>
      </c>
      <c r="Q13" s="372"/>
      <c r="R13" s="372">
        <f>Roles!$D$5</f>
        <v>0.44</v>
      </c>
      <c r="S13" s="372">
        <f t="shared" si="8"/>
        <v>0.44</v>
      </c>
      <c r="T13" s="203">
        <f t="shared" si="9"/>
        <v>0</v>
      </c>
      <c r="U13" s="372"/>
      <c r="V13" s="372"/>
      <c r="W13" s="372">
        <f>Roles!$D$7</f>
        <v>0.12</v>
      </c>
      <c r="X13" s="372"/>
      <c r="Y13" s="203">
        <f t="shared" si="10"/>
        <v>0</v>
      </c>
      <c r="Z13" s="372"/>
      <c r="AA13" s="372"/>
      <c r="AB13" s="372">
        <f>Roles!$D$7</f>
        <v>0.12</v>
      </c>
      <c r="AC13" s="372"/>
      <c r="AD13" s="203">
        <f t="shared" si="11"/>
        <v>0</v>
      </c>
      <c r="AE13" s="372"/>
      <c r="AF13" s="372"/>
      <c r="AG13" s="372">
        <f>Roles!$D$7</f>
        <v>0.12</v>
      </c>
      <c r="AH13" s="372"/>
      <c r="AI13" s="203">
        <f t="shared" si="12"/>
        <v>0</v>
      </c>
      <c r="AJ13" s="372"/>
      <c r="AK13" s="372"/>
      <c r="AL13" s="372">
        <f>Roles!$D$7</f>
        <v>0.12</v>
      </c>
      <c r="AM13" s="372"/>
      <c r="AN13" s="203">
        <f t="shared" si="13"/>
        <v>0</v>
      </c>
      <c r="AO13" s="372"/>
      <c r="AP13" s="372"/>
      <c r="AQ13" s="372">
        <f>Roles!$D$7</f>
        <v>0.12</v>
      </c>
      <c r="AR13" s="372"/>
      <c r="AS13" s="203">
        <f t="shared" si="14"/>
        <v>0</v>
      </c>
      <c r="AT13" s="372"/>
      <c r="AU13" s="372"/>
      <c r="AV13" s="372">
        <f>Roles!$D$7</f>
        <v>0.12</v>
      </c>
      <c r="AW13" s="372"/>
      <c r="AX13" s="203">
        <f t="shared" si="15"/>
        <v>0</v>
      </c>
      <c r="AY13" s="372"/>
      <c r="AZ13" s="372"/>
      <c r="BA13" s="372">
        <f>Roles!$D$7</f>
        <v>0.12</v>
      </c>
      <c r="BB13" s="372"/>
      <c r="BC13" s="203">
        <f t="shared" si="16"/>
        <v>0</v>
      </c>
      <c r="BD13" s="372"/>
      <c r="BE13" s="372"/>
      <c r="BF13" s="372">
        <f>Roles!$D$7</f>
        <v>0.12</v>
      </c>
      <c r="BG13" s="372"/>
      <c r="BH13" s="203">
        <f t="shared" si="17"/>
        <v>0</v>
      </c>
      <c r="BI13" s="372"/>
      <c r="BJ13" s="372"/>
      <c r="BK13" s="372">
        <f>Roles!$D$7</f>
        <v>0.12</v>
      </c>
      <c r="BL13" s="372"/>
      <c r="BM13" s="203">
        <f t="shared" si="18"/>
        <v>0</v>
      </c>
      <c r="BN13" s="372"/>
      <c r="BO13" s="372"/>
      <c r="BP13" s="372">
        <f>Roles!$D$7</f>
        <v>0.12</v>
      </c>
      <c r="BQ13" s="372"/>
      <c r="BR13" s="203">
        <f t="shared" si="19"/>
        <v>0</v>
      </c>
      <c r="BS13" s="372"/>
      <c r="BT13" s="372"/>
      <c r="BU13" s="372">
        <f>Roles!$D$7</f>
        <v>0.12</v>
      </c>
      <c r="BV13" s="372"/>
      <c r="BW13" s="203">
        <f t="shared" si="20"/>
        <v>0</v>
      </c>
      <c r="BX13" s="372"/>
      <c r="BY13" s="372"/>
      <c r="BZ13" s="372">
        <f>Roles!$D$7</f>
        <v>0.12</v>
      </c>
      <c r="CA13" s="372"/>
      <c r="CB13" s="203">
        <f t="shared" si="21"/>
        <v>0</v>
      </c>
      <c r="CC13" s="372"/>
      <c r="CD13" s="372"/>
      <c r="CE13" s="372">
        <f>Roles!$D$7</f>
        <v>0.12</v>
      </c>
      <c r="CF13" s="372"/>
      <c r="CG13" s="203">
        <f t="shared" si="22"/>
        <v>0</v>
      </c>
      <c r="CH13" s="372"/>
      <c r="CI13" s="372"/>
      <c r="CJ13" s="372">
        <f>Roles!$D$7</f>
        <v>0.12</v>
      </c>
      <c r="CK13" s="372"/>
      <c r="CL13" s="203">
        <f t="shared" si="23"/>
        <v>0</v>
      </c>
      <c r="CM13" s="372"/>
      <c r="CN13" s="372"/>
      <c r="CO13" s="372">
        <f>Roles!$D$7</f>
        <v>0.12</v>
      </c>
      <c r="CP13" s="372"/>
      <c r="CQ13" s="203">
        <f t="shared" si="24"/>
        <v>0</v>
      </c>
      <c r="CR13" s="372"/>
      <c r="CS13" s="372"/>
      <c r="CT13" s="372">
        <f>Roles!$D$7</f>
        <v>0.12</v>
      </c>
      <c r="CU13" s="372"/>
      <c r="CV13" s="203">
        <f t="shared" si="25"/>
        <v>0</v>
      </c>
      <c r="CW13" s="372"/>
      <c r="CX13" s="372"/>
      <c r="CY13" s="372">
        <f>Roles!$D$7</f>
        <v>0.12</v>
      </c>
      <c r="CZ13" s="372"/>
      <c r="DA13" s="203">
        <f t="shared" si="26"/>
        <v>0</v>
      </c>
      <c r="DB13" s="372"/>
      <c r="DC13" s="372"/>
      <c r="DD13" s="372">
        <f>Roles!$D$7</f>
        <v>0.12</v>
      </c>
      <c r="DE13" s="372"/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 t="shared" si="1"/>
        <v>1</v>
      </c>
      <c r="F14" s="185">
        <v>1.0</v>
      </c>
      <c r="G14" s="105">
        <f t="shared" si="2"/>
        <v>0.0008613264427</v>
      </c>
      <c r="H14" s="186">
        <f t="shared" si="32"/>
        <v>0.01119724376</v>
      </c>
      <c r="I14" s="187">
        <f t="shared" si="30"/>
        <v>4</v>
      </c>
      <c r="J14" s="187">
        <f t="shared" si="33"/>
        <v>21</v>
      </c>
      <c r="K14" s="115">
        <f t="shared" si="3"/>
        <v>0.01845342707</v>
      </c>
      <c r="L14" s="336">
        <f t="shared" si="31"/>
        <v>1.76</v>
      </c>
      <c r="M14" s="191">
        <f t="shared" si="34"/>
        <v>9.24</v>
      </c>
      <c r="N14" s="47" t="str">
        <f t="shared" si="6"/>
        <v>#REF!</v>
      </c>
      <c r="O14" s="203">
        <f t="shared" si="7"/>
        <v>4</v>
      </c>
      <c r="P14" s="378">
        <v>4.0</v>
      </c>
      <c r="Q14" s="372"/>
      <c r="R14" s="372">
        <f>Roles!$D$5</f>
        <v>0.44</v>
      </c>
      <c r="S14" s="372">
        <f t="shared" si="8"/>
        <v>1.76</v>
      </c>
      <c r="T14" s="203">
        <f t="shared" si="9"/>
        <v>0</v>
      </c>
      <c r="U14" s="372"/>
      <c r="V14" s="372"/>
      <c r="W14" s="372">
        <f>Roles!$D$7</f>
        <v>0.12</v>
      </c>
      <c r="X14" s="372"/>
      <c r="Y14" s="203">
        <f t="shared" si="10"/>
        <v>0</v>
      </c>
      <c r="Z14" s="372"/>
      <c r="AA14" s="372"/>
      <c r="AB14" s="372">
        <f>Roles!$D$7</f>
        <v>0.12</v>
      </c>
      <c r="AC14" s="372"/>
      <c r="AD14" s="203">
        <f t="shared" si="11"/>
        <v>0</v>
      </c>
      <c r="AE14" s="372"/>
      <c r="AF14" s="372"/>
      <c r="AG14" s="372">
        <f>Roles!$D$7</f>
        <v>0.12</v>
      </c>
      <c r="AH14" s="372"/>
      <c r="AI14" s="203">
        <f t="shared" si="12"/>
        <v>0</v>
      </c>
      <c r="AJ14" s="372"/>
      <c r="AK14" s="372"/>
      <c r="AL14" s="372">
        <f>Roles!$D$7</f>
        <v>0.12</v>
      </c>
      <c r="AM14" s="372"/>
      <c r="AN14" s="203">
        <f t="shared" si="13"/>
        <v>0</v>
      </c>
      <c r="AO14" s="372"/>
      <c r="AP14" s="372"/>
      <c r="AQ14" s="372">
        <f>Roles!$D$7</f>
        <v>0.12</v>
      </c>
      <c r="AR14" s="372"/>
      <c r="AS14" s="203">
        <f t="shared" si="14"/>
        <v>0</v>
      </c>
      <c r="AT14" s="372"/>
      <c r="AU14" s="372"/>
      <c r="AV14" s="372">
        <f>Roles!$D$7</f>
        <v>0.12</v>
      </c>
      <c r="AW14" s="372"/>
      <c r="AX14" s="203">
        <f t="shared" si="15"/>
        <v>0</v>
      </c>
      <c r="AY14" s="372"/>
      <c r="AZ14" s="372"/>
      <c r="BA14" s="372">
        <f>Roles!$D$7</f>
        <v>0.12</v>
      </c>
      <c r="BB14" s="372"/>
      <c r="BC14" s="203">
        <f t="shared" si="16"/>
        <v>0</v>
      </c>
      <c r="BD14" s="372"/>
      <c r="BE14" s="372"/>
      <c r="BF14" s="372">
        <f>Roles!$D$7</f>
        <v>0.12</v>
      </c>
      <c r="BG14" s="372"/>
      <c r="BH14" s="203">
        <f t="shared" si="17"/>
        <v>0</v>
      </c>
      <c r="BI14" s="372"/>
      <c r="BJ14" s="372"/>
      <c r="BK14" s="372">
        <f>Roles!$D$7</f>
        <v>0.12</v>
      </c>
      <c r="BL14" s="372"/>
      <c r="BM14" s="203">
        <f t="shared" si="18"/>
        <v>0</v>
      </c>
      <c r="BN14" s="372"/>
      <c r="BO14" s="372"/>
      <c r="BP14" s="372">
        <f>Roles!$D$7</f>
        <v>0.12</v>
      </c>
      <c r="BQ14" s="372"/>
      <c r="BR14" s="203">
        <f t="shared" si="19"/>
        <v>0</v>
      </c>
      <c r="BS14" s="372"/>
      <c r="BT14" s="372"/>
      <c r="BU14" s="372">
        <f>Roles!$D$7</f>
        <v>0.12</v>
      </c>
      <c r="BV14" s="372"/>
      <c r="BW14" s="203">
        <f t="shared" si="20"/>
        <v>0</v>
      </c>
      <c r="BX14" s="372"/>
      <c r="BY14" s="372"/>
      <c r="BZ14" s="372">
        <f>Roles!$D$7</f>
        <v>0.12</v>
      </c>
      <c r="CA14" s="372"/>
      <c r="CB14" s="203">
        <f t="shared" si="21"/>
        <v>0</v>
      </c>
      <c r="CC14" s="372"/>
      <c r="CD14" s="372"/>
      <c r="CE14" s="372">
        <f>Roles!$D$7</f>
        <v>0.12</v>
      </c>
      <c r="CF14" s="372"/>
      <c r="CG14" s="203">
        <f t="shared" si="22"/>
        <v>0</v>
      </c>
      <c r="CH14" s="372"/>
      <c r="CI14" s="372"/>
      <c r="CJ14" s="372">
        <f>Roles!$D$7</f>
        <v>0.12</v>
      </c>
      <c r="CK14" s="372"/>
      <c r="CL14" s="203">
        <f t="shared" si="23"/>
        <v>0</v>
      </c>
      <c r="CM14" s="372"/>
      <c r="CN14" s="372"/>
      <c r="CO14" s="372">
        <f>Roles!$D$7</f>
        <v>0.12</v>
      </c>
      <c r="CP14" s="372"/>
      <c r="CQ14" s="203">
        <f t="shared" si="24"/>
        <v>0</v>
      </c>
      <c r="CR14" s="372"/>
      <c r="CS14" s="372"/>
      <c r="CT14" s="372">
        <f>Roles!$D$7</f>
        <v>0.12</v>
      </c>
      <c r="CU14" s="372"/>
      <c r="CV14" s="203">
        <f t="shared" si="25"/>
        <v>0</v>
      </c>
      <c r="CW14" s="372"/>
      <c r="CX14" s="372"/>
      <c r="CY14" s="372">
        <f>Roles!$D$7</f>
        <v>0.12</v>
      </c>
      <c r="CZ14" s="372"/>
      <c r="DA14" s="203">
        <f t="shared" si="26"/>
        <v>0</v>
      </c>
      <c r="DB14" s="372"/>
      <c r="DC14" s="372"/>
      <c r="DD14" s="372">
        <f>Roles!$D$7</f>
        <v>0.12</v>
      </c>
      <c r="DE14" s="372"/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 t="shared" si="1"/>
        <v>1</v>
      </c>
      <c r="F15" s="185">
        <v>1.0</v>
      </c>
      <c r="G15" s="105">
        <f t="shared" si="2"/>
        <v>0.0008613264427</v>
      </c>
      <c r="H15" s="186">
        <f t="shared" si="32"/>
        <v>0.0120585702</v>
      </c>
      <c r="I15" s="187">
        <f t="shared" si="30"/>
        <v>3</v>
      </c>
      <c r="J15" s="187">
        <f t="shared" si="33"/>
        <v>24</v>
      </c>
      <c r="K15" s="115">
        <f t="shared" si="3"/>
        <v>0.02108963093</v>
      </c>
      <c r="L15" s="336">
        <f t="shared" si="31"/>
        <v>1.32</v>
      </c>
      <c r="M15" s="191">
        <f t="shared" si="34"/>
        <v>10.56</v>
      </c>
      <c r="N15" s="47" t="str">
        <f t="shared" si="6"/>
        <v>#REF!</v>
      </c>
      <c r="O15" s="203">
        <f t="shared" si="7"/>
        <v>3</v>
      </c>
      <c r="P15" s="378">
        <v>3.0</v>
      </c>
      <c r="Q15" s="372"/>
      <c r="R15" s="372">
        <f>Roles!$D$5</f>
        <v>0.44</v>
      </c>
      <c r="S15" s="372">
        <f t="shared" si="8"/>
        <v>1.32</v>
      </c>
      <c r="T15" s="203">
        <f t="shared" si="9"/>
        <v>0</v>
      </c>
      <c r="U15" s="372"/>
      <c r="V15" s="372"/>
      <c r="W15" s="372">
        <f>Roles!$D$7</f>
        <v>0.12</v>
      </c>
      <c r="X15" s="372"/>
      <c r="Y15" s="203">
        <f t="shared" si="10"/>
        <v>0</v>
      </c>
      <c r="Z15" s="372"/>
      <c r="AA15" s="372"/>
      <c r="AB15" s="372">
        <f>Roles!$D$7</f>
        <v>0.12</v>
      </c>
      <c r="AC15" s="372"/>
      <c r="AD15" s="203">
        <f t="shared" si="11"/>
        <v>0</v>
      </c>
      <c r="AE15" s="372"/>
      <c r="AF15" s="372"/>
      <c r="AG15" s="372">
        <f>Roles!$D$7</f>
        <v>0.12</v>
      </c>
      <c r="AH15" s="372"/>
      <c r="AI15" s="203">
        <f t="shared" si="12"/>
        <v>0</v>
      </c>
      <c r="AJ15" s="372"/>
      <c r="AK15" s="372"/>
      <c r="AL15" s="372">
        <f>Roles!$D$7</f>
        <v>0.12</v>
      </c>
      <c r="AM15" s="372"/>
      <c r="AN15" s="203">
        <f t="shared" si="13"/>
        <v>0</v>
      </c>
      <c r="AO15" s="372"/>
      <c r="AP15" s="372"/>
      <c r="AQ15" s="372">
        <f>Roles!$D$7</f>
        <v>0.12</v>
      </c>
      <c r="AR15" s="372"/>
      <c r="AS15" s="203">
        <f t="shared" si="14"/>
        <v>0</v>
      </c>
      <c r="AT15" s="372"/>
      <c r="AU15" s="372"/>
      <c r="AV15" s="372">
        <f>Roles!$D$7</f>
        <v>0.12</v>
      </c>
      <c r="AW15" s="372"/>
      <c r="AX15" s="203">
        <f t="shared" si="15"/>
        <v>0</v>
      </c>
      <c r="AY15" s="372"/>
      <c r="AZ15" s="372"/>
      <c r="BA15" s="372">
        <f>Roles!$D$7</f>
        <v>0.12</v>
      </c>
      <c r="BB15" s="372"/>
      <c r="BC15" s="203">
        <f t="shared" si="16"/>
        <v>0</v>
      </c>
      <c r="BD15" s="372"/>
      <c r="BE15" s="372"/>
      <c r="BF15" s="372">
        <f>Roles!$D$7</f>
        <v>0.12</v>
      </c>
      <c r="BG15" s="372"/>
      <c r="BH15" s="203">
        <f t="shared" si="17"/>
        <v>0</v>
      </c>
      <c r="BI15" s="372"/>
      <c r="BJ15" s="372"/>
      <c r="BK15" s="372">
        <f>Roles!$D$7</f>
        <v>0.12</v>
      </c>
      <c r="BL15" s="372"/>
      <c r="BM15" s="203">
        <f t="shared" si="18"/>
        <v>0</v>
      </c>
      <c r="BN15" s="372"/>
      <c r="BO15" s="372"/>
      <c r="BP15" s="372">
        <f>Roles!$D$7</f>
        <v>0.12</v>
      </c>
      <c r="BQ15" s="372"/>
      <c r="BR15" s="203">
        <f t="shared" si="19"/>
        <v>0</v>
      </c>
      <c r="BS15" s="372"/>
      <c r="BT15" s="372"/>
      <c r="BU15" s="372">
        <f>Roles!$D$7</f>
        <v>0.12</v>
      </c>
      <c r="BV15" s="372"/>
      <c r="BW15" s="203">
        <f t="shared" si="20"/>
        <v>0</v>
      </c>
      <c r="BX15" s="372"/>
      <c r="BY15" s="372"/>
      <c r="BZ15" s="372">
        <f>Roles!$D$7</f>
        <v>0.12</v>
      </c>
      <c r="CA15" s="372"/>
      <c r="CB15" s="203">
        <f t="shared" si="21"/>
        <v>0</v>
      </c>
      <c r="CC15" s="372"/>
      <c r="CD15" s="372"/>
      <c r="CE15" s="372">
        <f>Roles!$D$7</f>
        <v>0.12</v>
      </c>
      <c r="CF15" s="372"/>
      <c r="CG15" s="203">
        <f t="shared" si="22"/>
        <v>0</v>
      </c>
      <c r="CH15" s="372"/>
      <c r="CI15" s="372"/>
      <c r="CJ15" s="372">
        <f>Roles!$D$7</f>
        <v>0.12</v>
      </c>
      <c r="CK15" s="372"/>
      <c r="CL15" s="203">
        <f t="shared" si="23"/>
        <v>0</v>
      </c>
      <c r="CM15" s="372"/>
      <c r="CN15" s="372"/>
      <c r="CO15" s="372">
        <f>Roles!$D$7</f>
        <v>0.12</v>
      </c>
      <c r="CP15" s="372"/>
      <c r="CQ15" s="203">
        <f t="shared" si="24"/>
        <v>0</v>
      </c>
      <c r="CR15" s="372"/>
      <c r="CS15" s="372"/>
      <c r="CT15" s="372">
        <f>Roles!$D$7</f>
        <v>0.12</v>
      </c>
      <c r="CU15" s="372"/>
      <c r="CV15" s="203">
        <f t="shared" si="25"/>
        <v>0</v>
      </c>
      <c r="CW15" s="372"/>
      <c r="CX15" s="372"/>
      <c r="CY15" s="372">
        <f>Roles!$D$7</f>
        <v>0.12</v>
      </c>
      <c r="CZ15" s="372"/>
      <c r="DA15" s="203">
        <f t="shared" si="26"/>
        <v>0</v>
      </c>
      <c r="DB15" s="372"/>
      <c r="DC15" s="372"/>
      <c r="DD15" s="372">
        <f>Roles!$D$7</f>
        <v>0.12</v>
      </c>
      <c r="DE15" s="372"/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 t="shared" si="1"/>
        <v>2</v>
      </c>
      <c r="F16" s="185">
        <v>2.0</v>
      </c>
      <c r="G16" s="105">
        <f t="shared" si="2"/>
        <v>0.001722652885</v>
      </c>
      <c r="H16" s="186">
        <f t="shared" si="32"/>
        <v>0.01378122308</v>
      </c>
      <c r="I16" s="187">
        <f t="shared" si="30"/>
        <v>2</v>
      </c>
      <c r="J16" s="187">
        <f t="shared" si="33"/>
        <v>26</v>
      </c>
      <c r="K16" s="115">
        <f t="shared" si="3"/>
        <v>0.02284710018</v>
      </c>
      <c r="L16" s="336">
        <f t="shared" si="31"/>
        <v>0.88</v>
      </c>
      <c r="M16" s="191">
        <f t="shared" si="34"/>
        <v>11.44</v>
      </c>
      <c r="N16" s="47" t="str">
        <f t="shared" si="6"/>
        <v>#REF!</v>
      </c>
      <c r="O16" s="203">
        <f t="shared" si="7"/>
        <v>1</v>
      </c>
      <c r="P16" s="378">
        <v>2.0</v>
      </c>
      <c r="Q16" s="372"/>
      <c r="R16" s="372">
        <f>Roles!$D$5</f>
        <v>0.44</v>
      </c>
      <c r="S16" s="372">
        <f t="shared" si="8"/>
        <v>0.88</v>
      </c>
      <c r="T16" s="203">
        <f t="shared" si="9"/>
        <v>0</v>
      </c>
      <c r="U16" s="372"/>
      <c r="V16" s="372"/>
      <c r="W16" s="372">
        <f>Roles!$D$7</f>
        <v>0.12</v>
      </c>
      <c r="X16" s="372"/>
      <c r="Y16" s="203">
        <f t="shared" si="10"/>
        <v>0</v>
      </c>
      <c r="Z16" s="372"/>
      <c r="AA16" s="372"/>
      <c r="AB16" s="372">
        <f>Roles!$D$7</f>
        <v>0.12</v>
      </c>
      <c r="AC16" s="372"/>
      <c r="AD16" s="203">
        <f t="shared" si="11"/>
        <v>0</v>
      </c>
      <c r="AE16" s="372"/>
      <c r="AF16" s="372"/>
      <c r="AG16" s="372">
        <f>Roles!$D$7</f>
        <v>0.12</v>
      </c>
      <c r="AH16" s="372"/>
      <c r="AI16" s="203">
        <f t="shared" si="12"/>
        <v>0</v>
      </c>
      <c r="AJ16" s="372"/>
      <c r="AK16" s="372"/>
      <c r="AL16" s="372">
        <f>Roles!$D$7</f>
        <v>0.12</v>
      </c>
      <c r="AM16" s="372"/>
      <c r="AN16" s="203">
        <f t="shared" si="13"/>
        <v>0</v>
      </c>
      <c r="AO16" s="372"/>
      <c r="AP16" s="372"/>
      <c r="AQ16" s="372">
        <f>Roles!$D$7</f>
        <v>0.12</v>
      </c>
      <c r="AR16" s="372"/>
      <c r="AS16" s="203">
        <f t="shared" si="14"/>
        <v>0</v>
      </c>
      <c r="AT16" s="372"/>
      <c r="AU16" s="372"/>
      <c r="AV16" s="372">
        <f>Roles!$D$7</f>
        <v>0.12</v>
      </c>
      <c r="AW16" s="372"/>
      <c r="AX16" s="203">
        <f t="shared" si="15"/>
        <v>0</v>
      </c>
      <c r="AY16" s="372"/>
      <c r="AZ16" s="372"/>
      <c r="BA16" s="372">
        <f>Roles!$D$7</f>
        <v>0.12</v>
      </c>
      <c r="BB16" s="372"/>
      <c r="BC16" s="203">
        <f t="shared" si="16"/>
        <v>0</v>
      </c>
      <c r="BD16" s="372"/>
      <c r="BE16" s="372"/>
      <c r="BF16" s="372">
        <f>Roles!$D$7</f>
        <v>0.12</v>
      </c>
      <c r="BG16" s="372"/>
      <c r="BH16" s="203">
        <f t="shared" si="17"/>
        <v>0</v>
      </c>
      <c r="BI16" s="372"/>
      <c r="BJ16" s="372"/>
      <c r="BK16" s="372">
        <f>Roles!$D$7</f>
        <v>0.12</v>
      </c>
      <c r="BL16" s="372"/>
      <c r="BM16" s="203">
        <f t="shared" si="18"/>
        <v>0</v>
      </c>
      <c r="BN16" s="372"/>
      <c r="BO16" s="372"/>
      <c r="BP16" s="372">
        <f>Roles!$D$7</f>
        <v>0.12</v>
      </c>
      <c r="BQ16" s="372"/>
      <c r="BR16" s="203">
        <f t="shared" si="19"/>
        <v>0</v>
      </c>
      <c r="BS16" s="372"/>
      <c r="BT16" s="372"/>
      <c r="BU16" s="372">
        <f>Roles!$D$7</f>
        <v>0.12</v>
      </c>
      <c r="BV16" s="372"/>
      <c r="BW16" s="203">
        <f t="shared" si="20"/>
        <v>0</v>
      </c>
      <c r="BX16" s="372"/>
      <c r="BY16" s="372"/>
      <c r="BZ16" s="372">
        <f>Roles!$D$7</f>
        <v>0.12</v>
      </c>
      <c r="CA16" s="372"/>
      <c r="CB16" s="203">
        <f t="shared" si="21"/>
        <v>0</v>
      </c>
      <c r="CC16" s="372"/>
      <c r="CD16" s="372"/>
      <c r="CE16" s="372">
        <f>Roles!$D$7</f>
        <v>0.12</v>
      </c>
      <c r="CF16" s="372"/>
      <c r="CG16" s="203">
        <f t="shared" si="22"/>
        <v>0</v>
      </c>
      <c r="CH16" s="372"/>
      <c r="CI16" s="372"/>
      <c r="CJ16" s="372">
        <f>Roles!$D$7</f>
        <v>0.12</v>
      </c>
      <c r="CK16" s="372"/>
      <c r="CL16" s="203">
        <f t="shared" si="23"/>
        <v>0</v>
      </c>
      <c r="CM16" s="372"/>
      <c r="CN16" s="372"/>
      <c r="CO16" s="372">
        <f>Roles!$D$7</f>
        <v>0.12</v>
      </c>
      <c r="CP16" s="372"/>
      <c r="CQ16" s="203">
        <f t="shared" si="24"/>
        <v>0</v>
      </c>
      <c r="CR16" s="372"/>
      <c r="CS16" s="372"/>
      <c r="CT16" s="372">
        <f>Roles!$D$7</f>
        <v>0.12</v>
      </c>
      <c r="CU16" s="372"/>
      <c r="CV16" s="203">
        <f t="shared" si="25"/>
        <v>0</v>
      </c>
      <c r="CW16" s="372"/>
      <c r="CX16" s="372"/>
      <c r="CY16" s="372">
        <f>Roles!$D$7</f>
        <v>0.12</v>
      </c>
      <c r="CZ16" s="372"/>
      <c r="DA16" s="203">
        <f t="shared" si="26"/>
        <v>0</v>
      </c>
      <c r="DB16" s="372"/>
      <c r="DC16" s="372"/>
      <c r="DD16" s="372">
        <f>Roles!$D$7</f>
        <v>0.12</v>
      </c>
      <c r="DE16" s="372"/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 t="shared" si="1"/>
        <v>2</v>
      </c>
      <c r="F17" s="185">
        <v>2.0</v>
      </c>
      <c r="G17" s="105">
        <f t="shared" si="2"/>
        <v>0.001722652885</v>
      </c>
      <c r="H17" s="186">
        <f t="shared" si="32"/>
        <v>0.01550387597</v>
      </c>
      <c r="I17" s="187">
        <f t="shared" si="30"/>
        <v>2</v>
      </c>
      <c r="J17" s="187">
        <f t="shared" si="33"/>
        <v>28</v>
      </c>
      <c r="K17" s="115">
        <f t="shared" si="3"/>
        <v>0.02460456942</v>
      </c>
      <c r="L17" s="336">
        <f t="shared" si="31"/>
        <v>0.88</v>
      </c>
      <c r="M17" s="191">
        <f t="shared" si="34"/>
        <v>12.32</v>
      </c>
      <c r="N17" s="323" t="str">
        <f t="shared" si="6"/>
        <v>#REF!</v>
      </c>
      <c r="O17" s="203">
        <f t="shared" si="7"/>
        <v>1</v>
      </c>
      <c r="P17" s="378">
        <v>2.0</v>
      </c>
      <c r="Q17" s="372"/>
      <c r="R17" s="372">
        <f>Roles!$D$5</f>
        <v>0.44</v>
      </c>
      <c r="S17" s="372">
        <f t="shared" si="8"/>
        <v>0.88</v>
      </c>
      <c r="T17" s="203">
        <f t="shared" si="9"/>
        <v>0</v>
      </c>
      <c r="U17" s="372"/>
      <c r="V17" s="372"/>
      <c r="W17" s="372">
        <f>Roles!$D$7</f>
        <v>0.12</v>
      </c>
      <c r="X17" s="372"/>
      <c r="Y17" s="203">
        <f t="shared" si="10"/>
        <v>0</v>
      </c>
      <c r="Z17" s="372"/>
      <c r="AA17" s="372"/>
      <c r="AB17" s="372">
        <f>Roles!$D$7</f>
        <v>0.12</v>
      </c>
      <c r="AC17" s="372"/>
      <c r="AD17" s="203">
        <f t="shared" si="11"/>
        <v>0</v>
      </c>
      <c r="AE17" s="372"/>
      <c r="AF17" s="372"/>
      <c r="AG17" s="372">
        <f>Roles!$D$7</f>
        <v>0.12</v>
      </c>
      <c r="AH17" s="372"/>
      <c r="AI17" s="203">
        <f t="shared" si="12"/>
        <v>0</v>
      </c>
      <c r="AJ17" s="372"/>
      <c r="AK17" s="372"/>
      <c r="AL17" s="372">
        <f>Roles!$D$7</f>
        <v>0.12</v>
      </c>
      <c r="AM17" s="372"/>
      <c r="AN17" s="203">
        <f t="shared" si="13"/>
        <v>0</v>
      </c>
      <c r="AO17" s="372"/>
      <c r="AP17" s="372"/>
      <c r="AQ17" s="372">
        <f>Roles!$D$7</f>
        <v>0.12</v>
      </c>
      <c r="AR17" s="372"/>
      <c r="AS17" s="203">
        <f t="shared" si="14"/>
        <v>0</v>
      </c>
      <c r="AT17" s="372"/>
      <c r="AU17" s="372"/>
      <c r="AV17" s="372">
        <f>Roles!$D$7</f>
        <v>0.12</v>
      </c>
      <c r="AW17" s="372"/>
      <c r="AX17" s="203">
        <f t="shared" si="15"/>
        <v>0</v>
      </c>
      <c r="AY17" s="372"/>
      <c r="AZ17" s="372"/>
      <c r="BA17" s="372">
        <f>Roles!$D$7</f>
        <v>0.12</v>
      </c>
      <c r="BB17" s="372"/>
      <c r="BC17" s="203">
        <f t="shared" si="16"/>
        <v>0</v>
      </c>
      <c r="BD17" s="372"/>
      <c r="BE17" s="372"/>
      <c r="BF17" s="372">
        <f>Roles!$D$7</f>
        <v>0.12</v>
      </c>
      <c r="BG17" s="372"/>
      <c r="BH17" s="203">
        <f t="shared" si="17"/>
        <v>0</v>
      </c>
      <c r="BI17" s="372"/>
      <c r="BJ17" s="372"/>
      <c r="BK17" s="372">
        <f>Roles!$D$7</f>
        <v>0.12</v>
      </c>
      <c r="BL17" s="372"/>
      <c r="BM17" s="203">
        <f t="shared" si="18"/>
        <v>0</v>
      </c>
      <c r="BN17" s="372"/>
      <c r="BO17" s="372"/>
      <c r="BP17" s="372">
        <f>Roles!$D$7</f>
        <v>0.12</v>
      </c>
      <c r="BQ17" s="372"/>
      <c r="BR17" s="203">
        <f t="shared" si="19"/>
        <v>0</v>
      </c>
      <c r="BS17" s="372"/>
      <c r="BT17" s="372"/>
      <c r="BU17" s="372">
        <f>Roles!$D$7</f>
        <v>0.12</v>
      </c>
      <c r="BV17" s="372"/>
      <c r="BW17" s="203">
        <f t="shared" si="20"/>
        <v>0</v>
      </c>
      <c r="BX17" s="372"/>
      <c r="BY17" s="372"/>
      <c r="BZ17" s="372">
        <f>Roles!$D$7</f>
        <v>0.12</v>
      </c>
      <c r="CA17" s="372"/>
      <c r="CB17" s="203">
        <f t="shared" si="21"/>
        <v>0</v>
      </c>
      <c r="CC17" s="372"/>
      <c r="CD17" s="372"/>
      <c r="CE17" s="372">
        <f>Roles!$D$7</f>
        <v>0.12</v>
      </c>
      <c r="CF17" s="372"/>
      <c r="CG17" s="203">
        <f t="shared" si="22"/>
        <v>0</v>
      </c>
      <c r="CH17" s="372"/>
      <c r="CI17" s="372"/>
      <c r="CJ17" s="372">
        <f>Roles!$D$7</f>
        <v>0.12</v>
      </c>
      <c r="CK17" s="372"/>
      <c r="CL17" s="203">
        <f t="shared" si="23"/>
        <v>0</v>
      </c>
      <c r="CM17" s="372"/>
      <c r="CN17" s="372"/>
      <c r="CO17" s="372">
        <f>Roles!$D$7</f>
        <v>0.12</v>
      </c>
      <c r="CP17" s="372"/>
      <c r="CQ17" s="203">
        <f t="shared" si="24"/>
        <v>0</v>
      </c>
      <c r="CR17" s="372"/>
      <c r="CS17" s="372"/>
      <c r="CT17" s="372">
        <f>Roles!$D$7</f>
        <v>0.12</v>
      </c>
      <c r="CU17" s="372"/>
      <c r="CV17" s="203">
        <f t="shared" si="25"/>
        <v>0</v>
      </c>
      <c r="CW17" s="372"/>
      <c r="CX17" s="372"/>
      <c r="CY17" s="372">
        <f>Roles!$D$7</f>
        <v>0.12</v>
      </c>
      <c r="CZ17" s="372"/>
      <c r="DA17" s="203">
        <f t="shared" si="26"/>
        <v>0</v>
      </c>
      <c r="DB17" s="372"/>
      <c r="DC17" s="372"/>
      <c r="DD17" s="372">
        <f>Roles!$D$7</f>
        <v>0.12</v>
      </c>
      <c r="DE17" s="372"/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 t="shared" si="1"/>
        <v>4</v>
      </c>
      <c r="F18" s="185">
        <v>5.0</v>
      </c>
      <c r="G18" s="105">
        <f t="shared" si="2"/>
        <v>0.004306632214</v>
      </c>
      <c r="H18" s="186">
        <f t="shared" si="32"/>
        <v>0.01981050818</v>
      </c>
      <c r="I18" s="187">
        <f t="shared" si="30"/>
        <v>4</v>
      </c>
      <c r="J18" s="187">
        <f t="shared" si="33"/>
        <v>32</v>
      </c>
      <c r="K18" s="115">
        <f t="shared" si="3"/>
        <v>0.02811950791</v>
      </c>
      <c r="L18" s="336">
        <f t="shared" si="31"/>
        <v>1.76</v>
      </c>
      <c r="M18" s="191">
        <f t="shared" si="34"/>
        <v>14.08</v>
      </c>
      <c r="N18" s="138" t="str">
        <f t="shared" si="6"/>
        <v>#REF!</v>
      </c>
      <c r="O18" s="203">
        <f t="shared" si="7"/>
        <v>0.8</v>
      </c>
      <c r="P18" s="378">
        <v>4.0</v>
      </c>
      <c r="Q18" s="372"/>
      <c r="R18" s="372">
        <f>Roles!$D$5</f>
        <v>0.44</v>
      </c>
      <c r="S18" s="372">
        <f t="shared" si="8"/>
        <v>1.76</v>
      </c>
      <c r="T18" s="203">
        <f t="shared" si="9"/>
        <v>0</v>
      </c>
      <c r="U18" s="372"/>
      <c r="V18" s="372"/>
      <c r="W18" s="372">
        <f>Roles!$D$7</f>
        <v>0.12</v>
      </c>
      <c r="X18" s="372"/>
      <c r="Y18" s="203">
        <f t="shared" si="10"/>
        <v>0</v>
      </c>
      <c r="Z18" s="372"/>
      <c r="AA18" s="372"/>
      <c r="AB18" s="372">
        <f>Roles!$D$7</f>
        <v>0.12</v>
      </c>
      <c r="AC18" s="372"/>
      <c r="AD18" s="203">
        <f t="shared" si="11"/>
        <v>0</v>
      </c>
      <c r="AE18" s="372"/>
      <c r="AF18" s="372"/>
      <c r="AG18" s="372">
        <f>Roles!$D$7</f>
        <v>0.12</v>
      </c>
      <c r="AH18" s="372"/>
      <c r="AI18" s="203">
        <f t="shared" si="12"/>
        <v>0</v>
      </c>
      <c r="AJ18" s="372"/>
      <c r="AK18" s="372"/>
      <c r="AL18" s="372">
        <f>Roles!$D$7</f>
        <v>0.12</v>
      </c>
      <c r="AM18" s="372"/>
      <c r="AN18" s="203">
        <f t="shared" si="13"/>
        <v>0</v>
      </c>
      <c r="AO18" s="372"/>
      <c r="AP18" s="372"/>
      <c r="AQ18" s="372">
        <f>Roles!$D$7</f>
        <v>0.12</v>
      </c>
      <c r="AR18" s="372"/>
      <c r="AS18" s="203">
        <f t="shared" si="14"/>
        <v>0</v>
      </c>
      <c r="AT18" s="372"/>
      <c r="AU18" s="372"/>
      <c r="AV18" s="372">
        <f>Roles!$D$7</f>
        <v>0.12</v>
      </c>
      <c r="AW18" s="372"/>
      <c r="AX18" s="203">
        <f t="shared" si="15"/>
        <v>0</v>
      </c>
      <c r="AY18" s="372"/>
      <c r="AZ18" s="372"/>
      <c r="BA18" s="372">
        <f>Roles!$D$7</f>
        <v>0.12</v>
      </c>
      <c r="BB18" s="372"/>
      <c r="BC18" s="203">
        <f t="shared" si="16"/>
        <v>0</v>
      </c>
      <c r="BD18" s="372"/>
      <c r="BE18" s="372"/>
      <c r="BF18" s="372">
        <f>Roles!$D$7</f>
        <v>0.12</v>
      </c>
      <c r="BG18" s="372"/>
      <c r="BH18" s="203">
        <f t="shared" si="17"/>
        <v>0</v>
      </c>
      <c r="BI18" s="372"/>
      <c r="BJ18" s="372"/>
      <c r="BK18" s="372">
        <f>Roles!$D$7</f>
        <v>0.12</v>
      </c>
      <c r="BL18" s="372"/>
      <c r="BM18" s="203">
        <f t="shared" si="18"/>
        <v>0</v>
      </c>
      <c r="BN18" s="372"/>
      <c r="BO18" s="372"/>
      <c r="BP18" s="372">
        <f>Roles!$D$7</f>
        <v>0.12</v>
      </c>
      <c r="BQ18" s="372"/>
      <c r="BR18" s="203">
        <f t="shared" si="19"/>
        <v>0</v>
      </c>
      <c r="BS18" s="372"/>
      <c r="BT18" s="372"/>
      <c r="BU18" s="372">
        <f>Roles!$D$7</f>
        <v>0.12</v>
      </c>
      <c r="BV18" s="372"/>
      <c r="BW18" s="203">
        <f t="shared" si="20"/>
        <v>0</v>
      </c>
      <c r="BX18" s="372"/>
      <c r="BY18" s="372"/>
      <c r="BZ18" s="372">
        <f>Roles!$D$7</f>
        <v>0.12</v>
      </c>
      <c r="CA18" s="372"/>
      <c r="CB18" s="203">
        <f t="shared" si="21"/>
        <v>0</v>
      </c>
      <c r="CC18" s="372"/>
      <c r="CD18" s="372"/>
      <c r="CE18" s="372">
        <f>Roles!$D$7</f>
        <v>0.12</v>
      </c>
      <c r="CF18" s="372"/>
      <c r="CG18" s="203">
        <f t="shared" si="22"/>
        <v>0</v>
      </c>
      <c r="CH18" s="372"/>
      <c r="CI18" s="372"/>
      <c r="CJ18" s="372">
        <f>Roles!$D$7</f>
        <v>0.12</v>
      </c>
      <c r="CK18" s="372"/>
      <c r="CL18" s="203">
        <f t="shared" si="23"/>
        <v>0</v>
      </c>
      <c r="CM18" s="372"/>
      <c r="CN18" s="372"/>
      <c r="CO18" s="372">
        <f>Roles!$D$7</f>
        <v>0.12</v>
      </c>
      <c r="CP18" s="372"/>
      <c r="CQ18" s="203">
        <f t="shared" si="24"/>
        <v>0</v>
      </c>
      <c r="CR18" s="372"/>
      <c r="CS18" s="372"/>
      <c r="CT18" s="372">
        <f>Roles!$D$7</f>
        <v>0.12</v>
      </c>
      <c r="CU18" s="372"/>
      <c r="CV18" s="203">
        <f t="shared" si="25"/>
        <v>0</v>
      </c>
      <c r="CW18" s="372"/>
      <c r="CX18" s="372"/>
      <c r="CY18" s="372">
        <f>Roles!$D$7</f>
        <v>0.12</v>
      </c>
      <c r="CZ18" s="372"/>
      <c r="DA18" s="203">
        <f t="shared" si="26"/>
        <v>0</v>
      </c>
      <c r="DB18" s="372"/>
      <c r="DC18" s="372"/>
      <c r="DD18" s="372">
        <f>Roles!$D$7</f>
        <v>0.12</v>
      </c>
      <c r="DE18" s="372"/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 t="shared" si="1"/>
        <v>5</v>
      </c>
      <c r="F19" s="185">
        <v>5.0</v>
      </c>
      <c r="G19" s="105">
        <f t="shared" si="2"/>
        <v>0.004306632214</v>
      </c>
      <c r="H19" s="186">
        <f t="shared" si="32"/>
        <v>0.0241171404</v>
      </c>
      <c r="I19" s="187">
        <f t="shared" si="30"/>
        <v>2</v>
      </c>
      <c r="J19" s="187">
        <f t="shared" si="33"/>
        <v>34</v>
      </c>
      <c r="K19" s="115">
        <f t="shared" si="3"/>
        <v>0.02987697715</v>
      </c>
      <c r="L19" s="336">
        <f t="shared" si="31"/>
        <v>0.88</v>
      </c>
      <c r="M19" s="191">
        <f t="shared" si="34"/>
        <v>14.96</v>
      </c>
      <c r="N19" s="226" t="str">
        <f t="shared" si="6"/>
        <v>#REF!</v>
      </c>
      <c r="O19" s="203">
        <f t="shared" si="7"/>
        <v>0.4</v>
      </c>
      <c r="P19" s="378">
        <v>2.0</v>
      </c>
      <c r="Q19" s="372"/>
      <c r="R19" s="372">
        <f>Roles!$D$5</f>
        <v>0.44</v>
      </c>
      <c r="S19" s="372">
        <f t="shared" si="8"/>
        <v>0.88</v>
      </c>
      <c r="T19" s="203">
        <f t="shared" si="9"/>
        <v>0</v>
      </c>
      <c r="U19" s="372"/>
      <c r="V19" s="372"/>
      <c r="W19" s="372">
        <f>Roles!$D$7</f>
        <v>0.12</v>
      </c>
      <c r="X19" s="372"/>
      <c r="Y19" s="203">
        <f t="shared" si="10"/>
        <v>0</v>
      </c>
      <c r="Z19" s="372"/>
      <c r="AA19" s="372"/>
      <c r="AB19" s="372">
        <f>Roles!$D$7</f>
        <v>0.12</v>
      </c>
      <c r="AC19" s="372"/>
      <c r="AD19" s="203">
        <f t="shared" si="11"/>
        <v>0</v>
      </c>
      <c r="AE19" s="372"/>
      <c r="AF19" s="372"/>
      <c r="AG19" s="372">
        <f>Roles!$D$7</f>
        <v>0.12</v>
      </c>
      <c r="AH19" s="372"/>
      <c r="AI19" s="203">
        <f t="shared" si="12"/>
        <v>0</v>
      </c>
      <c r="AJ19" s="372"/>
      <c r="AK19" s="372"/>
      <c r="AL19" s="372">
        <f>Roles!$D$7</f>
        <v>0.12</v>
      </c>
      <c r="AM19" s="372"/>
      <c r="AN19" s="203">
        <f t="shared" si="13"/>
        <v>0</v>
      </c>
      <c r="AO19" s="372"/>
      <c r="AP19" s="372"/>
      <c r="AQ19" s="372">
        <f>Roles!$D$7</f>
        <v>0.12</v>
      </c>
      <c r="AR19" s="372"/>
      <c r="AS19" s="203">
        <f t="shared" si="14"/>
        <v>0</v>
      </c>
      <c r="AT19" s="372"/>
      <c r="AU19" s="372"/>
      <c r="AV19" s="372">
        <f>Roles!$D$7</f>
        <v>0.12</v>
      </c>
      <c r="AW19" s="372"/>
      <c r="AX19" s="203">
        <f t="shared" si="15"/>
        <v>0</v>
      </c>
      <c r="AY19" s="372"/>
      <c r="AZ19" s="372"/>
      <c r="BA19" s="372">
        <f>Roles!$D$7</f>
        <v>0.12</v>
      </c>
      <c r="BB19" s="372"/>
      <c r="BC19" s="203">
        <f t="shared" si="16"/>
        <v>0</v>
      </c>
      <c r="BD19" s="372"/>
      <c r="BE19" s="372"/>
      <c r="BF19" s="372">
        <f>Roles!$D$7</f>
        <v>0.12</v>
      </c>
      <c r="BG19" s="372"/>
      <c r="BH19" s="203">
        <f t="shared" si="17"/>
        <v>0</v>
      </c>
      <c r="BI19" s="372"/>
      <c r="BJ19" s="372"/>
      <c r="BK19" s="372">
        <f>Roles!$D$7</f>
        <v>0.12</v>
      </c>
      <c r="BL19" s="372"/>
      <c r="BM19" s="203">
        <f t="shared" si="18"/>
        <v>0</v>
      </c>
      <c r="BN19" s="372"/>
      <c r="BO19" s="372"/>
      <c r="BP19" s="372">
        <f>Roles!$D$7</f>
        <v>0.12</v>
      </c>
      <c r="BQ19" s="372"/>
      <c r="BR19" s="203">
        <f t="shared" si="19"/>
        <v>0</v>
      </c>
      <c r="BS19" s="372"/>
      <c r="BT19" s="372"/>
      <c r="BU19" s="372">
        <f>Roles!$D$7</f>
        <v>0.12</v>
      </c>
      <c r="BV19" s="372"/>
      <c r="BW19" s="203">
        <f t="shared" si="20"/>
        <v>0</v>
      </c>
      <c r="BX19" s="372"/>
      <c r="BY19" s="372"/>
      <c r="BZ19" s="372">
        <f>Roles!$D$7</f>
        <v>0.12</v>
      </c>
      <c r="CA19" s="372"/>
      <c r="CB19" s="203">
        <f t="shared" si="21"/>
        <v>0</v>
      </c>
      <c r="CC19" s="372"/>
      <c r="CD19" s="372"/>
      <c r="CE19" s="372">
        <f>Roles!$D$7</f>
        <v>0.12</v>
      </c>
      <c r="CF19" s="372"/>
      <c r="CG19" s="203">
        <f t="shared" si="22"/>
        <v>0</v>
      </c>
      <c r="CH19" s="372"/>
      <c r="CI19" s="372"/>
      <c r="CJ19" s="372">
        <f>Roles!$D$7</f>
        <v>0.12</v>
      </c>
      <c r="CK19" s="372"/>
      <c r="CL19" s="203">
        <f t="shared" si="23"/>
        <v>0</v>
      </c>
      <c r="CM19" s="372"/>
      <c r="CN19" s="372"/>
      <c r="CO19" s="372">
        <f>Roles!$D$7</f>
        <v>0.12</v>
      </c>
      <c r="CP19" s="372"/>
      <c r="CQ19" s="203">
        <f t="shared" si="24"/>
        <v>0</v>
      </c>
      <c r="CR19" s="372"/>
      <c r="CS19" s="372"/>
      <c r="CT19" s="372">
        <f>Roles!$D$7</f>
        <v>0.12</v>
      </c>
      <c r="CU19" s="372"/>
      <c r="CV19" s="203">
        <f t="shared" si="25"/>
        <v>0</v>
      </c>
      <c r="CW19" s="372"/>
      <c r="CX19" s="372"/>
      <c r="CY19" s="372">
        <f>Roles!$D$7</f>
        <v>0.12</v>
      </c>
      <c r="CZ19" s="372"/>
      <c r="DA19" s="203">
        <f t="shared" si="26"/>
        <v>0</v>
      </c>
      <c r="DB19" s="372"/>
      <c r="DC19" s="372"/>
      <c r="DD19" s="372">
        <f>Roles!$D$7</f>
        <v>0.12</v>
      </c>
      <c r="DE19" s="372"/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 t="shared" si="1"/>
        <v>2</v>
      </c>
      <c r="F20" s="185">
        <v>4.0</v>
      </c>
      <c r="G20" s="105">
        <f t="shared" si="2"/>
        <v>0.003445305771</v>
      </c>
      <c r="H20" s="186">
        <f t="shared" si="32"/>
        <v>0.02756244617</v>
      </c>
      <c r="I20" s="187">
        <f t="shared" si="30"/>
        <v>4</v>
      </c>
      <c r="J20" s="187">
        <f t="shared" si="33"/>
        <v>38</v>
      </c>
      <c r="K20" s="115">
        <f t="shared" si="3"/>
        <v>0.03339191564</v>
      </c>
      <c r="L20" s="336">
        <f t="shared" si="31"/>
        <v>1.76</v>
      </c>
      <c r="M20" s="191">
        <f t="shared" si="34"/>
        <v>16.72</v>
      </c>
      <c r="N20" s="138" t="str">
        <f t="shared" si="6"/>
        <v>#REF!</v>
      </c>
      <c r="O20" s="203">
        <f t="shared" si="7"/>
        <v>1</v>
      </c>
      <c r="P20" s="378">
        <v>4.0</v>
      </c>
      <c r="Q20" s="372"/>
      <c r="R20" s="372">
        <f>Roles!$D$5</f>
        <v>0.44</v>
      </c>
      <c r="S20" s="372">
        <f t="shared" si="8"/>
        <v>1.76</v>
      </c>
      <c r="T20" s="203">
        <f t="shared" si="9"/>
        <v>0</v>
      </c>
      <c r="U20" s="372"/>
      <c r="V20" s="372"/>
      <c r="W20" s="372">
        <f>Roles!$D$7</f>
        <v>0.12</v>
      </c>
      <c r="X20" s="372"/>
      <c r="Y20" s="203">
        <f t="shared" si="10"/>
        <v>0</v>
      </c>
      <c r="Z20" s="372"/>
      <c r="AA20" s="372"/>
      <c r="AB20" s="372">
        <f>Roles!$D$7</f>
        <v>0.12</v>
      </c>
      <c r="AC20" s="372"/>
      <c r="AD20" s="203">
        <f t="shared" si="11"/>
        <v>0</v>
      </c>
      <c r="AE20" s="372"/>
      <c r="AF20" s="372"/>
      <c r="AG20" s="372">
        <f>Roles!$D$7</f>
        <v>0.12</v>
      </c>
      <c r="AH20" s="372"/>
      <c r="AI20" s="203">
        <f t="shared" si="12"/>
        <v>0</v>
      </c>
      <c r="AJ20" s="372"/>
      <c r="AK20" s="372"/>
      <c r="AL20" s="372">
        <f>Roles!$D$7</f>
        <v>0.12</v>
      </c>
      <c r="AM20" s="372"/>
      <c r="AN20" s="203">
        <f t="shared" si="13"/>
        <v>0</v>
      </c>
      <c r="AO20" s="372"/>
      <c r="AP20" s="372"/>
      <c r="AQ20" s="372">
        <f>Roles!$D$7</f>
        <v>0.12</v>
      </c>
      <c r="AR20" s="372"/>
      <c r="AS20" s="203">
        <f t="shared" si="14"/>
        <v>0</v>
      </c>
      <c r="AT20" s="372"/>
      <c r="AU20" s="372"/>
      <c r="AV20" s="372">
        <f>Roles!$D$7</f>
        <v>0.12</v>
      </c>
      <c r="AW20" s="372"/>
      <c r="AX20" s="203">
        <f t="shared" si="15"/>
        <v>0</v>
      </c>
      <c r="AY20" s="372"/>
      <c r="AZ20" s="372"/>
      <c r="BA20" s="372">
        <f>Roles!$D$7</f>
        <v>0.12</v>
      </c>
      <c r="BB20" s="372"/>
      <c r="BC20" s="203">
        <f t="shared" si="16"/>
        <v>0</v>
      </c>
      <c r="BD20" s="372"/>
      <c r="BE20" s="372"/>
      <c r="BF20" s="372">
        <f>Roles!$D$7</f>
        <v>0.12</v>
      </c>
      <c r="BG20" s="372"/>
      <c r="BH20" s="203">
        <f t="shared" si="17"/>
        <v>0</v>
      </c>
      <c r="BI20" s="372"/>
      <c r="BJ20" s="372"/>
      <c r="BK20" s="372">
        <f>Roles!$D$7</f>
        <v>0.12</v>
      </c>
      <c r="BL20" s="372"/>
      <c r="BM20" s="203">
        <f t="shared" si="18"/>
        <v>0</v>
      </c>
      <c r="BN20" s="372"/>
      <c r="BO20" s="372"/>
      <c r="BP20" s="372">
        <f>Roles!$D$7</f>
        <v>0.12</v>
      </c>
      <c r="BQ20" s="372"/>
      <c r="BR20" s="203">
        <f t="shared" si="19"/>
        <v>0</v>
      </c>
      <c r="BS20" s="372"/>
      <c r="BT20" s="372"/>
      <c r="BU20" s="372">
        <f>Roles!$D$7</f>
        <v>0.12</v>
      </c>
      <c r="BV20" s="372"/>
      <c r="BW20" s="203">
        <f t="shared" si="20"/>
        <v>0</v>
      </c>
      <c r="BX20" s="372"/>
      <c r="BY20" s="372"/>
      <c r="BZ20" s="372">
        <f>Roles!$D$7</f>
        <v>0.12</v>
      </c>
      <c r="CA20" s="372"/>
      <c r="CB20" s="203">
        <f t="shared" si="21"/>
        <v>0</v>
      </c>
      <c r="CC20" s="372"/>
      <c r="CD20" s="372"/>
      <c r="CE20" s="372">
        <f>Roles!$D$7</f>
        <v>0.12</v>
      </c>
      <c r="CF20" s="372"/>
      <c r="CG20" s="203">
        <f t="shared" si="22"/>
        <v>0</v>
      </c>
      <c r="CH20" s="372"/>
      <c r="CI20" s="372"/>
      <c r="CJ20" s="372">
        <f>Roles!$D$7</f>
        <v>0.12</v>
      </c>
      <c r="CK20" s="372"/>
      <c r="CL20" s="203">
        <f t="shared" si="23"/>
        <v>0</v>
      </c>
      <c r="CM20" s="372"/>
      <c r="CN20" s="372"/>
      <c r="CO20" s="372">
        <f>Roles!$D$7</f>
        <v>0.12</v>
      </c>
      <c r="CP20" s="372"/>
      <c r="CQ20" s="203">
        <f t="shared" si="24"/>
        <v>0</v>
      </c>
      <c r="CR20" s="372"/>
      <c r="CS20" s="372"/>
      <c r="CT20" s="372">
        <f>Roles!$D$7</f>
        <v>0.12</v>
      </c>
      <c r="CU20" s="372"/>
      <c r="CV20" s="203">
        <f t="shared" si="25"/>
        <v>0</v>
      </c>
      <c r="CW20" s="372"/>
      <c r="CX20" s="372"/>
      <c r="CY20" s="372">
        <f>Roles!$D$7</f>
        <v>0.12</v>
      </c>
      <c r="CZ20" s="372"/>
      <c r="DA20" s="203">
        <f t="shared" si="26"/>
        <v>0</v>
      </c>
      <c r="DB20" s="372"/>
      <c r="DC20" s="372"/>
      <c r="DD20" s="372">
        <f>Roles!$D$7</f>
        <v>0.12</v>
      </c>
      <c r="DE20" s="372"/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 t="shared" si="1"/>
        <v>2</v>
      </c>
      <c r="F21" s="80">
        <v>3.0</v>
      </c>
      <c r="G21" s="105">
        <f t="shared" si="2"/>
        <v>0.002583979328</v>
      </c>
      <c r="H21" s="186">
        <f t="shared" si="32"/>
        <v>0.0301464255</v>
      </c>
      <c r="I21" s="187">
        <f t="shared" si="30"/>
        <v>0</v>
      </c>
      <c r="J21" s="172">
        <f t="shared" si="33"/>
        <v>38</v>
      </c>
      <c r="K21" s="115">
        <f t="shared" si="3"/>
        <v>0.03339191564</v>
      </c>
      <c r="L21" s="336">
        <f t="shared" si="31"/>
        <v>0</v>
      </c>
      <c r="M21" s="172">
        <f t="shared" si="34"/>
        <v>16.72</v>
      </c>
      <c r="N21" s="111" t="str">
        <f t="shared" si="6"/>
        <v>#REF!</v>
      </c>
      <c r="O21" s="203">
        <f t="shared" si="7"/>
        <v>0</v>
      </c>
      <c r="P21" s="378">
        <v>0.0</v>
      </c>
      <c r="Q21" s="372"/>
      <c r="R21" s="372">
        <f>Roles!$D$5</f>
        <v>0.44</v>
      </c>
      <c r="S21" s="372">
        <f t="shared" si="8"/>
        <v>0</v>
      </c>
      <c r="T21" s="203">
        <f t="shared" si="9"/>
        <v>0</v>
      </c>
      <c r="U21" s="372"/>
      <c r="V21" s="372"/>
      <c r="W21" s="372">
        <f>Roles!$D$7</f>
        <v>0.12</v>
      </c>
      <c r="X21" s="372"/>
      <c r="Y21" s="203">
        <f t="shared" si="10"/>
        <v>0</v>
      </c>
      <c r="Z21" s="372"/>
      <c r="AA21" s="372"/>
      <c r="AB21" s="372">
        <f>Roles!$D$7</f>
        <v>0.12</v>
      </c>
      <c r="AC21" s="372"/>
      <c r="AD21" s="203">
        <f t="shared" si="11"/>
        <v>0</v>
      </c>
      <c r="AE21" s="372"/>
      <c r="AF21" s="372"/>
      <c r="AG21" s="372">
        <f>Roles!$D$7</f>
        <v>0.12</v>
      </c>
      <c r="AH21" s="372"/>
      <c r="AI21" s="203">
        <f t="shared" si="12"/>
        <v>0</v>
      </c>
      <c r="AJ21" s="372"/>
      <c r="AK21" s="372"/>
      <c r="AL21" s="372">
        <f>Roles!$D$7</f>
        <v>0.12</v>
      </c>
      <c r="AM21" s="372"/>
      <c r="AN21" s="203">
        <f t="shared" si="13"/>
        <v>0</v>
      </c>
      <c r="AO21" s="372"/>
      <c r="AP21" s="372"/>
      <c r="AQ21" s="372">
        <f>Roles!$D$7</f>
        <v>0.12</v>
      </c>
      <c r="AR21" s="372"/>
      <c r="AS21" s="203">
        <f t="shared" si="14"/>
        <v>0</v>
      </c>
      <c r="AT21" s="372"/>
      <c r="AU21" s="372"/>
      <c r="AV21" s="372">
        <f>Roles!$D$7</f>
        <v>0.12</v>
      </c>
      <c r="AW21" s="372"/>
      <c r="AX21" s="203">
        <f t="shared" si="15"/>
        <v>0</v>
      </c>
      <c r="AY21" s="372"/>
      <c r="AZ21" s="372"/>
      <c r="BA21" s="372">
        <f>Roles!$D$7</f>
        <v>0.12</v>
      </c>
      <c r="BB21" s="372"/>
      <c r="BC21" s="203">
        <f t="shared" si="16"/>
        <v>0</v>
      </c>
      <c r="BD21" s="372"/>
      <c r="BE21" s="372"/>
      <c r="BF21" s="372">
        <f>Roles!$D$7</f>
        <v>0.12</v>
      </c>
      <c r="BG21" s="372"/>
      <c r="BH21" s="203">
        <f t="shared" si="17"/>
        <v>0</v>
      </c>
      <c r="BI21" s="372"/>
      <c r="BJ21" s="372"/>
      <c r="BK21" s="372">
        <f>Roles!$D$7</f>
        <v>0.12</v>
      </c>
      <c r="BL21" s="372"/>
      <c r="BM21" s="203">
        <f t="shared" si="18"/>
        <v>0</v>
      </c>
      <c r="BN21" s="372"/>
      <c r="BO21" s="372"/>
      <c r="BP21" s="372">
        <f>Roles!$D$7</f>
        <v>0.12</v>
      </c>
      <c r="BQ21" s="372"/>
      <c r="BR21" s="203">
        <f t="shared" si="19"/>
        <v>0</v>
      </c>
      <c r="BS21" s="372"/>
      <c r="BT21" s="372"/>
      <c r="BU21" s="372">
        <f>Roles!$D$7</f>
        <v>0.12</v>
      </c>
      <c r="BV21" s="372"/>
      <c r="BW21" s="203">
        <f t="shared" si="20"/>
        <v>0</v>
      </c>
      <c r="BX21" s="372"/>
      <c r="BY21" s="372"/>
      <c r="BZ21" s="372">
        <f>Roles!$D$7</f>
        <v>0.12</v>
      </c>
      <c r="CA21" s="372"/>
      <c r="CB21" s="203">
        <f t="shared" si="21"/>
        <v>0</v>
      </c>
      <c r="CC21" s="372"/>
      <c r="CD21" s="372"/>
      <c r="CE21" s="372">
        <f>Roles!$D$7</f>
        <v>0.12</v>
      </c>
      <c r="CF21" s="372"/>
      <c r="CG21" s="203">
        <f t="shared" si="22"/>
        <v>0</v>
      </c>
      <c r="CH21" s="372"/>
      <c r="CI21" s="372"/>
      <c r="CJ21" s="372">
        <f>Roles!$D$7</f>
        <v>0.12</v>
      </c>
      <c r="CK21" s="372"/>
      <c r="CL21" s="203">
        <f t="shared" si="23"/>
        <v>0</v>
      </c>
      <c r="CM21" s="372"/>
      <c r="CN21" s="372"/>
      <c r="CO21" s="372">
        <f>Roles!$D$7</f>
        <v>0.12</v>
      </c>
      <c r="CP21" s="372"/>
      <c r="CQ21" s="203">
        <f t="shared" si="24"/>
        <v>0</v>
      </c>
      <c r="CR21" s="372"/>
      <c r="CS21" s="372"/>
      <c r="CT21" s="372">
        <f>Roles!$D$7</f>
        <v>0.12</v>
      </c>
      <c r="CU21" s="372"/>
      <c r="CV21" s="203">
        <f t="shared" si="25"/>
        <v>0</v>
      </c>
      <c r="CW21" s="372"/>
      <c r="CX21" s="372"/>
      <c r="CY21" s="372">
        <f>Roles!$D$7</f>
        <v>0.12</v>
      </c>
      <c r="CZ21" s="372"/>
      <c r="DA21" s="203">
        <f t="shared" si="26"/>
        <v>0</v>
      </c>
      <c r="DB21" s="372"/>
      <c r="DC21" s="372"/>
      <c r="DD21" s="372">
        <f>Roles!$D$7</f>
        <v>0.12</v>
      </c>
      <c r="DE21" s="372"/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 t="shared" si="1"/>
        <v>2</v>
      </c>
      <c r="F22" s="80">
        <v>3.0</v>
      </c>
      <c r="G22" s="105">
        <f t="shared" si="2"/>
        <v>0.002583979328</v>
      </c>
      <c r="H22" s="186">
        <f t="shared" si="32"/>
        <v>0.03273040482</v>
      </c>
      <c r="I22" s="187">
        <f t="shared" si="30"/>
        <v>0</v>
      </c>
      <c r="J22" s="172">
        <f t="shared" si="33"/>
        <v>38</v>
      </c>
      <c r="K22" s="115">
        <f t="shared" si="3"/>
        <v>0.03339191564</v>
      </c>
      <c r="L22" s="336">
        <f t="shared" si="31"/>
        <v>0</v>
      </c>
      <c r="M22" s="172">
        <f t="shared" si="34"/>
        <v>16.72</v>
      </c>
      <c r="N22" s="115" t="str">
        <f t="shared" si="6"/>
        <v>#REF!</v>
      </c>
      <c r="O22" s="203">
        <f t="shared" si="7"/>
        <v>0</v>
      </c>
      <c r="P22" s="378">
        <v>0.0</v>
      </c>
      <c r="Q22" s="372"/>
      <c r="R22" s="372">
        <f>Roles!$D$5</f>
        <v>0.44</v>
      </c>
      <c r="S22" s="372">
        <f t="shared" si="8"/>
        <v>0</v>
      </c>
      <c r="T22" s="203">
        <f t="shared" si="9"/>
        <v>0</v>
      </c>
      <c r="U22" s="372"/>
      <c r="V22" s="372"/>
      <c r="W22" s="372">
        <f>Roles!$D$7</f>
        <v>0.12</v>
      </c>
      <c r="X22" s="372"/>
      <c r="Y22" s="203">
        <f t="shared" si="10"/>
        <v>0</v>
      </c>
      <c r="Z22" s="372"/>
      <c r="AA22" s="372"/>
      <c r="AB22" s="372">
        <f>Roles!$D$7</f>
        <v>0.12</v>
      </c>
      <c r="AC22" s="372"/>
      <c r="AD22" s="203">
        <f t="shared" si="11"/>
        <v>0</v>
      </c>
      <c r="AE22" s="372"/>
      <c r="AF22" s="372"/>
      <c r="AG22" s="372">
        <f>Roles!$D$7</f>
        <v>0.12</v>
      </c>
      <c r="AH22" s="372"/>
      <c r="AI22" s="203">
        <f t="shared" si="12"/>
        <v>0</v>
      </c>
      <c r="AJ22" s="372"/>
      <c r="AK22" s="372"/>
      <c r="AL22" s="372">
        <f>Roles!$D$7</f>
        <v>0.12</v>
      </c>
      <c r="AM22" s="372"/>
      <c r="AN22" s="203">
        <f t="shared" si="13"/>
        <v>0</v>
      </c>
      <c r="AO22" s="372"/>
      <c r="AP22" s="372"/>
      <c r="AQ22" s="372">
        <f>Roles!$D$7</f>
        <v>0.12</v>
      </c>
      <c r="AR22" s="372"/>
      <c r="AS22" s="203">
        <f t="shared" si="14"/>
        <v>0</v>
      </c>
      <c r="AT22" s="372"/>
      <c r="AU22" s="372"/>
      <c r="AV22" s="372">
        <f>Roles!$D$7</f>
        <v>0.12</v>
      </c>
      <c r="AW22" s="372"/>
      <c r="AX22" s="203">
        <f t="shared" si="15"/>
        <v>0</v>
      </c>
      <c r="AY22" s="372"/>
      <c r="AZ22" s="372"/>
      <c r="BA22" s="372">
        <f>Roles!$D$7</f>
        <v>0.12</v>
      </c>
      <c r="BB22" s="372"/>
      <c r="BC22" s="203">
        <f t="shared" si="16"/>
        <v>0</v>
      </c>
      <c r="BD22" s="372"/>
      <c r="BE22" s="372"/>
      <c r="BF22" s="372">
        <f>Roles!$D$7</f>
        <v>0.12</v>
      </c>
      <c r="BG22" s="372"/>
      <c r="BH22" s="203">
        <f t="shared" si="17"/>
        <v>0</v>
      </c>
      <c r="BI22" s="372"/>
      <c r="BJ22" s="372"/>
      <c r="BK22" s="372">
        <f>Roles!$D$7</f>
        <v>0.12</v>
      </c>
      <c r="BL22" s="372"/>
      <c r="BM22" s="203">
        <f t="shared" si="18"/>
        <v>0</v>
      </c>
      <c r="BN22" s="372"/>
      <c r="BO22" s="372"/>
      <c r="BP22" s="372">
        <f>Roles!$D$7</f>
        <v>0.12</v>
      </c>
      <c r="BQ22" s="372"/>
      <c r="BR22" s="203">
        <f t="shared" si="19"/>
        <v>0</v>
      </c>
      <c r="BS22" s="372"/>
      <c r="BT22" s="372"/>
      <c r="BU22" s="372">
        <f>Roles!$D$7</f>
        <v>0.12</v>
      </c>
      <c r="BV22" s="372"/>
      <c r="BW22" s="203">
        <f t="shared" si="20"/>
        <v>0</v>
      </c>
      <c r="BX22" s="372"/>
      <c r="BY22" s="372"/>
      <c r="BZ22" s="372">
        <f>Roles!$D$7</f>
        <v>0.12</v>
      </c>
      <c r="CA22" s="372"/>
      <c r="CB22" s="203">
        <f t="shared" si="21"/>
        <v>0</v>
      </c>
      <c r="CC22" s="372"/>
      <c r="CD22" s="372"/>
      <c r="CE22" s="372">
        <f>Roles!$D$7</f>
        <v>0.12</v>
      </c>
      <c r="CF22" s="372"/>
      <c r="CG22" s="203">
        <f t="shared" si="22"/>
        <v>0</v>
      </c>
      <c r="CH22" s="372"/>
      <c r="CI22" s="372"/>
      <c r="CJ22" s="372">
        <f>Roles!$D$7</f>
        <v>0.12</v>
      </c>
      <c r="CK22" s="372"/>
      <c r="CL22" s="203">
        <f t="shared" si="23"/>
        <v>0</v>
      </c>
      <c r="CM22" s="372"/>
      <c r="CN22" s="372"/>
      <c r="CO22" s="372">
        <f>Roles!$D$7</f>
        <v>0.12</v>
      </c>
      <c r="CP22" s="372"/>
      <c r="CQ22" s="203">
        <f t="shared" si="24"/>
        <v>0</v>
      </c>
      <c r="CR22" s="372"/>
      <c r="CS22" s="372"/>
      <c r="CT22" s="372">
        <f>Roles!$D$7</f>
        <v>0.12</v>
      </c>
      <c r="CU22" s="372"/>
      <c r="CV22" s="203">
        <f t="shared" si="25"/>
        <v>0</v>
      </c>
      <c r="CW22" s="372"/>
      <c r="CX22" s="372"/>
      <c r="CY22" s="372">
        <f>Roles!$D$7</f>
        <v>0.12</v>
      </c>
      <c r="CZ22" s="372"/>
      <c r="DA22" s="203">
        <f t="shared" si="26"/>
        <v>0</v>
      </c>
      <c r="DB22" s="372"/>
      <c r="DC22" s="372"/>
      <c r="DD22" s="372">
        <f>Roles!$D$7</f>
        <v>0.12</v>
      </c>
      <c r="DE22" s="372"/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 t="shared" si="1"/>
        <v>7</v>
      </c>
      <c r="F23" s="161">
        <f>SUM(F24:F28)</f>
        <v>20</v>
      </c>
      <c r="G23" s="105">
        <f t="shared" si="2"/>
        <v>0.01722652885</v>
      </c>
      <c r="H23" s="163">
        <f>H28</f>
        <v>0.04995693368</v>
      </c>
      <c r="I23" s="213">
        <f>SUM(I24:I28)</f>
        <v>8</v>
      </c>
      <c r="J23" s="165">
        <f>J28</f>
        <v>46</v>
      </c>
      <c r="K23" s="167">
        <f t="shared" si="3"/>
        <v>0.04042179262</v>
      </c>
      <c r="L23" s="228">
        <f>SUM(L24:L28)</f>
        <v>3.52</v>
      </c>
      <c r="M23" s="215">
        <f>M28</f>
        <v>20.24</v>
      </c>
      <c r="N23" s="224" t="str">
        <f t="shared" si="6"/>
        <v>#REF!</v>
      </c>
      <c r="O23" s="203">
        <f t="shared" si="7"/>
        <v>0</v>
      </c>
      <c r="P23" s="372"/>
      <c r="Q23" s="372"/>
      <c r="R23" s="372">
        <f>Roles!$D$5</f>
        <v>0.44</v>
      </c>
      <c r="S23" s="372">
        <f t="shared" si="8"/>
        <v>0</v>
      </c>
      <c r="T23" s="203">
        <f t="shared" si="9"/>
        <v>0</v>
      </c>
      <c r="U23" s="372"/>
      <c r="V23" s="372"/>
      <c r="W23" s="372">
        <f>Roles!$D$7</f>
        <v>0.12</v>
      </c>
      <c r="X23" s="372"/>
      <c r="Y23" s="203">
        <f t="shared" si="10"/>
        <v>0</v>
      </c>
      <c r="Z23" s="372"/>
      <c r="AA23" s="372"/>
      <c r="AB23" s="372">
        <f>Roles!$D$7</f>
        <v>0.12</v>
      </c>
      <c r="AC23" s="372"/>
      <c r="AD23" s="203">
        <f t="shared" si="11"/>
        <v>0</v>
      </c>
      <c r="AE23" s="372"/>
      <c r="AF23" s="372"/>
      <c r="AG23" s="372">
        <f>Roles!$D$7</f>
        <v>0.12</v>
      </c>
      <c r="AH23" s="372"/>
      <c r="AI23" s="203">
        <f t="shared" si="12"/>
        <v>0</v>
      </c>
      <c r="AJ23" s="372"/>
      <c r="AK23" s="372"/>
      <c r="AL23" s="372">
        <f>Roles!$D$7</f>
        <v>0.12</v>
      </c>
      <c r="AM23" s="372"/>
      <c r="AN23" s="203">
        <f t="shared" si="13"/>
        <v>0</v>
      </c>
      <c r="AO23" s="372"/>
      <c r="AP23" s="372"/>
      <c r="AQ23" s="372">
        <f>Roles!$D$7</f>
        <v>0.12</v>
      </c>
      <c r="AR23" s="372"/>
      <c r="AS23" s="203">
        <f t="shared" si="14"/>
        <v>0</v>
      </c>
      <c r="AT23" s="372"/>
      <c r="AU23" s="372"/>
      <c r="AV23" s="372">
        <f>Roles!$D$7</f>
        <v>0.12</v>
      </c>
      <c r="AW23" s="372"/>
      <c r="AX23" s="203">
        <f t="shared" si="15"/>
        <v>0</v>
      </c>
      <c r="AY23" s="372"/>
      <c r="AZ23" s="372"/>
      <c r="BA23" s="372">
        <f>Roles!$D$7</f>
        <v>0.12</v>
      </c>
      <c r="BB23" s="372"/>
      <c r="BC23" s="203">
        <f t="shared" si="16"/>
        <v>0</v>
      </c>
      <c r="BD23" s="372"/>
      <c r="BE23" s="372"/>
      <c r="BF23" s="372">
        <f>Roles!$D$7</f>
        <v>0.12</v>
      </c>
      <c r="BG23" s="372"/>
      <c r="BH23" s="203">
        <f t="shared" si="17"/>
        <v>0</v>
      </c>
      <c r="BI23" s="372"/>
      <c r="BJ23" s="372"/>
      <c r="BK23" s="372">
        <f>Roles!$D$7</f>
        <v>0.12</v>
      </c>
      <c r="BL23" s="372"/>
      <c r="BM23" s="203">
        <f t="shared" si="18"/>
        <v>0</v>
      </c>
      <c r="BN23" s="372"/>
      <c r="BO23" s="372"/>
      <c r="BP23" s="372">
        <f>Roles!$D$7</f>
        <v>0.12</v>
      </c>
      <c r="BQ23" s="372"/>
      <c r="BR23" s="203">
        <f t="shared" si="19"/>
        <v>0</v>
      </c>
      <c r="BS23" s="372"/>
      <c r="BT23" s="372"/>
      <c r="BU23" s="372">
        <f>Roles!$D$7</f>
        <v>0.12</v>
      </c>
      <c r="BV23" s="372"/>
      <c r="BW23" s="203">
        <f t="shared" si="20"/>
        <v>0</v>
      </c>
      <c r="BX23" s="372"/>
      <c r="BY23" s="372"/>
      <c r="BZ23" s="372">
        <f>Roles!$D$7</f>
        <v>0.12</v>
      </c>
      <c r="CA23" s="372"/>
      <c r="CB23" s="203">
        <f t="shared" si="21"/>
        <v>0</v>
      </c>
      <c r="CC23" s="372"/>
      <c r="CD23" s="372"/>
      <c r="CE23" s="372">
        <f>Roles!$D$7</f>
        <v>0.12</v>
      </c>
      <c r="CF23" s="372"/>
      <c r="CG23" s="203">
        <f t="shared" si="22"/>
        <v>0</v>
      </c>
      <c r="CH23" s="372"/>
      <c r="CI23" s="372"/>
      <c r="CJ23" s="372">
        <f>Roles!$D$7</f>
        <v>0.12</v>
      </c>
      <c r="CK23" s="372"/>
      <c r="CL23" s="203">
        <f t="shared" si="23"/>
        <v>0</v>
      </c>
      <c r="CM23" s="372"/>
      <c r="CN23" s="372"/>
      <c r="CO23" s="372">
        <f>Roles!$D$7</f>
        <v>0.12</v>
      </c>
      <c r="CP23" s="372"/>
      <c r="CQ23" s="203">
        <f t="shared" si="24"/>
        <v>0</v>
      </c>
      <c r="CR23" s="372"/>
      <c r="CS23" s="372"/>
      <c r="CT23" s="372">
        <f>Roles!$D$7</f>
        <v>0.12</v>
      </c>
      <c r="CU23" s="372"/>
      <c r="CV23" s="203">
        <f t="shared" si="25"/>
        <v>0</v>
      </c>
      <c r="CW23" s="372"/>
      <c r="CX23" s="372"/>
      <c r="CY23" s="372">
        <f>Roles!$D$7</f>
        <v>0.12</v>
      </c>
      <c r="CZ23" s="372"/>
      <c r="DA23" s="203">
        <f t="shared" si="26"/>
        <v>0</v>
      </c>
      <c r="DB23" s="372"/>
      <c r="DC23" s="372"/>
      <c r="DD23" s="372">
        <f>Roles!$D$7</f>
        <v>0.12</v>
      </c>
      <c r="DE23" s="372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 t="shared" si="1"/>
        <v>7</v>
      </c>
      <c r="F24" s="185">
        <v>8.0</v>
      </c>
      <c r="G24" s="105">
        <f t="shared" si="2"/>
        <v>0.006890611542</v>
      </c>
      <c r="H24" s="186">
        <f>H22+G24</f>
        <v>0.03962101637</v>
      </c>
      <c r="I24" s="231">
        <f t="shared" ref="I24:I28" si="35">P24+U24+Z24+AE24+AJ24+AO24+AT24+AY24+BD24+BI24+BN24+BS24+BX24+CC24+CH24+CM24+CR24+CW24+DB24</f>
        <v>0</v>
      </c>
      <c r="J24" s="187">
        <f>J22+I24</f>
        <v>38</v>
      </c>
      <c r="K24" s="115">
        <f t="shared" si="3"/>
        <v>0.03339191564</v>
      </c>
      <c r="L24" s="232">
        <f t="shared" ref="L24:L28" si="36">S24+X24+AC24+AH24+AM24+AR24+AW24+BB24+BG24+BL24+BQ24+BV24+CA24+CF24+CK24+CP24+CU24+CZ24+DE24</f>
        <v>0</v>
      </c>
      <c r="M24" s="172">
        <f>M22+L24</f>
        <v>16.72</v>
      </c>
      <c r="N24" s="226" t="str">
        <f t="shared" si="6"/>
        <v>#REF!</v>
      </c>
      <c r="O24" s="203">
        <f t="shared" si="7"/>
        <v>0</v>
      </c>
      <c r="P24" s="378">
        <v>0.0</v>
      </c>
      <c r="Q24" s="372"/>
      <c r="R24" s="372">
        <f>Roles!$D$5</f>
        <v>0.44</v>
      </c>
      <c r="S24" s="372">
        <f t="shared" si="8"/>
        <v>0</v>
      </c>
      <c r="T24" s="203">
        <f t="shared" si="9"/>
        <v>0</v>
      </c>
      <c r="U24" s="372"/>
      <c r="V24" s="372"/>
      <c r="W24" s="372">
        <f>Roles!$D$7</f>
        <v>0.12</v>
      </c>
      <c r="X24" s="372"/>
      <c r="Y24" s="203">
        <f t="shared" si="10"/>
        <v>0</v>
      </c>
      <c r="Z24" s="372"/>
      <c r="AA24" s="372"/>
      <c r="AB24" s="372">
        <f>Roles!$D$7</f>
        <v>0.12</v>
      </c>
      <c r="AC24" s="372"/>
      <c r="AD24" s="203">
        <f t="shared" si="11"/>
        <v>0</v>
      </c>
      <c r="AE24" s="372"/>
      <c r="AF24" s="372"/>
      <c r="AG24" s="372">
        <f>Roles!$D$7</f>
        <v>0.12</v>
      </c>
      <c r="AH24" s="372"/>
      <c r="AI24" s="203">
        <f t="shared" si="12"/>
        <v>0</v>
      </c>
      <c r="AJ24" s="372"/>
      <c r="AK24" s="372"/>
      <c r="AL24" s="372">
        <f>Roles!$D$7</f>
        <v>0.12</v>
      </c>
      <c r="AM24" s="372"/>
      <c r="AN24" s="203">
        <f t="shared" si="13"/>
        <v>0</v>
      </c>
      <c r="AO24" s="372"/>
      <c r="AP24" s="372"/>
      <c r="AQ24" s="372">
        <f>Roles!$D$7</f>
        <v>0.12</v>
      </c>
      <c r="AR24" s="372"/>
      <c r="AS24" s="203">
        <f t="shared" si="14"/>
        <v>0</v>
      </c>
      <c r="AT24" s="372"/>
      <c r="AU24" s="372"/>
      <c r="AV24" s="372">
        <f>Roles!$D$7</f>
        <v>0.12</v>
      </c>
      <c r="AW24" s="372"/>
      <c r="AX24" s="203">
        <f t="shared" si="15"/>
        <v>0</v>
      </c>
      <c r="AY24" s="372"/>
      <c r="AZ24" s="372"/>
      <c r="BA24" s="372">
        <f>Roles!$D$7</f>
        <v>0.12</v>
      </c>
      <c r="BB24" s="372"/>
      <c r="BC24" s="203">
        <f t="shared" si="16"/>
        <v>0</v>
      </c>
      <c r="BD24" s="372"/>
      <c r="BE24" s="372"/>
      <c r="BF24" s="372">
        <f>Roles!$D$7</f>
        <v>0.12</v>
      </c>
      <c r="BG24" s="372"/>
      <c r="BH24" s="203">
        <f t="shared" si="17"/>
        <v>0</v>
      </c>
      <c r="BI24" s="372"/>
      <c r="BJ24" s="372"/>
      <c r="BK24" s="372">
        <f>Roles!$D$7</f>
        <v>0.12</v>
      </c>
      <c r="BL24" s="372"/>
      <c r="BM24" s="203">
        <f t="shared" si="18"/>
        <v>0</v>
      </c>
      <c r="BN24" s="372"/>
      <c r="BO24" s="372"/>
      <c r="BP24" s="372">
        <f>Roles!$D$7</f>
        <v>0.12</v>
      </c>
      <c r="BQ24" s="372"/>
      <c r="BR24" s="203">
        <f t="shared" si="19"/>
        <v>0</v>
      </c>
      <c r="BS24" s="372"/>
      <c r="BT24" s="372"/>
      <c r="BU24" s="372">
        <f>Roles!$D$7</f>
        <v>0.12</v>
      </c>
      <c r="BV24" s="372"/>
      <c r="BW24" s="203">
        <f t="shared" si="20"/>
        <v>0</v>
      </c>
      <c r="BX24" s="372"/>
      <c r="BY24" s="372"/>
      <c r="BZ24" s="372">
        <f>Roles!$D$7</f>
        <v>0.12</v>
      </c>
      <c r="CA24" s="372"/>
      <c r="CB24" s="203">
        <f t="shared" si="21"/>
        <v>0</v>
      </c>
      <c r="CC24" s="372"/>
      <c r="CD24" s="372"/>
      <c r="CE24" s="372">
        <f>Roles!$D$7</f>
        <v>0.12</v>
      </c>
      <c r="CF24" s="372"/>
      <c r="CG24" s="203">
        <f t="shared" si="22"/>
        <v>0</v>
      </c>
      <c r="CH24" s="372"/>
      <c r="CI24" s="372"/>
      <c r="CJ24" s="372">
        <f>Roles!$D$7</f>
        <v>0.12</v>
      </c>
      <c r="CK24" s="372"/>
      <c r="CL24" s="203">
        <f t="shared" si="23"/>
        <v>0</v>
      </c>
      <c r="CM24" s="372"/>
      <c r="CN24" s="372"/>
      <c r="CO24" s="372">
        <f>Roles!$D$7</f>
        <v>0.12</v>
      </c>
      <c r="CP24" s="372"/>
      <c r="CQ24" s="203">
        <f t="shared" si="24"/>
        <v>0</v>
      </c>
      <c r="CR24" s="372"/>
      <c r="CS24" s="372"/>
      <c r="CT24" s="372">
        <f>Roles!$D$7</f>
        <v>0.12</v>
      </c>
      <c r="CU24" s="372"/>
      <c r="CV24" s="203">
        <f t="shared" si="25"/>
        <v>0</v>
      </c>
      <c r="CW24" s="372"/>
      <c r="CX24" s="372"/>
      <c r="CY24" s="372">
        <f>Roles!$D$7</f>
        <v>0.12</v>
      </c>
      <c r="CZ24" s="372"/>
      <c r="DA24" s="203">
        <f t="shared" si="26"/>
        <v>0</v>
      </c>
      <c r="DB24" s="372"/>
      <c r="DC24" s="372"/>
      <c r="DD24" s="372">
        <f>Roles!$D$7</f>
        <v>0.12</v>
      </c>
      <c r="DE24" s="372"/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 t="shared" si="1"/>
        <v>3</v>
      </c>
      <c r="F25" s="80">
        <v>4.0</v>
      </c>
      <c r="G25" s="105">
        <f t="shared" si="2"/>
        <v>0.003445305771</v>
      </c>
      <c r="H25" s="47">
        <f t="shared" ref="H25:H29" si="37">H24+G25</f>
        <v>0.04306632214</v>
      </c>
      <c r="I25" s="231">
        <f t="shared" si="35"/>
        <v>8</v>
      </c>
      <c r="J25" s="172">
        <f t="shared" ref="J25:J29" si="38">J24+I25</f>
        <v>46</v>
      </c>
      <c r="K25" s="115">
        <f t="shared" si="3"/>
        <v>0.04042179262</v>
      </c>
      <c r="L25" s="232">
        <f t="shared" si="36"/>
        <v>3.52</v>
      </c>
      <c r="M25" s="172">
        <f t="shared" ref="M25:M29" si="39">M24+L25</f>
        <v>20.24</v>
      </c>
      <c r="N25" s="47" t="str">
        <f t="shared" si="6"/>
        <v>#REF!</v>
      </c>
      <c r="O25" s="203">
        <f t="shared" si="7"/>
        <v>2</v>
      </c>
      <c r="P25" s="378">
        <v>8.0</v>
      </c>
      <c r="Q25" s="372"/>
      <c r="R25" s="372">
        <f>Roles!$D$5</f>
        <v>0.44</v>
      </c>
      <c r="S25" s="372">
        <f t="shared" si="8"/>
        <v>3.52</v>
      </c>
      <c r="T25" s="203">
        <f t="shared" si="9"/>
        <v>0</v>
      </c>
      <c r="U25" s="372"/>
      <c r="V25" s="372"/>
      <c r="W25" s="372">
        <f>Roles!$D$7</f>
        <v>0.12</v>
      </c>
      <c r="X25" s="372"/>
      <c r="Y25" s="203">
        <f t="shared" si="10"/>
        <v>0</v>
      </c>
      <c r="Z25" s="372"/>
      <c r="AA25" s="372"/>
      <c r="AB25" s="372">
        <f>Roles!$D$7</f>
        <v>0.12</v>
      </c>
      <c r="AC25" s="372"/>
      <c r="AD25" s="203">
        <f t="shared" si="11"/>
        <v>0</v>
      </c>
      <c r="AE25" s="372"/>
      <c r="AF25" s="372"/>
      <c r="AG25" s="372">
        <f>Roles!$D$7</f>
        <v>0.12</v>
      </c>
      <c r="AH25" s="372"/>
      <c r="AI25" s="203">
        <f t="shared" si="12"/>
        <v>0</v>
      </c>
      <c r="AJ25" s="372"/>
      <c r="AK25" s="372"/>
      <c r="AL25" s="372">
        <f>Roles!$D$7</f>
        <v>0.12</v>
      </c>
      <c r="AM25" s="372"/>
      <c r="AN25" s="203">
        <f t="shared" si="13"/>
        <v>0</v>
      </c>
      <c r="AO25" s="372"/>
      <c r="AP25" s="372"/>
      <c r="AQ25" s="372">
        <f>Roles!$D$7</f>
        <v>0.12</v>
      </c>
      <c r="AR25" s="372"/>
      <c r="AS25" s="203">
        <f t="shared" si="14"/>
        <v>0</v>
      </c>
      <c r="AT25" s="372"/>
      <c r="AU25" s="372"/>
      <c r="AV25" s="372">
        <f>Roles!$D$7</f>
        <v>0.12</v>
      </c>
      <c r="AW25" s="372"/>
      <c r="AX25" s="203">
        <f t="shared" si="15"/>
        <v>0</v>
      </c>
      <c r="AY25" s="372"/>
      <c r="AZ25" s="372"/>
      <c r="BA25" s="372">
        <f>Roles!$D$7</f>
        <v>0.12</v>
      </c>
      <c r="BB25" s="372"/>
      <c r="BC25" s="203">
        <f t="shared" si="16"/>
        <v>0</v>
      </c>
      <c r="BD25" s="372"/>
      <c r="BE25" s="372"/>
      <c r="BF25" s="372">
        <f>Roles!$D$7</f>
        <v>0.12</v>
      </c>
      <c r="BG25" s="372"/>
      <c r="BH25" s="203">
        <f t="shared" si="17"/>
        <v>0</v>
      </c>
      <c r="BI25" s="372"/>
      <c r="BJ25" s="372"/>
      <c r="BK25" s="372">
        <f>Roles!$D$7</f>
        <v>0.12</v>
      </c>
      <c r="BL25" s="372"/>
      <c r="BM25" s="203">
        <f t="shared" si="18"/>
        <v>0</v>
      </c>
      <c r="BN25" s="372"/>
      <c r="BO25" s="372"/>
      <c r="BP25" s="372">
        <f>Roles!$D$7</f>
        <v>0.12</v>
      </c>
      <c r="BQ25" s="372"/>
      <c r="BR25" s="203">
        <f t="shared" si="19"/>
        <v>0</v>
      </c>
      <c r="BS25" s="372"/>
      <c r="BT25" s="372"/>
      <c r="BU25" s="372">
        <f>Roles!$D$7</f>
        <v>0.12</v>
      </c>
      <c r="BV25" s="372"/>
      <c r="BW25" s="203">
        <f t="shared" si="20"/>
        <v>0</v>
      </c>
      <c r="BX25" s="372"/>
      <c r="BY25" s="372"/>
      <c r="BZ25" s="372">
        <f>Roles!$D$7</f>
        <v>0.12</v>
      </c>
      <c r="CA25" s="372"/>
      <c r="CB25" s="203">
        <f t="shared" si="21"/>
        <v>0</v>
      </c>
      <c r="CC25" s="372"/>
      <c r="CD25" s="372"/>
      <c r="CE25" s="372">
        <f>Roles!$D$7</f>
        <v>0.12</v>
      </c>
      <c r="CF25" s="372"/>
      <c r="CG25" s="203">
        <f t="shared" si="22"/>
        <v>0</v>
      </c>
      <c r="CH25" s="372"/>
      <c r="CI25" s="372"/>
      <c r="CJ25" s="372">
        <f>Roles!$D$7</f>
        <v>0.12</v>
      </c>
      <c r="CK25" s="372"/>
      <c r="CL25" s="203">
        <f t="shared" si="23"/>
        <v>0</v>
      </c>
      <c r="CM25" s="372"/>
      <c r="CN25" s="372"/>
      <c r="CO25" s="372">
        <f>Roles!$D$7</f>
        <v>0.12</v>
      </c>
      <c r="CP25" s="372"/>
      <c r="CQ25" s="203">
        <f t="shared" si="24"/>
        <v>0</v>
      </c>
      <c r="CR25" s="372"/>
      <c r="CS25" s="372"/>
      <c r="CT25" s="372">
        <f>Roles!$D$7</f>
        <v>0.12</v>
      </c>
      <c r="CU25" s="372"/>
      <c r="CV25" s="203">
        <f t="shared" si="25"/>
        <v>0</v>
      </c>
      <c r="CW25" s="372"/>
      <c r="CX25" s="372"/>
      <c r="CY25" s="372">
        <f>Roles!$D$7</f>
        <v>0.12</v>
      </c>
      <c r="CZ25" s="372"/>
      <c r="DA25" s="203">
        <f t="shared" si="26"/>
        <v>0</v>
      </c>
      <c r="DB25" s="372"/>
      <c r="DC25" s="372"/>
      <c r="DD25" s="372">
        <f>Roles!$D$7</f>
        <v>0.12</v>
      </c>
      <c r="DE25" s="372"/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 t="shared" si="1"/>
        <v>3</v>
      </c>
      <c r="F26" s="80">
        <v>4.0</v>
      </c>
      <c r="G26" s="105">
        <f t="shared" si="2"/>
        <v>0.003445305771</v>
      </c>
      <c r="H26" s="47">
        <f t="shared" si="37"/>
        <v>0.04651162791</v>
      </c>
      <c r="I26" s="231">
        <f t="shared" si="35"/>
        <v>0</v>
      </c>
      <c r="J26" s="172">
        <f t="shared" si="38"/>
        <v>46</v>
      </c>
      <c r="K26" s="115">
        <f t="shared" si="3"/>
        <v>0.04042179262</v>
      </c>
      <c r="L26" s="232">
        <f t="shared" si="36"/>
        <v>0</v>
      </c>
      <c r="M26" s="172">
        <f t="shared" si="39"/>
        <v>20.24</v>
      </c>
      <c r="N26" s="47" t="str">
        <f t="shared" si="6"/>
        <v>#REF!</v>
      </c>
      <c r="O26" s="203">
        <f t="shared" si="7"/>
        <v>0</v>
      </c>
      <c r="P26" s="378">
        <v>0.0</v>
      </c>
      <c r="Q26" s="372"/>
      <c r="R26" s="372">
        <f>Roles!$D$5</f>
        <v>0.44</v>
      </c>
      <c r="S26" s="372">
        <f t="shared" si="8"/>
        <v>0</v>
      </c>
      <c r="T26" s="203">
        <f t="shared" si="9"/>
        <v>0</v>
      </c>
      <c r="U26" s="372"/>
      <c r="V26" s="372"/>
      <c r="W26" s="372">
        <f>Roles!$D$7</f>
        <v>0.12</v>
      </c>
      <c r="X26" s="372"/>
      <c r="Y26" s="203">
        <f t="shared" si="10"/>
        <v>0</v>
      </c>
      <c r="Z26" s="372"/>
      <c r="AA26" s="372"/>
      <c r="AB26" s="372">
        <f>Roles!$D$7</f>
        <v>0.12</v>
      </c>
      <c r="AC26" s="372"/>
      <c r="AD26" s="203">
        <f t="shared" si="11"/>
        <v>0</v>
      </c>
      <c r="AE26" s="372"/>
      <c r="AF26" s="372"/>
      <c r="AG26" s="372">
        <f>Roles!$D$7</f>
        <v>0.12</v>
      </c>
      <c r="AH26" s="372"/>
      <c r="AI26" s="203">
        <f t="shared" si="12"/>
        <v>0</v>
      </c>
      <c r="AJ26" s="372"/>
      <c r="AK26" s="372"/>
      <c r="AL26" s="372">
        <f>Roles!$D$7</f>
        <v>0.12</v>
      </c>
      <c r="AM26" s="372"/>
      <c r="AN26" s="203">
        <f t="shared" si="13"/>
        <v>0</v>
      </c>
      <c r="AO26" s="372"/>
      <c r="AP26" s="372"/>
      <c r="AQ26" s="372">
        <f>Roles!$D$7</f>
        <v>0.12</v>
      </c>
      <c r="AR26" s="372"/>
      <c r="AS26" s="203">
        <f t="shared" si="14"/>
        <v>0</v>
      </c>
      <c r="AT26" s="372"/>
      <c r="AU26" s="372"/>
      <c r="AV26" s="372">
        <f>Roles!$D$7</f>
        <v>0.12</v>
      </c>
      <c r="AW26" s="372"/>
      <c r="AX26" s="203">
        <f t="shared" si="15"/>
        <v>0</v>
      </c>
      <c r="AY26" s="372"/>
      <c r="AZ26" s="372"/>
      <c r="BA26" s="372">
        <f>Roles!$D$7</f>
        <v>0.12</v>
      </c>
      <c r="BB26" s="372"/>
      <c r="BC26" s="203">
        <f t="shared" si="16"/>
        <v>0</v>
      </c>
      <c r="BD26" s="372"/>
      <c r="BE26" s="372"/>
      <c r="BF26" s="372">
        <f>Roles!$D$7</f>
        <v>0.12</v>
      </c>
      <c r="BG26" s="372"/>
      <c r="BH26" s="203">
        <f t="shared" si="17"/>
        <v>0</v>
      </c>
      <c r="BI26" s="372"/>
      <c r="BJ26" s="372"/>
      <c r="BK26" s="372">
        <f>Roles!$D$7</f>
        <v>0.12</v>
      </c>
      <c r="BL26" s="372"/>
      <c r="BM26" s="203">
        <f t="shared" si="18"/>
        <v>0</v>
      </c>
      <c r="BN26" s="372"/>
      <c r="BO26" s="372"/>
      <c r="BP26" s="372">
        <f>Roles!$D$7</f>
        <v>0.12</v>
      </c>
      <c r="BQ26" s="372"/>
      <c r="BR26" s="203">
        <f t="shared" si="19"/>
        <v>0</v>
      </c>
      <c r="BS26" s="372"/>
      <c r="BT26" s="372"/>
      <c r="BU26" s="372">
        <f>Roles!$D$7</f>
        <v>0.12</v>
      </c>
      <c r="BV26" s="372"/>
      <c r="BW26" s="203">
        <f t="shared" si="20"/>
        <v>0</v>
      </c>
      <c r="BX26" s="372"/>
      <c r="BY26" s="372"/>
      <c r="BZ26" s="372">
        <f>Roles!$D$7</f>
        <v>0.12</v>
      </c>
      <c r="CA26" s="372"/>
      <c r="CB26" s="203">
        <f t="shared" si="21"/>
        <v>0</v>
      </c>
      <c r="CC26" s="372"/>
      <c r="CD26" s="372"/>
      <c r="CE26" s="372">
        <f>Roles!$D$7</f>
        <v>0.12</v>
      </c>
      <c r="CF26" s="372"/>
      <c r="CG26" s="203">
        <f t="shared" si="22"/>
        <v>0</v>
      </c>
      <c r="CH26" s="372"/>
      <c r="CI26" s="372"/>
      <c r="CJ26" s="372">
        <f>Roles!$D$7</f>
        <v>0.12</v>
      </c>
      <c r="CK26" s="372"/>
      <c r="CL26" s="203">
        <f t="shared" si="23"/>
        <v>0</v>
      </c>
      <c r="CM26" s="372"/>
      <c r="CN26" s="372"/>
      <c r="CO26" s="372">
        <f>Roles!$D$7</f>
        <v>0.12</v>
      </c>
      <c r="CP26" s="372"/>
      <c r="CQ26" s="203">
        <f t="shared" si="24"/>
        <v>0</v>
      </c>
      <c r="CR26" s="372"/>
      <c r="CS26" s="372"/>
      <c r="CT26" s="372">
        <f>Roles!$D$7</f>
        <v>0.12</v>
      </c>
      <c r="CU26" s="372"/>
      <c r="CV26" s="203">
        <f t="shared" si="25"/>
        <v>0</v>
      </c>
      <c r="CW26" s="372"/>
      <c r="CX26" s="372"/>
      <c r="CY26" s="372">
        <f>Roles!$D$7</f>
        <v>0.12</v>
      </c>
      <c r="CZ26" s="372"/>
      <c r="DA26" s="203">
        <f t="shared" si="26"/>
        <v>0</v>
      </c>
      <c r="DB26" s="372"/>
      <c r="DC26" s="372"/>
      <c r="DD26" s="372">
        <f>Roles!$D$7</f>
        <v>0.12</v>
      </c>
      <c r="DE26" s="372"/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 t="shared" si="1"/>
        <v>1</v>
      </c>
      <c r="F27" s="185">
        <v>1.0</v>
      </c>
      <c r="G27" s="105">
        <f t="shared" si="2"/>
        <v>0.0008613264427</v>
      </c>
      <c r="H27" s="47">
        <f t="shared" si="37"/>
        <v>0.04737295435</v>
      </c>
      <c r="I27" s="231">
        <f t="shared" si="35"/>
        <v>0</v>
      </c>
      <c r="J27" s="233">
        <f t="shared" si="38"/>
        <v>46</v>
      </c>
      <c r="K27" s="115">
        <f t="shared" si="3"/>
        <v>0.04042179262</v>
      </c>
      <c r="L27" s="232">
        <f t="shared" si="36"/>
        <v>0</v>
      </c>
      <c r="M27" s="191">
        <f t="shared" si="39"/>
        <v>20.24</v>
      </c>
      <c r="N27" s="167" t="str">
        <f t="shared" si="6"/>
        <v>#REF!</v>
      </c>
      <c r="O27" s="203">
        <f t="shared" si="7"/>
        <v>0</v>
      </c>
      <c r="P27" s="378">
        <v>0.0</v>
      </c>
      <c r="Q27" s="372"/>
      <c r="R27" s="372">
        <f>Roles!$D$5</f>
        <v>0.44</v>
      </c>
      <c r="S27" s="372">
        <f t="shared" si="8"/>
        <v>0</v>
      </c>
      <c r="T27" s="203">
        <f t="shared" si="9"/>
        <v>0</v>
      </c>
      <c r="U27" s="372"/>
      <c r="V27" s="372"/>
      <c r="W27" s="372">
        <f>Roles!$D$7</f>
        <v>0.12</v>
      </c>
      <c r="X27" s="372"/>
      <c r="Y27" s="203">
        <f t="shared" si="10"/>
        <v>0</v>
      </c>
      <c r="Z27" s="372"/>
      <c r="AA27" s="372"/>
      <c r="AB27" s="372">
        <f>Roles!$D$7</f>
        <v>0.12</v>
      </c>
      <c r="AC27" s="372"/>
      <c r="AD27" s="203">
        <f t="shared" si="11"/>
        <v>0</v>
      </c>
      <c r="AE27" s="372"/>
      <c r="AF27" s="372"/>
      <c r="AG27" s="372">
        <f>Roles!$D$7</f>
        <v>0.12</v>
      </c>
      <c r="AH27" s="372"/>
      <c r="AI27" s="203">
        <f t="shared" si="12"/>
        <v>0</v>
      </c>
      <c r="AJ27" s="372"/>
      <c r="AK27" s="372"/>
      <c r="AL27" s="372">
        <f>Roles!$D$7</f>
        <v>0.12</v>
      </c>
      <c r="AM27" s="372"/>
      <c r="AN27" s="203">
        <f t="shared" si="13"/>
        <v>0</v>
      </c>
      <c r="AO27" s="372"/>
      <c r="AP27" s="372"/>
      <c r="AQ27" s="372">
        <f>Roles!$D$7</f>
        <v>0.12</v>
      </c>
      <c r="AR27" s="372"/>
      <c r="AS27" s="203">
        <f t="shared" si="14"/>
        <v>0</v>
      </c>
      <c r="AT27" s="372"/>
      <c r="AU27" s="372"/>
      <c r="AV27" s="372">
        <f>Roles!$D$7</f>
        <v>0.12</v>
      </c>
      <c r="AW27" s="372"/>
      <c r="AX27" s="203">
        <f t="shared" si="15"/>
        <v>0</v>
      </c>
      <c r="AY27" s="372"/>
      <c r="AZ27" s="372"/>
      <c r="BA27" s="372">
        <f>Roles!$D$7</f>
        <v>0.12</v>
      </c>
      <c r="BB27" s="372"/>
      <c r="BC27" s="203">
        <f t="shared" si="16"/>
        <v>0</v>
      </c>
      <c r="BD27" s="372"/>
      <c r="BE27" s="372"/>
      <c r="BF27" s="372">
        <f>Roles!$D$7</f>
        <v>0.12</v>
      </c>
      <c r="BG27" s="372"/>
      <c r="BH27" s="203">
        <f t="shared" si="17"/>
        <v>0</v>
      </c>
      <c r="BI27" s="372"/>
      <c r="BJ27" s="372"/>
      <c r="BK27" s="372">
        <f>Roles!$D$7</f>
        <v>0.12</v>
      </c>
      <c r="BL27" s="372"/>
      <c r="BM27" s="203">
        <f t="shared" si="18"/>
        <v>0</v>
      </c>
      <c r="BN27" s="372"/>
      <c r="BO27" s="372"/>
      <c r="BP27" s="372">
        <f>Roles!$D$7</f>
        <v>0.12</v>
      </c>
      <c r="BQ27" s="372"/>
      <c r="BR27" s="203">
        <f t="shared" si="19"/>
        <v>0</v>
      </c>
      <c r="BS27" s="372"/>
      <c r="BT27" s="372"/>
      <c r="BU27" s="372">
        <f>Roles!$D$7</f>
        <v>0.12</v>
      </c>
      <c r="BV27" s="372"/>
      <c r="BW27" s="203">
        <f t="shared" si="20"/>
        <v>0</v>
      </c>
      <c r="BX27" s="372"/>
      <c r="BY27" s="372"/>
      <c r="BZ27" s="372">
        <f>Roles!$D$7</f>
        <v>0.12</v>
      </c>
      <c r="CA27" s="372"/>
      <c r="CB27" s="203">
        <f t="shared" si="21"/>
        <v>0</v>
      </c>
      <c r="CC27" s="372"/>
      <c r="CD27" s="372"/>
      <c r="CE27" s="372">
        <f>Roles!$D$7</f>
        <v>0.12</v>
      </c>
      <c r="CF27" s="372"/>
      <c r="CG27" s="203">
        <f t="shared" si="22"/>
        <v>0</v>
      </c>
      <c r="CH27" s="372"/>
      <c r="CI27" s="372"/>
      <c r="CJ27" s="372">
        <f>Roles!$D$7</f>
        <v>0.12</v>
      </c>
      <c r="CK27" s="372"/>
      <c r="CL27" s="203">
        <f t="shared" si="23"/>
        <v>0</v>
      </c>
      <c r="CM27" s="372"/>
      <c r="CN27" s="372"/>
      <c r="CO27" s="372">
        <f>Roles!$D$7</f>
        <v>0.12</v>
      </c>
      <c r="CP27" s="372"/>
      <c r="CQ27" s="203">
        <f t="shared" si="24"/>
        <v>0</v>
      </c>
      <c r="CR27" s="372"/>
      <c r="CS27" s="372"/>
      <c r="CT27" s="372">
        <f>Roles!$D$7</f>
        <v>0.12</v>
      </c>
      <c r="CU27" s="372"/>
      <c r="CV27" s="203">
        <f t="shared" si="25"/>
        <v>0</v>
      </c>
      <c r="CW27" s="372"/>
      <c r="CX27" s="372"/>
      <c r="CY27" s="372">
        <f>Roles!$D$7</f>
        <v>0.12</v>
      </c>
      <c r="CZ27" s="372"/>
      <c r="DA27" s="203">
        <f t="shared" si="26"/>
        <v>0</v>
      </c>
      <c r="DB27" s="372"/>
      <c r="DC27" s="372"/>
      <c r="DD27" s="372">
        <f>Roles!$D$7</f>
        <v>0.12</v>
      </c>
      <c r="DE27" s="372"/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 t="shared" si="1"/>
        <v>2</v>
      </c>
      <c r="F28" s="80">
        <v>3.0</v>
      </c>
      <c r="G28" s="105">
        <f t="shared" si="2"/>
        <v>0.002583979328</v>
      </c>
      <c r="H28" s="47">
        <f t="shared" si="37"/>
        <v>0.04995693368</v>
      </c>
      <c r="I28" s="231">
        <f t="shared" si="35"/>
        <v>0</v>
      </c>
      <c r="J28" s="172">
        <f t="shared" si="38"/>
        <v>46</v>
      </c>
      <c r="K28" s="115">
        <f t="shared" si="3"/>
        <v>0.04042179262</v>
      </c>
      <c r="L28" s="232">
        <f t="shared" si="36"/>
        <v>0</v>
      </c>
      <c r="M28" s="172">
        <f t="shared" si="39"/>
        <v>20.24</v>
      </c>
      <c r="N28" s="282" t="str">
        <f t="shared" si="6"/>
        <v>#REF!</v>
      </c>
      <c r="O28" s="203">
        <f t="shared" si="7"/>
        <v>0</v>
      </c>
      <c r="P28" s="378">
        <v>0.0</v>
      </c>
      <c r="Q28" s="372"/>
      <c r="R28" s="372">
        <f>Roles!$D$5</f>
        <v>0.44</v>
      </c>
      <c r="S28" s="372">
        <f t="shared" si="8"/>
        <v>0</v>
      </c>
      <c r="T28" s="203">
        <f t="shared" si="9"/>
        <v>0</v>
      </c>
      <c r="U28" s="372"/>
      <c r="V28" s="372"/>
      <c r="W28" s="372">
        <f>Roles!$D$7</f>
        <v>0.12</v>
      </c>
      <c r="X28" s="372"/>
      <c r="Y28" s="203">
        <f t="shared" si="10"/>
        <v>0</v>
      </c>
      <c r="Z28" s="372"/>
      <c r="AA28" s="372"/>
      <c r="AB28" s="372">
        <f>Roles!$D$7</f>
        <v>0.12</v>
      </c>
      <c r="AC28" s="372"/>
      <c r="AD28" s="203">
        <f t="shared" si="11"/>
        <v>0</v>
      </c>
      <c r="AE28" s="372"/>
      <c r="AF28" s="372"/>
      <c r="AG28" s="372">
        <f>Roles!$D$7</f>
        <v>0.12</v>
      </c>
      <c r="AH28" s="372"/>
      <c r="AI28" s="203">
        <f t="shared" si="12"/>
        <v>0</v>
      </c>
      <c r="AJ28" s="372"/>
      <c r="AK28" s="372"/>
      <c r="AL28" s="372">
        <f>Roles!$D$7</f>
        <v>0.12</v>
      </c>
      <c r="AM28" s="372"/>
      <c r="AN28" s="203">
        <f t="shared" si="13"/>
        <v>0</v>
      </c>
      <c r="AO28" s="372"/>
      <c r="AP28" s="372"/>
      <c r="AQ28" s="372">
        <f>Roles!$D$7</f>
        <v>0.12</v>
      </c>
      <c r="AR28" s="372"/>
      <c r="AS28" s="203">
        <f t="shared" si="14"/>
        <v>0</v>
      </c>
      <c r="AT28" s="372"/>
      <c r="AU28" s="372"/>
      <c r="AV28" s="372">
        <f>Roles!$D$7</f>
        <v>0.12</v>
      </c>
      <c r="AW28" s="372"/>
      <c r="AX28" s="203">
        <f t="shared" si="15"/>
        <v>0</v>
      </c>
      <c r="AY28" s="372"/>
      <c r="AZ28" s="372"/>
      <c r="BA28" s="372">
        <f>Roles!$D$7</f>
        <v>0.12</v>
      </c>
      <c r="BB28" s="372"/>
      <c r="BC28" s="203">
        <f t="shared" si="16"/>
        <v>0</v>
      </c>
      <c r="BD28" s="372"/>
      <c r="BE28" s="372"/>
      <c r="BF28" s="372">
        <f>Roles!$D$7</f>
        <v>0.12</v>
      </c>
      <c r="BG28" s="372"/>
      <c r="BH28" s="203">
        <f t="shared" si="17"/>
        <v>0</v>
      </c>
      <c r="BI28" s="372"/>
      <c r="BJ28" s="372"/>
      <c r="BK28" s="372">
        <f>Roles!$D$7</f>
        <v>0.12</v>
      </c>
      <c r="BL28" s="372"/>
      <c r="BM28" s="203">
        <f t="shared" si="18"/>
        <v>0</v>
      </c>
      <c r="BN28" s="372"/>
      <c r="BO28" s="372"/>
      <c r="BP28" s="372">
        <f>Roles!$D$7</f>
        <v>0.12</v>
      </c>
      <c r="BQ28" s="372"/>
      <c r="BR28" s="203">
        <f t="shared" si="19"/>
        <v>0</v>
      </c>
      <c r="BS28" s="372"/>
      <c r="BT28" s="372"/>
      <c r="BU28" s="372">
        <f>Roles!$D$7</f>
        <v>0.12</v>
      </c>
      <c r="BV28" s="372"/>
      <c r="BW28" s="203">
        <f t="shared" si="20"/>
        <v>0</v>
      </c>
      <c r="BX28" s="372"/>
      <c r="BY28" s="372"/>
      <c r="BZ28" s="372">
        <f>Roles!$D$7</f>
        <v>0.12</v>
      </c>
      <c r="CA28" s="372"/>
      <c r="CB28" s="203">
        <f t="shared" si="21"/>
        <v>0</v>
      </c>
      <c r="CC28" s="372"/>
      <c r="CD28" s="372"/>
      <c r="CE28" s="372">
        <f>Roles!$D$7</f>
        <v>0.12</v>
      </c>
      <c r="CF28" s="372"/>
      <c r="CG28" s="203">
        <f t="shared" si="22"/>
        <v>0</v>
      </c>
      <c r="CH28" s="372"/>
      <c r="CI28" s="372"/>
      <c r="CJ28" s="372">
        <f>Roles!$D$7</f>
        <v>0.12</v>
      </c>
      <c r="CK28" s="372"/>
      <c r="CL28" s="203">
        <f t="shared" si="23"/>
        <v>0</v>
      </c>
      <c r="CM28" s="372"/>
      <c r="CN28" s="372"/>
      <c r="CO28" s="372">
        <f>Roles!$D$7</f>
        <v>0.12</v>
      </c>
      <c r="CP28" s="372"/>
      <c r="CQ28" s="203">
        <f t="shared" si="24"/>
        <v>0</v>
      </c>
      <c r="CR28" s="372"/>
      <c r="CS28" s="372"/>
      <c r="CT28" s="372">
        <f>Roles!$D$7</f>
        <v>0.12</v>
      </c>
      <c r="CU28" s="372"/>
      <c r="CV28" s="203">
        <f t="shared" si="25"/>
        <v>0</v>
      </c>
      <c r="CW28" s="372"/>
      <c r="CX28" s="372"/>
      <c r="CY28" s="372">
        <f>Roles!$D$7</f>
        <v>0.12</v>
      </c>
      <c r="CZ28" s="372"/>
      <c r="DA28" s="203">
        <f t="shared" si="26"/>
        <v>0</v>
      </c>
      <c r="DB28" s="372"/>
      <c r="DC28" s="372"/>
      <c r="DD28" s="372">
        <f>Roles!$D$7</f>
        <v>0.12</v>
      </c>
      <c r="DE28" s="372"/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 t="shared" si="1"/>
        <v>1</v>
      </c>
      <c r="F29" s="136">
        <v>0.0</v>
      </c>
      <c r="G29" s="105">
        <f t="shared" si="2"/>
        <v>0</v>
      </c>
      <c r="H29" s="115">
        <f t="shared" si="37"/>
        <v>0.04995693368</v>
      </c>
      <c r="I29" s="110">
        <f>F29</f>
        <v>0</v>
      </c>
      <c r="J29" s="110">
        <f t="shared" si="38"/>
        <v>46</v>
      </c>
      <c r="K29" s="115">
        <f t="shared" si="3"/>
        <v>0.04042179262</v>
      </c>
      <c r="L29" s="110">
        <v>0.0</v>
      </c>
      <c r="M29" s="110">
        <f t="shared" si="39"/>
        <v>20.24</v>
      </c>
      <c r="N29" s="226" t="str">
        <f t="shared" si="6"/>
        <v>#REF!</v>
      </c>
      <c r="O29" s="203" t="str">
        <f t="shared" si="7"/>
        <v>#DIV/0!</v>
      </c>
      <c r="P29" s="372"/>
      <c r="Q29" s="372"/>
      <c r="R29" s="372">
        <f>Roles!$D$5</f>
        <v>0.44</v>
      </c>
      <c r="S29" s="372">
        <f t="shared" si="8"/>
        <v>0</v>
      </c>
      <c r="T29" s="203" t="str">
        <f t="shared" si="9"/>
        <v>#DIV/0!</v>
      </c>
      <c r="U29" s="372"/>
      <c r="V29" s="372"/>
      <c r="W29" s="372">
        <f>Roles!$D$7</f>
        <v>0.12</v>
      </c>
      <c r="X29" s="372"/>
      <c r="Y29" s="203" t="str">
        <f t="shared" si="10"/>
        <v>#DIV/0!</v>
      </c>
      <c r="Z29" s="372"/>
      <c r="AA29" s="372"/>
      <c r="AB29" s="372">
        <f>Roles!$D$7</f>
        <v>0.12</v>
      </c>
      <c r="AC29" s="372"/>
      <c r="AD29" s="203" t="str">
        <f t="shared" si="11"/>
        <v>#DIV/0!</v>
      </c>
      <c r="AE29" s="372"/>
      <c r="AF29" s="372"/>
      <c r="AG29" s="372">
        <f>Roles!$D$7</f>
        <v>0.12</v>
      </c>
      <c r="AH29" s="372"/>
      <c r="AI29" s="203" t="str">
        <f t="shared" si="12"/>
        <v>#DIV/0!</v>
      </c>
      <c r="AJ29" s="372"/>
      <c r="AK29" s="372"/>
      <c r="AL29" s="372">
        <f>Roles!$D$7</f>
        <v>0.12</v>
      </c>
      <c r="AM29" s="372"/>
      <c r="AN29" s="203" t="str">
        <f t="shared" si="13"/>
        <v>#DIV/0!</v>
      </c>
      <c r="AO29" s="372"/>
      <c r="AP29" s="372"/>
      <c r="AQ29" s="372">
        <f>Roles!$D$7</f>
        <v>0.12</v>
      </c>
      <c r="AR29" s="372"/>
      <c r="AS29" s="203" t="str">
        <f t="shared" si="14"/>
        <v>#DIV/0!</v>
      </c>
      <c r="AT29" s="372"/>
      <c r="AU29" s="372"/>
      <c r="AV29" s="372">
        <f>Roles!$D$7</f>
        <v>0.12</v>
      </c>
      <c r="AW29" s="372"/>
      <c r="AX29" s="203" t="str">
        <f t="shared" si="15"/>
        <v>#DIV/0!</v>
      </c>
      <c r="AY29" s="372"/>
      <c r="AZ29" s="372"/>
      <c r="BA29" s="372">
        <f>Roles!$D$7</f>
        <v>0.12</v>
      </c>
      <c r="BB29" s="372"/>
      <c r="BC29" s="203" t="str">
        <f t="shared" si="16"/>
        <v>#DIV/0!</v>
      </c>
      <c r="BD29" s="372"/>
      <c r="BE29" s="372"/>
      <c r="BF29" s="372">
        <f>Roles!$D$7</f>
        <v>0.12</v>
      </c>
      <c r="BG29" s="372"/>
      <c r="BH29" s="203" t="str">
        <f t="shared" si="17"/>
        <v>#DIV/0!</v>
      </c>
      <c r="BI29" s="372"/>
      <c r="BJ29" s="372"/>
      <c r="BK29" s="372">
        <f>Roles!$D$7</f>
        <v>0.12</v>
      </c>
      <c r="BL29" s="372"/>
      <c r="BM29" s="203" t="str">
        <f t="shared" si="18"/>
        <v>#DIV/0!</v>
      </c>
      <c r="BN29" s="372"/>
      <c r="BO29" s="372"/>
      <c r="BP29" s="372">
        <f>Roles!$D$7</f>
        <v>0.12</v>
      </c>
      <c r="BQ29" s="372"/>
      <c r="BR29" s="203" t="str">
        <f t="shared" si="19"/>
        <v>#DIV/0!</v>
      </c>
      <c r="BS29" s="372"/>
      <c r="BT29" s="372"/>
      <c r="BU29" s="372">
        <f>Roles!$D$7</f>
        <v>0.12</v>
      </c>
      <c r="BV29" s="372"/>
      <c r="BW29" s="203" t="str">
        <f t="shared" si="20"/>
        <v>#DIV/0!</v>
      </c>
      <c r="BX29" s="372"/>
      <c r="BY29" s="372"/>
      <c r="BZ29" s="372">
        <f>Roles!$D$7</f>
        <v>0.12</v>
      </c>
      <c r="CA29" s="372"/>
      <c r="CB29" s="203" t="str">
        <f t="shared" si="21"/>
        <v>#DIV/0!</v>
      </c>
      <c r="CC29" s="372"/>
      <c r="CD29" s="372"/>
      <c r="CE29" s="372">
        <f>Roles!$D$7</f>
        <v>0.12</v>
      </c>
      <c r="CF29" s="372"/>
      <c r="CG29" s="203" t="str">
        <f t="shared" si="22"/>
        <v>#DIV/0!</v>
      </c>
      <c r="CH29" s="372"/>
      <c r="CI29" s="372"/>
      <c r="CJ29" s="372">
        <f>Roles!$D$7</f>
        <v>0.12</v>
      </c>
      <c r="CK29" s="372"/>
      <c r="CL29" s="203" t="str">
        <f t="shared" si="23"/>
        <v>#DIV/0!</v>
      </c>
      <c r="CM29" s="372"/>
      <c r="CN29" s="372"/>
      <c r="CO29" s="372">
        <f>Roles!$D$7</f>
        <v>0.12</v>
      </c>
      <c r="CP29" s="372"/>
      <c r="CQ29" s="203" t="str">
        <f t="shared" si="24"/>
        <v>#DIV/0!</v>
      </c>
      <c r="CR29" s="372"/>
      <c r="CS29" s="372"/>
      <c r="CT29" s="372">
        <f>Roles!$D$7</f>
        <v>0.12</v>
      </c>
      <c r="CU29" s="372"/>
      <c r="CV29" s="203" t="str">
        <f t="shared" si="25"/>
        <v>#DIV/0!</v>
      </c>
      <c r="CW29" s="372"/>
      <c r="CX29" s="372"/>
      <c r="CY29" s="372">
        <f>Roles!$D$7</f>
        <v>0.12</v>
      </c>
      <c r="CZ29" s="372"/>
      <c r="DA29" s="203" t="str">
        <f t="shared" si="26"/>
        <v>#DIV/0!</v>
      </c>
      <c r="DB29" s="372"/>
      <c r="DC29" s="372"/>
      <c r="DD29" s="372">
        <f>Roles!$D$7</f>
        <v>0.12</v>
      </c>
      <c r="DE29" s="372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 t="shared" si="1"/>
        <v>15</v>
      </c>
      <c r="F30" s="240">
        <f>F31+F39+F47+F52+F58+F62+F66+F70+F74</f>
        <v>243</v>
      </c>
      <c r="G30" s="105">
        <f t="shared" si="2"/>
        <v>0.2093023256</v>
      </c>
      <c r="H30" s="224">
        <f>H78</f>
        <v>0.2592592593</v>
      </c>
      <c r="I30" s="241">
        <f>I31+I39+I47+I52+I58+I62+I66+I70+I74</f>
        <v>418</v>
      </c>
      <c r="J30" s="241">
        <f>J78</f>
        <v>464</v>
      </c>
      <c r="K30" s="138">
        <f t="shared" si="3"/>
        <v>0.4077328647</v>
      </c>
      <c r="L30" s="241">
        <f>L31+L39+L47+L52+L58+L62+L66+L70+L74</f>
        <v>183.92</v>
      </c>
      <c r="M30" s="241">
        <f>M78</f>
        <v>204.16</v>
      </c>
      <c r="N30" s="323" t="str">
        <f t="shared" si="6"/>
        <v>#REF!</v>
      </c>
      <c r="O30" s="203">
        <f t="shared" si="7"/>
        <v>0</v>
      </c>
      <c r="P30" s="372"/>
      <c r="Q30" s="372"/>
      <c r="R30" s="372">
        <f>Roles!$D$5</f>
        <v>0.44</v>
      </c>
      <c r="S30" s="372">
        <f t="shared" si="8"/>
        <v>0</v>
      </c>
      <c r="T30" s="203">
        <f t="shared" si="9"/>
        <v>0</v>
      </c>
      <c r="U30" s="372"/>
      <c r="V30" s="372"/>
      <c r="W30" s="372">
        <f>Roles!$D$7</f>
        <v>0.12</v>
      </c>
      <c r="X30" s="372"/>
      <c r="Y30" s="203">
        <f t="shared" si="10"/>
        <v>0</v>
      </c>
      <c r="Z30" s="372"/>
      <c r="AA30" s="372"/>
      <c r="AB30" s="372">
        <f>Roles!$D$7</f>
        <v>0.12</v>
      </c>
      <c r="AC30" s="372"/>
      <c r="AD30" s="203">
        <f t="shared" si="11"/>
        <v>0</v>
      </c>
      <c r="AE30" s="372"/>
      <c r="AF30" s="372"/>
      <c r="AG30" s="372">
        <f>Roles!$D$7</f>
        <v>0.12</v>
      </c>
      <c r="AH30" s="372"/>
      <c r="AI30" s="203">
        <f t="shared" si="12"/>
        <v>0</v>
      </c>
      <c r="AJ30" s="372"/>
      <c r="AK30" s="372"/>
      <c r="AL30" s="372">
        <f>Roles!$D$7</f>
        <v>0.12</v>
      </c>
      <c r="AM30" s="372"/>
      <c r="AN30" s="203">
        <f t="shared" si="13"/>
        <v>0</v>
      </c>
      <c r="AO30" s="372"/>
      <c r="AP30" s="372"/>
      <c r="AQ30" s="372">
        <f>Roles!$D$7</f>
        <v>0.12</v>
      </c>
      <c r="AR30" s="372"/>
      <c r="AS30" s="203">
        <f t="shared" si="14"/>
        <v>0</v>
      </c>
      <c r="AT30" s="372"/>
      <c r="AU30" s="372"/>
      <c r="AV30" s="372">
        <f>Roles!$D$7</f>
        <v>0.12</v>
      </c>
      <c r="AW30" s="372"/>
      <c r="AX30" s="203">
        <f t="shared" si="15"/>
        <v>0</v>
      </c>
      <c r="AY30" s="372"/>
      <c r="AZ30" s="372"/>
      <c r="BA30" s="372">
        <f>Roles!$D$7</f>
        <v>0.12</v>
      </c>
      <c r="BB30" s="372"/>
      <c r="BC30" s="203">
        <f t="shared" si="16"/>
        <v>0</v>
      </c>
      <c r="BD30" s="372"/>
      <c r="BE30" s="372"/>
      <c r="BF30" s="372">
        <f>Roles!$D$7</f>
        <v>0.12</v>
      </c>
      <c r="BG30" s="372"/>
      <c r="BH30" s="203">
        <f t="shared" si="17"/>
        <v>0</v>
      </c>
      <c r="BI30" s="372"/>
      <c r="BJ30" s="372"/>
      <c r="BK30" s="372">
        <f>Roles!$D$7</f>
        <v>0.12</v>
      </c>
      <c r="BL30" s="372"/>
      <c r="BM30" s="203">
        <f t="shared" si="18"/>
        <v>0</v>
      </c>
      <c r="BN30" s="372"/>
      <c r="BO30" s="372"/>
      <c r="BP30" s="372">
        <f>Roles!$D$7</f>
        <v>0.12</v>
      </c>
      <c r="BQ30" s="372"/>
      <c r="BR30" s="203">
        <f t="shared" si="19"/>
        <v>0</v>
      </c>
      <c r="BS30" s="372"/>
      <c r="BT30" s="372"/>
      <c r="BU30" s="372">
        <f>Roles!$D$7</f>
        <v>0.12</v>
      </c>
      <c r="BV30" s="372"/>
      <c r="BW30" s="203">
        <f t="shared" si="20"/>
        <v>0</v>
      </c>
      <c r="BX30" s="372"/>
      <c r="BY30" s="372"/>
      <c r="BZ30" s="372">
        <f>Roles!$D$7</f>
        <v>0.12</v>
      </c>
      <c r="CA30" s="372"/>
      <c r="CB30" s="203">
        <f t="shared" si="21"/>
        <v>0</v>
      </c>
      <c r="CC30" s="372"/>
      <c r="CD30" s="372"/>
      <c r="CE30" s="372">
        <f>Roles!$D$7</f>
        <v>0.12</v>
      </c>
      <c r="CF30" s="372"/>
      <c r="CG30" s="203">
        <f t="shared" si="22"/>
        <v>0</v>
      </c>
      <c r="CH30" s="372"/>
      <c r="CI30" s="372"/>
      <c r="CJ30" s="372">
        <f>Roles!$D$7</f>
        <v>0.12</v>
      </c>
      <c r="CK30" s="372"/>
      <c r="CL30" s="203">
        <f t="shared" si="23"/>
        <v>0</v>
      </c>
      <c r="CM30" s="372"/>
      <c r="CN30" s="372"/>
      <c r="CO30" s="372">
        <f>Roles!$D$7</f>
        <v>0.12</v>
      </c>
      <c r="CP30" s="372"/>
      <c r="CQ30" s="203">
        <f t="shared" si="24"/>
        <v>0</v>
      </c>
      <c r="CR30" s="372"/>
      <c r="CS30" s="372"/>
      <c r="CT30" s="372">
        <f>Roles!$D$7</f>
        <v>0.12</v>
      </c>
      <c r="CU30" s="372"/>
      <c r="CV30" s="203">
        <f t="shared" si="25"/>
        <v>0</v>
      </c>
      <c r="CW30" s="372"/>
      <c r="CX30" s="372"/>
      <c r="CY30" s="372">
        <f>Roles!$D$7</f>
        <v>0.12</v>
      </c>
      <c r="CZ30" s="372"/>
      <c r="DA30" s="203">
        <f t="shared" si="26"/>
        <v>0</v>
      </c>
      <c r="DB30" s="372"/>
      <c r="DC30" s="372"/>
      <c r="DD30" s="372">
        <f>Roles!$D$7</f>
        <v>0.12</v>
      </c>
      <c r="DE30" s="372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 t="shared" si="1"/>
        <v>3</v>
      </c>
      <c r="F31" s="246">
        <f>SUM(F32:F38)</f>
        <v>18</v>
      </c>
      <c r="G31" s="105">
        <f t="shared" si="2"/>
        <v>0.01550387597</v>
      </c>
      <c r="H31" s="226">
        <f>H38</f>
        <v>0.06546080965</v>
      </c>
      <c r="I31" s="247">
        <f>SUM(I32:I38)</f>
        <v>35</v>
      </c>
      <c r="J31" s="247">
        <f>J38</f>
        <v>81</v>
      </c>
      <c r="K31" s="167">
        <f t="shared" si="3"/>
        <v>0.07117750439</v>
      </c>
      <c r="L31" s="247">
        <f>SUM(L32:L38)</f>
        <v>15.4</v>
      </c>
      <c r="M31" s="247">
        <f>M38</f>
        <v>35.64</v>
      </c>
      <c r="N31" s="224" t="str">
        <f t="shared" si="6"/>
        <v>#REF!</v>
      </c>
      <c r="O31" s="203">
        <f t="shared" si="7"/>
        <v>0</v>
      </c>
      <c r="P31" s="372"/>
      <c r="Q31" s="372"/>
      <c r="R31" s="372">
        <f>Roles!$D$5</f>
        <v>0.44</v>
      </c>
      <c r="S31" s="372">
        <f t="shared" si="8"/>
        <v>0</v>
      </c>
      <c r="T31" s="203">
        <f t="shared" si="9"/>
        <v>0</v>
      </c>
      <c r="U31" s="372"/>
      <c r="V31" s="372"/>
      <c r="W31" s="372">
        <f>Roles!$D$7</f>
        <v>0.12</v>
      </c>
      <c r="X31" s="372"/>
      <c r="Y31" s="203">
        <f t="shared" si="10"/>
        <v>0</v>
      </c>
      <c r="Z31" s="372"/>
      <c r="AA31" s="372"/>
      <c r="AB31" s="372">
        <f>Roles!$D$7</f>
        <v>0.12</v>
      </c>
      <c r="AC31" s="372"/>
      <c r="AD31" s="203">
        <f t="shared" si="11"/>
        <v>0</v>
      </c>
      <c r="AE31" s="372"/>
      <c r="AF31" s="372"/>
      <c r="AG31" s="372">
        <f>Roles!$D$7</f>
        <v>0.12</v>
      </c>
      <c r="AH31" s="372"/>
      <c r="AI31" s="203">
        <f t="shared" si="12"/>
        <v>0</v>
      </c>
      <c r="AJ31" s="372"/>
      <c r="AK31" s="372"/>
      <c r="AL31" s="372">
        <f>Roles!$D$7</f>
        <v>0.12</v>
      </c>
      <c r="AM31" s="372"/>
      <c r="AN31" s="203">
        <f t="shared" si="13"/>
        <v>0</v>
      </c>
      <c r="AO31" s="372"/>
      <c r="AP31" s="372"/>
      <c r="AQ31" s="372">
        <f>Roles!$D$7</f>
        <v>0.12</v>
      </c>
      <c r="AR31" s="372"/>
      <c r="AS31" s="203">
        <f t="shared" si="14"/>
        <v>0</v>
      </c>
      <c r="AT31" s="372"/>
      <c r="AU31" s="372"/>
      <c r="AV31" s="372">
        <f>Roles!$D$7</f>
        <v>0.12</v>
      </c>
      <c r="AW31" s="372"/>
      <c r="AX31" s="203">
        <f t="shared" si="15"/>
        <v>0</v>
      </c>
      <c r="AY31" s="372"/>
      <c r="AZ31" s="372"/>
      <c r="BA31" s="372">
        <f>Roles!$D$7</f>
        <v>0.12</v>
      </c>
      <c r="BB31" s="372"/>
      <c r="BC31" s="203">
        <f t="shared" si="16"/>
        <v>0</v>
      </c>
      <c r="BD31" s="372"/>
      <c r="BE31" s="372"/>
      <c r="BF31" s="372">
        <f>Roles!$D$7</f>
        <v>0.12</v>
      </c>
      <c r="BG31" s="372"/>
      <c r="BH31" s="203">
        <f t="shared" si="17"/>
        <v>0</v>
      </c>
      <c r="BI31" s="372"/>
      <c r="BJ31" s="372"/>
      <c r="BK31" s="372">
        <f>Roles!$D$7</f>
        <v>0.12</v>
      </c>
      <c r="BL31" s="372"/>
      <c r="BM31" s="203">
        <f t="shared" si="18"/>
        <v>0</v>
      </c>
      <c r="BN31" s="372"/>
      <c r="BO31" s="372"/>
      <c r="BP31" s="372">
        <f>Roles!$D$7</f>
        <v>0.12</v>
      </c>
      <c r="BQ31" s="372"/>
      <c r="BR31" s="203">
        <f t="shared" si="19"/>
        <v>0</v>
      </c>
      <c r="BS31" s="372"/>
      <c r="BT31" s="372"/>
      <c r="BU31" s="372">
        <f>Roles!$D$7</f>
        <v>0.12</v>
      </c>
      <c r="BV31" s="372"/>
      <c r="BW31" s="203">
        <f t="shared" si="20"/>
        <v>0</v>
      </c>
      <c r="BX31" s="372"/>
      <c r="BY31" s="372"/>
      <c r="BZ31" s="372">
        <f>Roles!$D$7</f>
        <v>0.12</v>
      </c>
      <c r="CA31" s="372"/>
      <c r="CB31" s="203">
        <f t="shared" si="21"/>
        <v>0</v>
      </c>
      <c r="CC31" s="372"/>
      <c r="CD31" s="372"/>
      <c r="CE31" s="372">
        <f>Roles!$D$7</f>
        <v>0.12</v>
      </c>
      <c r="CF31" s="372"/>
      <c r="CG31" s="203">
        <f t="shared" si="22"/>
        <v>0</v>
      </c>
      <c r="CH31" s="372"/>
      <c r="CI31" s="372"/>
      <c r="CJ31" s="372">
        <f>Roles!$D$7</f>
        <v>0.12</v>
      </c>
      <c r="CK31" s="372"/>
      <c r="CL31" s="203">
        <f t="shared" si="23"/>
        <v>0</v>
      </c>
      <c r="CM31" s="372"/>
      <c r="CN31" s="372"/>
      <c r="CO31" s="372">
        <f>Roles!$D$7</f>
        <v>0.12</v>
      </c>
      <c r="CP31" s="372"/>
      <c r="CQ31" s="203">
        <f t="shared" si="24"/>
        <v>0</v>
      </c>
      <c r="CR31" s="372"/>
      <c r="CS31" s="372"/>
      <c r="CT31" s="372">
        <f>Roles!$D$7</f>
        <v>0.12</v>
      </c>
      <c r="CU31" s="372"/>
      <c r="CV31" s="203">
        <f t="shared" si="25"/>
        <v>0</v>
      </c>
      <c r="CW31" s="372"/>
      <c r="CX31" s="372"/>
      <c r="CY31" s="372">
        <f>Roles!$D$7</f>
        <v>0.12</v>
      </c>
      <c r="CZ31" s="372"/>
      <c r="DA31" s="203">
        <f t="shared" si="26"/>
        <v>0</v>
      </c>
      <c r="DB31" s="372"/>
      <c r="DC31" s="372"/>
      <c r="DD31" s="372">
        <f>Roles!$D$7</f>
        <v>0.12</v>
      </c>
      <c r="DE31" s="372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 t="shared" si="1"/>
        <v>1</v>
      </c>
      <c r="F32" s="80">
        <v>3.0</v>
      </c>
      <c r="G32" s="105">
        <f t="shared" si="2"/>
        <v>0.002583979328</v>
      </c>
      <c r="H32" s="47">
        <f>H29+G32</f>
        <v>0.05254091301</v>
      </c>
      <c r="I32" s="231">
        <f t="shared" ref="I32:I38" si="40">P32+U32+Z32+AE32+AJ32+AO32+AT32+AY32+BD32+BI32+BN32+BS32+BX32+CC32+CH32+CM32+CR32+CW32+DB32</f>
        <v>6</v>
      </c>
      <c r="J32" s="172">
        <f>J29+I32</f>
        <v>52</v>
      </c>
      <c r="K32" s="115">
        <f t="shared" si="3"/>
        <v>0.04569420035</v>
      </c>
      <c r="L32" s="232">
        <f t="shared" ref="L32:L38" si="41">S32+X32+AC32+AH32+AM32+AR32+AW32+BB32+BG32+BL32+BQ32+BV32+CA32+CF32+CK32+CP32+CU32+CZ32+DE32</f>
        <v>2.64</v>
      </c>
      <c r="M32" s="172">
        <f>M29+L32</f>
        <v>22.88</v>
      </c>
      <c r="N32" s="226" t="str">
        <f t="shared" si="6"/>
        <v>#REF!</v>
      </c>
      <c r="O32" s="203">
        <f t="shared" si="7"/>
        <v>2</v>
      </c>
      <c r="P32" s="378">
        <v>6.0</v>
      </c>
      <c r="Q32" s="372"/>
      <c r="R32" s="372">
        <f>Roles!$D$5</f>
        <v>0.44</v>
      </c>
      <c r="S32" s="372">
        <f t="shared" si="8"/>
        <v>2.64</v>
      </c>
      <c r="T32" s="203">
        <f t="shared" si="9"/>
        <v>0</v>
      </c>
      <c r="U32" s="372"/>
      <c r="V32" s="372"/>
      <c r="W32" s="372">
        <f>Roles!$D$7</f>
        <v>0.12</v>
      </c>
      <c r="X32" s="372"/>
      <c r="Y32" s="203">
        <f t="shared" si="10"/>
        <v>0</v>
      </c>
      <c r="Z32" s="372"/>
      <c r="AA32" s="372"/>
      <c r="AB32" s="372">
        <f>Roles!$D$7</f>
        <v>0.12</v>
      </c>
      <c r="AC32" s="372"/>
      <c r="AD32" s="203">
        <f t="shared" si="11"/>
        <v>0</v>
      </c>
      <c r="AE32" s="372"/>
      <c r="AF32" s="372"/>
      <c r="AG32" s="372">
        <f>Roles!$D$7</f>
        <v>0.12</v>
      </c>
      <c r="AH32" s="372"/>
      <c r="AI32" s="203">
        <f t="shared" si="12"/>
        <v>0</v>
      </c>
      <c r="AJ32" s="372"/>
      <c r="AK32" s="372"/>
      <c r="AL32" s="372">
        <f>Roles!$D$7</f>
        <v>0.12</v>
      </c>
      <c r="AM32" s="372"/>
      <c r="AN32" s="203">
        <f t="shared" si="13"/>
        <v>0</v>
      </c>
      <c r="AO32" s="372"/>
      <c r="AP32" s="372"/>
      <c r="AQ32" s="372">
        <f>Roles!$D$7</f>
        <v>0.12</v>
      </c>
      <c r="AR32" s="372"/>
      <c r="AS32" s="203">
        <f t="shared" si="14"/>
        <v>0</v>
      </c>
      <c r="AT32" s="372"/>
      <c r="AU32" s="372"/>
      <c r="AV32" s="372">
        <f>Roles!$D$7</f>
        <v>0.12</v>
      </c>
      <c r="AW32" s="372"/>
      <c r="AX32" s="203">
        <f t="shared" si="15"/>
        <v>0</v>
      </c>
      <c r="AY32" s="372"/>
      <c r="AZ32" s="372"/>
      <c r="BA32" s="372">
        <f>Roles!$D$7</f>
        <v>0.12</v>
      </c>
      <c r="BB32" s="372"/>
      <c r="BC32" s="203">
        <f t="shared" si="16"/>
        <v>0</v>
      </c>
      <c r="BD32" s="372"/>
      <c r="BE32" s="372"/>
      <c r="BF32" s="372">
        <f>Roles!$D$7</f>
        <v>0.12</v>
      </c>
      <c r="BG32" s="372"/>
      <c r="BH32" s="203">
        <f t="shared" si="17"/>
        <v>0</v>
      </c>
      <c r="BI32" s="372"/>
      <c r="BJ32" s="372"/>
      <c r="BK32" s="372">
        <f>Roles!$D$7</f>
        <v>0.12</v>
      </c>
      <c r="BL32" s="372"/>
      <c r="BM32" s="203">
        <f t="shared" si="18"/>
        <v>0</v>
      </c>
      <c r="BN32" s="372"/>
      <c r="BO32" s="372"/>
      <c r="BP32" s="372">
        <f>Roles!$D$7</f>
        <v>0.12</v>
      </c>
      <c r="BQ32" s="372"/>
      <c r="BR32" s="203">
        <f t="shared" si="19"/>
        <v>0</v>
      </c>
      <c r="BS32" s="372"/>
      <c r="BT32" s="372"/>
      <c r="BU32" s="372">
        <f>Roles!$D$7</f>
        <v>0.12</v>
      </c>
      <c r="BV32" s="372"/>
      <c r="BW32" s="203">
        <f t="shared" si="20"/>
        <v>0</v>
      </c>
      <c r="BX32" s="372"/>
      <c r="BY32" s="372"/>
      <c r="BZ32" s="372">
        <f>Roles!$D$7</f>
        <v>0.12</v>
      </c>
      <c r="CA32" s="372"/>
      <c r="CB32" s="203">
        <f t="shared" si="21"/>
        <v>0</v>
      </c>
      <c r="CC32" s="372"/>
      <c r="CD32" s="372"/>
      <c r="CE32" s="372">
        <f>Roles!$D$7</f>
        <v>0.12</v>
      </c>
      <c r="CF32" s="372"/>
      <c r="CG32" s="203">
        <f t="shared" si="22"/>
        <v>0</v>
      </c>
      <c r="CH32" s="372"/>
      <c r="CI32" s="372"/>
      <c r="CJ32" s="372">
        <f>Roles!$D$7</f>
        <v>0.12</v>
      </c>
      <c r="CK32" s="372"/>
      <c r="CL32" s="203">
        <f t="shared" si="23"/>
        <v>0</v>
      </c>
      <c r="CM32" s="372"/>
      <c r="CN32" s="372"/>
      <c r="CO32" s="372">
        <f>Roles!$D$7</f>
        <v>0.12</v>
      </c>
      <c r="CP32" s="372"/>
      <c r="CQ32" s="203">
        <f t="shared" si="24"/>
        <v>0</v>
      </c>
      <c r="CR32" s="372"/>
      <c r="CS32" s="372"/>
      <c r="CT32" s="372">
        <f>Roles!$D$7</f>
        <v>0.12</v>
      </c>
      <c r="CU32" s="372"/>
      <c r="CV32" s="203">
        <f t="shared" si="25"/>
        <v>0</v>
      </c>
      <c r="CW32" s="372"/>
      <c r="CX32" s="372"/>
      <c r="CY32" s="372">
        <f>Roles!$D$7</f>
        <v>0.12</v>
      </c>
      <c r="CZ32" s="372"/>
      <c r="DA32" s="203">
        <f t="shared" si="26"/>
        <v>0</v>
      </c>
      <c r="DB32" s="372"/>
      <c r="DC32" s="372"/>
      <c r="DD32" s="372">
        <f>Roles!$D$7</f>
        <v>0.12</v>
      </c>
      <c r="DE32" s="372"/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 t="shared" si="1"/>
        <v>2</v>
      </c>
      <c r="F33" s="80">
        <v>3.0</v>
      </c>
      <c r="G33" s="105">
        <f t="shared" si="2"/>
        <v>0.002583979328</v>
      </c>
      <c r="H33" s="47">
        <f t="shared" ref="H33:H38" si="42">H32+G33</f>
        <v>0.05512489233</v>
      </c>
      <c r="I33" s="231">
        <f t="shared" si="40"/>
        <v>6</v>
      </c>
      <c r="J33" s="172">
        <f t="shared" ref="J33:J38" si="43">J32+I33</f>
        <v>58</v>
      </c>
      <c r="K33" s="115">
        <f t="shared" si="3"/>
        <v>0.05096660808</v>
      </c>
      <c r="L33" s="232">
        <f t="shared" si="41"/>
        <v>2.64</v>
      </c>
      <c r="M33" s="172">
        <f t="shared" ref="M33:M38" si="44">M32+L33</f>
        <v>25.52</v>
      </c>
      <c r="N33" s="47" t="str">
        <f t="shared" si="6"/>
        <v>#REF!</v>
      </c>
      <c r="O33" s="203">
        <f t="shared" si="7"/>
        <v>2</v>
      </c>
      <c r="P33" s="378">
        <v>6.0</v>
      </c>
      <c r="Q33" s="372"/>
      <c r="R33" s="372">
        <f>Roles!$D$5</f>
        <v>0.44</v>
      </c>
      <c r="S33" s="372">
        <f t="shared" si="8"/>
        <v>2.64</v>
      </c>
      <c r="T33" s="203">
        <f t="shared" si="9"/>
        <v>0</v>
      </c>
      <c r="U33" s="372"/>
      <c r="V33" s="372"/>
      <c r="W33" s="372">
        <f>Roles!$D$7</f>
        <v>0.12</v>
      </c>
      <c r="X33" s="372"/>
      <c r="Y33" s="203">
        <f t="shared" si="10"/>
        <v>0</v>
      </c>
      <c r="Z33" s="372"/>
      <c r="AA33" s="372"/>
      <c r="AB33" s="372">
        <f>Roles!$D$7</f>
        <v>0.12</v>
      </c>
      <c r="AC33" s="372"/>
      <c r="AD33" s="203">
        <f t="shared" si="11"/>
        <v>0</v>
      </c>
      <c r="AE33" s="372"/>
      <c r="AF33" s="372"/>
      <c r="AG33" s="372">
        <f>Roles!$D$7</f>
        <v>0.12</v>
      </c>
      <c r="AH33" s="372"/>
      <c r="AI33" s="203">
        <f t="shared" si="12"/>
        <v>0</v>
      </c>
      <c r="AJ33" s="372"/>
      <c r="AK33" s="372"/>
      <c r="AL33" s="372">
        <f>Roles!$D$7</f>
        <v>0.12</v>
      </c>
      <c r="AM33" s="372"/>
      <c r="AN33" s="203">
        <f t="shared" si="13"/>
        <v>0</v>
      </c>
      <c r="AO33" s="372"/>
      <c r="AP33" s="372"/>
      <c r="AQ33" s="372">
        <f>Roles!$D$7</f>
        <v>0.12</v>
      </c>
      <c r="AR33" s="372"/>
      <c r="AS33" s="203">
        <f t="shared" si="14"/>
        <v>0</v>
      </c>
      <c r="AT33" s="372"/>
      <c r="AU33" s="372"/>
      <c r="AV33" s="372">
        <f>Roles!$D$7</f>
        <v>0.12</v>
      </c>
      <c r="AW33" s="372"/>
      <c r="AX33" s="203">
        <f t="shared" si="15"/>
        <v>0</v>
      </c>
      <c r="AY33" s="372"/>
      <c r="AZ33" s="372"/>
      <c r="BA33" s="372">
        <f>Roles!$D$7</f>
        <v>0.12</v>
      </c>
      <c r="BB33" s="372"/>
      <c r="BC33" s="203">
        <f t="shared" si="16"/>
        <v>0</v>
      </c>
      <c r="BD33" s="372"/>
      <c r="BE33" s="372"/>
      <c r="BF33" s="372">
        <f>Roles!$D$7</f>
        <v>0.12</v>
      </c>
      <c r="BG33" s="372"/>
      <c r="BH33" s="203">
        <f t="shared" si="17"/>
        <v>0</v>
      </c>
      <c r="BI33" s="372"/>
      <c r="BJ33" s="372"/>
      <c r="BK33" s="372">
        <f>Roles!$D$7</f>
        <v>0.12</v>
      </c>
      <c r="BL33" s="372"/>
      <c r="BM33" s="203">
        <f t="shared" si="18"/>
        <v>0</v>
      </c>
      <c r="BN33" s="372"/>
      <c r="BO33" s="372"/>
      <c r="BP33" s="372">
        <f>Roles!$D$7</f>
        <v>0.12</v>
      </c>
      <c r="BQ33" s="372"/>
      <c r="BR33" s="203">
        <f t="shared" si="19"/>
        <v>0</v>
      </c>
      <c r="BS33" s="372"/>
      <c r="BT33" s="372"/>
      <c r="BU33" s="372">
        <f>Roles!$D$7</f>
        <v>0.12</v>
      </c>
      <c r="BV33" s="372"/>
      <c r="BW33" s="203">
        <f t="shared" si="20"/>
        <v>0</v>
      </c>
      <c r="BX33" s="372"/>
      <c r="BY33" s="372"/>
      <c r="BZ33" s="372">
        <f>Roles!$D$7</f>
        <v>0.12</v>
      </c>
      <c r="CA33" s="372"/>
      <c r="CB33" s="203">
        <f t="shared" si="21"/>
        <v>0</v>
      </c>
      <c r="CC33" s="372"/>
      <c r="CD33" s="372"/>
      <c r="CE33" s="372">
        <f>Roles!$D$7</f>
        <v>0.12</v>
      </c>
      <c r="CF33" s="372"/>
      <c r="CG33" s="203">
        <f t="shared" si="22"/>
        <v>0</v>
      </c>
      <c r="CH33" s="372"/>
      <c r="CI33" s="372"/>
      <c r="CJ33" s="372">
        <f>Roles!$D$7</f>
        <v>0.12</v>
      </c>
      <c r="CK33" s="372"/>
      <c r="CL33" s="203">
        <f t="shared" si="23"/>
        <v>0</v>
      </c>
      <c r="CM33" s="372"/>
      <c r="CN33" s="372"/>
      <c r="CO33" s="372">
        <f>Roles!$D$7</f>
        <v>0.12</v>
      </c>
      <c r="CP33" s="372"/>
      <c r="CQ33" s="203">
        <f t="shared" si="24"/>
        <v>0</v>
      </c>
      <c r="CR33" s="372"/>
      <c r="CS33" s="372"/>
      <c r="CT33" s="372">
        <f>Roles!$D$7</f>
        <v>0.12</v>
      </c>
      <c r="CU33" s="372"/>
      <c r="CV33" s="203">
        <f t="shared" si="25"/>
        <v>0</v>
      </c>
      <c r="CW33" s="372"/>
      <c r="CX33" s="372"/>
      <c r="CY33" s="372">
        <f>Roles!$D$7</f>
        <v>0.12</v>
      </c>
      <c r="CZ33" s="372"/>
      <c r="DA33" s="203">
        <f t="shared" si="26"/>
        <v>0</v>
      </c>
      <c r="DB33" s="372"/>
      <c r="DC33" s="372"/>
      <c r="DD33" s="372">
        <f>Roles!$D$7</f>
        <v>0.12</v>
      </c>
      <c r="DE33" s="372"/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 t="shared" si="1"/>
        <v>2</v>
      </c>
      <c r="F34" s="80">
        <v>3.0</v>
      </c>
      <c r="G34" s="105">
        <f t="shared" si="2"/>
        <v>0.002583979328</v>
      </c>
      <c r="H34" s="47">
        <f t="shared" si="42"/>
        <v>0.05770887166</v>
      </c>
      <c r="I34" s="231">
        <f t="shared" si="40"/>
        <v>6</v>
      </c>
      <c r="J34" s="172">
        <f t="shared" si="43"/>
        <v>64</v>
      </c>
      <c r="K34" s="115">
        <f t="shared" si="3"/>
        <v>0.05623901582</v>
      </c>
      <c r="L34" s="232">
        <f t="shared" si="41"/>
        <v>2.64</v>
      </c>
      <c r="M34" s="172">
        <f t="shared" si="44"/>
        <v>28.16</v>
      </c>
      <c r="N34" s="47" t="str">
        <f t="shared" si="6"/>
        <v>#REF!</v>
      </c>
      <c r="O34" s="203">
        <f t="shared" si="7"/>
        <v>2</v>
      </c>
      <c r="P34" s="378">
        <v>6.0</v>
      </c>
      <c r="Q34" s="372"/>
      <c r="R34" s="372">
        <f>Roles!$D$5</f>
        <v>0.44</v>
      </c>
      <c r="S34" s="372">
        <f t="shared" si="8"/>
        <v>2.64</v>
      </c>
      <c r="T34" s="203">
        <f t="shared" si="9"/>
        <v>0</v>
      </c>
      <c r="U34" s="372"/>
      <c r="V34" s="372"/>
      <c r="W34" s="372">
        <f>Roles!$D$7</f>
        <v>0.12</v>
      </c>
      <c r="X34" s="372"/>
      <c r="Y34" s="203">
        <f t="shared" si="10"/>
        <v>0</v>
      </c>
      <c r="Z34" s="372"/>
      <c r="AA34" s="372"/>
      <c r="AB34" s="372">
        <f>Roles!$D$7</f>
        <v>0.12</v>
      </c>
      <c r="AC34" s="372"/>
      <c r="AD34" s="203">
        <f t="shared" si="11"/>
        <v>0</v>
      </c>
      <c r="AE34" s="372"/>
      <c r="AF34" s="372"/>
      <c r="AG34" s="372">
        <f>Roles!$D$7</f>
        <v>0.12</v>
      </c>
      <c r="AH34" s="372"/>
      <c r="AI34" s="203">
        <f t="shared" si="12"/>
        <v>0</v>
      </c>
      <c r="AJ34" s="372"/>
      <c r="AK34" s="372"/>
      <c r="AL34" s="372">
        <f>Roles!$D$7</f>
        <v>0.12</v>
      </c>
      <c r="AM34" s="372"/>
      <c r="AN34" s="203">
        <f t="shared" si="13"/>
        <v>0</v>
      </c>
      <c r="AO34" s="372"/>
      <c r="AP34" s="372"/>
      <c r="AQ34" s="372">
        <f>Roles!$D$7</f>
        <v>0.12</v>
      </c>
      <c r="AR34" s="372"/>
      <c r="AS34" s="203">
        <f t="shared" si="14"/>
        <v>0</v>
      </c>
      <c r="AT34" s="372"/>
      <c r="AU34" s="372"/>
      <c r="AV34" s="372">
        <f>Roles!$D$7</f>
        <v>0.12</v>
      </c>
      <c r="AW34" s="372"/>
      <c r="AX34" s="203">
        <f t="shared" si="15"/>
        <v>0</v>
      </c>
      <c r="AY34" s="372"/>
      <c r="AZ34" s="372"/>
      <c r="BA34" s="372">
        <f>Roles!$D$7</f>
        <v>0.12</v>
      </c>
      <c r="BB34" s="372"/>
      <c r="BC34" s="203">
        <f t="shared" si="16"/>
        <v>0</v>
      </c>
      <c r="BD34" s="372"/>
      <c r="BE34" s="372"/>
      <c r="BF34" s="372">
        <f>Roles!$D$7</f>
        <v>0.12</v>
      </c>
      <c r="BG34" s="372"/>
      <c r="BH34" s="203">
        <f t="shared" si="17"/>
        <v>0</v>
      </c>
      <c r="BI34" s="372"/>
      <c r="BJ34" s="372"/>
      <c r="BK34" s="372">
        <f>Roles!$D$7</f>
        <v>0.12</v>
      </c>
      <c r="BL34" s="372"/>
      <c r="BM34" s="203">
        <f t="shared" si="18"/>
        <v>0</v>
      </c>
      <c r="BN34" s="372"/>
      <c r="BO34" s="372"/>
      <c r="BP34" s="372">
        <f>Roles!$D$7</f>
        <v>0.12</v>
      </c>
      <c r="BQ34" s="372"/>
      <c r="BR34" s="203">
        <f t="shared" si="19"/>
        <v>0</v>
      </c>
      <c r="BS34" s="372"/>
      <c r="BT34" s="372"/>
      <c r="BU34" s="372">
        <f>Roles!$D$7</f>
        <v>0.12</v>
      </c>
      <c r="BV34" s="372"/>
      <c r="BW34" s="203">
        <f t="shared" si="20"/>
        <v>0</v>
      </c>
      <c r="BX34" s="372"/>
      <c r="BY34" s="372"/>
      <c r="BZ34" s="372">
        <f>Roles!$D$7</f>
        <v>0.12</v>
      </c>
      <c r="CA34" s="372"/>
      <c r="CB34" s="203">
        <f t="shared" si="21"/>
        <v>0</v>
      </c>
      <c r="CC34" s="372"/>
      <c r="CD34" s="372"/>
      <c r="CE34" s="372">
        <f>Roles!$D$7</f>
        <v>0.12</v>
      </c>
      <c r="CF34" s="372"/>
      <c r="CG34" s="203">
        <f t="shared" si="22"/>
        <v>0</v>
      </c>
      <c r="CH34" s="372"/>
      <c r="CI34" s="372"/>
      <c r="CJ34" s="372">
        <f>Roles!$D$7</f>
        <v>0.12</v>
      </c>
      <c r="CK34" s="372"/>
      <c r="CL34" s="203">
        <f t="shared" si="23"/>
        <v>0</v>
      </c>
      <c r="CM34" s="372"/>
      <c r="CN34" s="372"/>
      <c r="CO34" s="372">
        <f>Roles!$D$7</f>
        <v>0.12</v>
      </c>
      <c r="CP34" s="372"/>
      <c r="CQ34" s="203">
        <f t="shared" si="24"/>
        <v>0</v>
      </c>
      <c r="CR34" s="372"/>
      <c r="CS34" s="372"/>
      <c r="CT34" s="372">
        <f>Roles!$D$7</f>
        <v>0.12</v>
      </c>
      <c r="CU34" s="372"/>
      <c r="CV34" s="203">
        <f t="shared" si="25"/>
        <v>0</v>
      </c>
      <c r="CW34" s="372"/>
      <c r="CX34" s="372"/>
      <c r="CY34" s="372">
        <f>Roles!$D$7</f>
        <v>0.12</v>
      </c>
      <c r="CZ34" s="372"/>
      <c r="DA34" s="203">
        <f t="shared" si="26"/>
        <v>0</v>
      </c>
      <c r="DB34" s="372"/>
      <c r="DC34" s="372"/>
      <c r="DD34" s="372">
        <f>Roles!$D$7</f>
        <v>0.12</v>
      </c>
      <c r="DE34" s="372"/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 t="shared" si="1"/>
        <v>1</v>
      </c>
      <c r="F35" s="80">
        <v>2.0</v>
      </c>
      <c r="G35" s="105">
        <f t="shared" si="2"/>
        <v>0.001722652885</v>
      </c>
      <c r="H35" s="47">
        <f t="shared" si="42"/>
        <v>0.05943152455</v>
      </c>
      <c r="I35" s="231">
        <f t="shared" si="40"/>
        <v>4</v>
      </c>
      <c r="J35" s="172">
        <f t="shared" si="43"/>
        <v>68</v>
      </c>
      <c r="K35" s="115">
        <f t="shared" si="3"/>
        <v>0.05975395431</v>
      </c>
      <c r="L35" s="232">
        <f t="shared" si="41"/>
        <v>1.76</v>
      </c>
      <c r="M35" s="172">
        <f t="shared" si="44"/>
        <v>29.92</v>
      </c>
      <c r="N35" s="226" t="str">
        <f t="shared" si="6"/>
        <v>#REF!</v>
      </c>
      <c r="O35" s="203">
        <f t="shared" si="7"/>
        <v>2</v>
      </c>
      <c r="P35" s="378">
        <v>4.0</v>
      </c>
      <c r="Q35" s="372"/>
      <c r="R35" s="372">
        <f>Roles!$D$5</f>
        <v>0.44</v>
      </c>
      <c r="S35" s="372">
        <f t="shared" si="8"/>
        <v>1.76</v>
      </c>
      <c r="T35" s="203">
        <f t="shared" si="9"/>
        <v>0</v>
      </c>
      <c r="U35" s="372"/>
      <c r="V35" s="372"/>
      <c r="W35" s="372">
        <f>Roles!$D$7</f>
        <v>0.12</v>
      </c>
      <c r="X35" s="372"/>
      <c r="Y35" s="203">
        <f t="shared" si="10"/>
        <v>0</v>
      </c>
      <c r="Z35" s="372"/>
      <c r="AA35" s="372"/>
      <c r="AB35" s="372">
        <f>Roles!$D$7</f>
        <v>0.12</v>
      </c>
      <c r="AC35" s="372"/>
      <c r="AD35" s="203">
        <f t="shared" si="11"/>
        <v>0</v>
      </c>
      <c r="AE35" s="372"/>
      <c r="AF35" s="372"/>
      <c r="AG35" s="372">
        <f>Roles!$D$7</f>
        <v>0.12</v>
      </c>
      <c r="AH35" s="372"/>
      <c r="AI35" s="203">
        <f t="shared" si="12"/>
        <v>0</v>
      </c>
      <c r="AJ35" s="372"/>
      <c r="AK35" s="372"/>
      <c r="AL35" s="372">
        <f>Roles!$D$7</f>
        <v>0.12</v>
      </c>
      <c r="AM35" s="372"/>
      <c r="AN35" s="203">
        <f t="shared" si="13"/>
        <v>0</v>
      </c>
      <c r="AO35" s="372"/>
      <c r="AP35" s="372"/>
      <c r="AQ35" s="372">
        <f>Roles!$D$7</f>
        <v>0.12</v>
      </c>
      <c r="AR35" s="372"/>
      <c r="AS35" s="203">
        <f t="shared" si="14"/>
        <v>0</v>
      </c>
      <c r="AT35" s="372"/>
      <c r="AU35" s="372"/>
      <c r="AV35" s="372">
        <f>Roles!$D$7</f>
        <v>0.12</v>
      </c>
      <c r="AW35" s="372"/>
      <c r="AX35" s="203">
        <f t="shared" si="15"/>
        <v>0</v>
      </c>
      <c r="AY35" s="372"/>
      <c r="AZ35" s="372"/>
      <c r="BA35" s="372">
        <f>Roles!$D$7</f>
        <v>0.12</v>
      </c>
      <c r="BB35" s="372"/>
      <c r="BC35" s="203">
        <f t="shared" si="16"/>
        <v>0</v>
      </c>
      <c r="BD35" s="372"/>
      <c r="BE35" s="372"/>
      <c r="BF35" s="372">
        <f>Roles!$D$7</f>
        <v>0.12</v>
      </c>
      <c r="BG35" s="372"/>
      <c r="BH35" s="203">
        <f t="shared" si="17"/>
        <v>0</v>
      </c>
      <c r="BI35" s="372"/>
      <c r="BJ35" s="372"/>
      <c r="BK35" s="372">
        <f>Roles!$D$7</f>
        <v>0.12</v>
      </c>
      <c r="BL35" s="372"/>
      <c r="BM35" s="203">
        <f t="shared" si="18"/>
        <v>0</v>
      </c>
      <c r="BN35" s="372"/>
      <c r="BO35" s="372"/>
      <c r="BP35" s="372">
        <f>Roles!$D$7</f>
        <v>0.12</v>
      </c>
      <c r="BQ35" s="372"/>
      <c r="BR35" s="203">
        <f t="shared" si="19"/>
        <v>0</v>
      </c>
      <c r="BS35" s="372"/>
      <c r="BT35" s="372"/>
      <c r="BU35" s="372">
        <f>Roles!$D$7</f>
        <v>0.12</v>
      </c>
      <c r="BV35" s="372"/>
      <c r="BW35" s="203">
        <f t="shared" si="20"/>
        <v>0</v>
      </c>
      <c r="BX35" s="372"/>
      <c r="BY35" s="372"/>
      <c r="BZ35" s="372">
        <f>Roles!$D$7</f>
        <v>0.12</v>
      </c>
      <c r="CA35" s="372"/>
      <c r="CB35" s="203">
        <f t="shared" si="21"/>
        <v>0</v>
      </c>
      <c r="CC35" s="372"/>
      <c r="CD35" s="372"/>
      <c r="CE35" s="372">
        <f>Roles!$D$7</f>
        <v>0.12</v>
      </c>
      <c r="CF35" s="372"/>
      <c r="CG35" s="203">
        <f t="shared" si="22"/>
        <v>0</v>
      </c>
      <c r="CH35" s="372"/>
      <c r="CI35" s="372"/>
      <c r="CJ35" s="372">
        <f>Roles!$D$7</f>
        <v>0.12</v>
      </c>
      <c r="CK35" s="372"/>
      <c r="CL35" s="203">
        <f t="shared" si="23"/>
        <v>0</v>
      </c>
      <c r="CM35" s="372"/>
      <c r="CN35" s="372"/>
      <c r="CO35" s="372">
        <f>Roles!$D$7</f>
        <v>0.12</v>
      </c>
      <c r="CP35" s="372"/>
      <c r="CQ35" s="203">
        <f t="shared" si="24"/>
        <v>0</v>
      </c>
      <c r="CR35" s="372"/>
      <c r="CS35" s="372"/>
      <c r="CT35" s="372">
        <f>Roles!$D$7</f>
        <v>0.12</v>
      </c>
      <c r="CU35" s="372"/>
      <c r="CV35" s="203">
        <f t="shared" si="25"/>
        <v>0</v>
      </c>
      <c r="CW35" s="372"/>
      <c r="CX35" s="372"/>
      <c r="CY35" s="372">
        <f>Roles!$D$7</f>
        <v>0.12</v>
      </c>
      <c r="CZ35" s="372"/>
      <c r="DA35" s="203">
        <f t="shared" si="26"/>
        <v>0</v>
      </c>
      <c r="DB35" s="372"/>
      <c r="DC35" s="372"/>
      <c r="DD35" s="372">
        <f>Roles!$D$7</f>
        <v>0.12</v>
      </c>
      <c r="DE35" s="372"/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 t="shared" si="1"/>
        <v>2</v>
      </c>
      <c r="F36" s="80">
        <v>4.0</v>
      </c>
      <c r="G36" s="105">
        <f t="shared" si="2"/>
        <v>0.003445305771</v>
      </c>
      <c r="H36" s="47">
        <f t="shared" si="42"/>
        <v>0.06287683032</v>
      </c>
      <c r="I36" s="231">
        <f t="shared" si="40"/>
        <v>8</v>
      </c>
      <c r="J36" s="172">
        <f t="shared" si="43"/>
        <v>76</v>
      </c>
      <c r="K36" s="115">
        <f t="shared" si="3"/>
        <v>0.06678383128</v>
      </c>
      <c r="L36" s="232">
        <f t="shared" si="41"/>
        <v>3.52</v>
      </c>
      <c r="M36" s="172">
        <f t="shared" si="44"/>
        <v>33.44</v>
      </c>
      <c r="N36" s="226" t="str">
        <f t="shared" si="6"/>
        <v>#REF!</v>
      </c>
      <c r="O36" s="203">
        <f t="shared" si="7"/>
        <v>2</v>
      </c>
      <c r="P36" s="378">
        <v>8.0</v>
      </c>
      <c r="Q36" s="372"/>
      <c r="R36" s="372">
        <f>Roles!$D$5</f>
        <v>0.44</v>
      </c>
      <c r="S36" s="372">
        <f t="shared" si="8"/>
        <v>3.52</v>
      </c>
      <c r="T36" s="203">
        <f t="shared" si="9"/>
        <v>0</v>
      </c>
      <c r="U36" s="372"/>
      <c r="V36" s="372"/>
      <c r="W36" s="372">
        <f>Roles!$D$7</f>
        <v>0.12</v>
      </c>
      <c r="X36" s="372"/>
      <c r="Y36" s="203">
        <f t="shared" si="10"/>
        <v>0</v>
      </c>
      <c r="Z36" s="372"/>
      <c r="AA36" s="372"/>
      <c r="AB36" s="372">
        <f>Roles!$D$7</f>
        <v>0.12</v>
      </c>
      <c r="AC36" s="372"/>
      <c r="AD36" s="203">
        <f t="shared" si="11"/>
        <v>0</v>
      </c>
      <c r="AE36" s="372"/>
      <c r="AF36" s="372"/>
      <c r="AG36" s="372">
        <f>Roles!$D$7</f>
        <v>0.12</v>
      </c>
      <c r="AH36" s="372"/>
      <c r="AI36" s="203">
        <f t="shared" si="12"/>
        <v>0</v>
      </c>
      <c r="AJ36" s="372"/>
      <c r="AK36" s="372"/>
      <c r="AL36" s="372">
        <f>Roles!$D$7</f>
        <v>0.12</v>
      </c>
      <c r="AM36" s="372"/>
      <c r="AN36" s="203">
        <f t="shared" si="13"/>
        <v>0</v>
      </c>
      <c r="AO36" s="372"/>
      <c r="AP36" s="372"/>
      <c r="AQ36" s="372">
        <f>Roles!$D$7</f>
        <v>0.12</v>
      </c>
      <c r="AR36" s="372"/>
      <c r="AS36" s="203">
        <f t="shared" si="14"/>
        <v>0</v>
      </c>
      <c r="AT36" s="372"/>
      <c r="AU36" s="372"/>
      <c r="AV36" s="372">
        <f>Roles!$D$7</f>
        <v>0.12</v>
      </c>
      <c r="AW36" s="372"/>
      <c r="AX36" s="203">
        <f t="shared" si="15"/>
        <v>0</v>
      </c>
      <c r="AY36" s="372"/>
      <c r="AZ36" s="372"/>
      <c r="BA36" s="372">
        <f>Roles!$D$7</f>
        <v>0.12</v>
      </c>
      <c r="BB36" s="372"/>
      <c r="BC36" s="203">
        <f t="shared" si="16"/>
        <v>0</v>
      </c>
      <c r="BD36" s="372"/>
      <c r="BE36" s="372"/>
      <c r="BF36" s="372">
        <f>Roles!$D$7</f>
        <v>0.12</v>
      </c>
      <c r="BG36" s="372"/>
      <c r="BH36" s="203">
        <f t="shared" si="17"/>
        <v>0</v>
      </c>
      <c r="BI36" s="372"/>
      <c r="BJ36" s="372"/>
      <c r="BK36" s="372">
        <f>Roles!$D$7</f>
        <v>0.12</v>
      </c>
      <c r="BL36" s="372"/>
      <c r="BM36" s="203">
        <f t="shared" si="18"/>
        <v>0</v>
      </c>
      <c r="BN36" s="372"/>
      <c r="BO36" s="372"/>
      <c r="BP36" s="372">
        <f>Roles!$D$7</f>
        <v>0.12</v>
      </c>
      <c r="BQ36" s="372"/>
      <c r="BR36" s="203">
        <f t="shared" si="19"/>
        <v>0</v>
      </c>
      <c r="BS36" s="372"/>
      <c r="BT36" s="372"/>
      <c r="BU36" s="372">
        <f>Roles!$D$7</f>
        <v>0.12</v>
      </c>
      <c r="BV36" s="372"/>
      <c r="BW36" s="203">
        <f t="shared" si="20"/>
        <v>0</v>
      </c>
      <c r="BX36" s="372"/>
      <c r="BY36" s="372"/>
      <c r="BZ36" s="372">
        <f>Roles!$D$7</f>
        <v>0.12</v>
      </c>
      <c r="CA36" s="372"/>
      <c r="CB36" s="203">
        <f t="shared" si="21"/>
        <v>0</v>
      </c>
      <c r="CC36" s="372"/>
      <c r="CD36" s="372"/>
      <c r="CE36" s="372">
        <f>Roles!$D$7</f>
        <v>0.12</v>
      </c>
      <c r="CF36" s="372"/>
      <c r="CG36" s="203">
        <f t="shared" si="22"/>
        <v>0</v>
      </c>
      <c r="CH36" s="372"/>
      <c r="CI36" s="372"/>
      <c r="CJ36" s="372">
        <f>Roles!$D$7</f>
        <v>0.12</v>
      </c>
      <c r="CK36" s="372"/>
      <c r="CL36" s="203">
        <f t="shared" si="23"/>
        <v>0</v>
      </c>
      <c r="CM36" s="372"/>
      <c r="CN36" s="372"/>
      <c r="CO36" s="372">
        <f>Roles!$D$7</f>
        <v>0.12</v>
      </c>
      <c r="CP36" s="372"/>
      <c r="CQ36" s="203">
        <f t="shared" si="24"/>
        <v>0</v>
      </c>
      <c r="CR36" s="372"/>
      <c r="CS36" s="372"/>
      <c r="CT36" s="372">
        <f>Roles!$D$7</f>
        <v>0.12</v>
      </c>
      <c r="CU36" s="372"/>
      <c r="CV36" s="203">
        <f t="shared" si="25"/>
        <v>0</v>
      </c>
      <c r="CW36" s="372"/>
      <c r="CX36" s="372"/>
      <c r="CY36" s="372">
        <f>Roles!$D$7</f>
        <v>0.12</v>
      </c>
      <c r="CZ36" s="372"/>
      <c r="DA36" s="203">
        <f t="shared" si="26"/>
        <v>0</v>
      </c>
      <c r="DB36" s="372"/>
      <c r="DC36" s="372"/>
      <c r="DD36" s="372">
        <f>Roles!$D$7</f>
        <v>0.12</v>
      </c>
      <c r="DE36" s="372"/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 t="shared" si="1"/>
        <v>1</v>
      </c>
      <c r="F37" s="80">
        <v>2.0</v>
      </c>
      <c r="G37" s="105">
        <f t="shared" si="2"/>
        <v>0.001722652885</v>
      </c>
      <c r="H37" s="47">
        <f t="shared" si="42"/>
        <v>0.0645994832</v>
      </c>
      <c r="I37" s="231">
        <f t="shared" si="40"/>
        <v>4</v>
      </c>
      <c r="J37" s="172">
        <f t="shared" si="43"/>
        <v>80</v>
      </c>
      <c r="K37" s="115">
        <f t="shared" si="3"/>
        <v>0.07029876977</v>
      </c>
      <c r="L37" s="232">
        <f t="shared" si="41"/>
        <v>1.76</v>
      </c>
      <c r="M37" s="172">
        <f t="shared" si="44"/>
        <v>35.2</v>
      </c>
      <c r="N37" s="47" t="str">
        <f t="shared" si="6"/>
        <v>#REF!</v>
      </c>
      <c r="O37" s="203">
        <f t="shared" si="7"/>
        <v>2</v>
      </c>
      <c r="P37" s="378">
        <v>4.0</v>
      </c>
      <c r="Q37" s="372"/>
      <c r="R37" s="372">
        <f>Roles!$D$5</f>
        <v>0.44</v>
      </c>
      <c r="S37" s="372">
        <f t="shared" si="8"/>
        <v>1.76</v>
      </c>
      <c r="T37" s="203">
        <f t="shared" si="9"/>
        <v>0</v>
      </c>
      <c r="U37" s="372"/>
      <c r="V37" s="372"/>
      <c r="W37" s="372">
        <f>Roles!$D$7</f>
        <v>0.12</v>
      </c>
      <c r="X37" s="372"/>
      <c r="Y37" s="203">
        <f t="shared" si="10"/>
        <v>0</v>
      </c>
      <c r="Z37" s="372"/>
      <c r="AA37" s="372"/>
      <c r="AB37" s="372">
        <f>Roles!$D$7</f>
        <v>0.12</v>
      </c>
      <c r="AC37" s="372"/>
      <c r="AD37" s="203">
        <f t="shared" si="11"/>
        <v>0</v>
      </c>
      <c r="AE37" s="372"/>
      <c r="AF37" s="372"/>
      <c r="AG37" s="372">
        <f>Roles!$D$7</f>
        <v>0.12</v>
      </c>
      <c r="AH37" s="372"/>
      <c r="AI37" s="203">
        <f t="shared" si="12"/>
        <v>0</v>
      </c>
      <c r="AJ37" s="372"/>
      <c r="AK37" s="372"/>
      <c r="AL37" s="372">
        <f>Roles!$D$7</f>
        <v>0.12</v>
      </c>
      <c r="AM37" s="372"/>
      <c r="AN37" s="203">
        <f t="shared" si="13"/>
        <v>0</v>
      </c>
      <c r="AO37" s="372"/>
      <c r="AP37" s="372"/>
      <c r="AQ37" s="372">
        <f>Roles!$D$7</f>
        <v>0.12</v>
      </c>
      <c r="AR37" s="372"/>
      <c r="AS37" s="203">
        <f t="shared" si="14"/>
        <v>0</v>
      </c>
      <c r="AT37" s="372"/>
      <c r="AU37" s="372"/>
      <c r="AV37" s="372">
        <f>Roles!$D$7</f>
        <v>0.12</v>
      </c>
      <c r="AW37" s="372"/>
      <c r="AX37" s="203">
        <f t="shared" si="15"/>
        <v>0</v>
      </c>
      <c r="AY37" s="372"/>
      <c r="AZ37" s="372"/>
      <c r="BA37" s="372">
        <f>Roles!$D$7</f>
        <v>0.12</v>
      </c>
      <c r="BB37" s="372"/>
      <c r="BC37" s="203">
        <f t="shared" si="16"/>
        <v>0</v>
      </c>
      <c r="BD37" s="372"/>
      <c r="BE37" s="372"/>
      <c r="BF37" s="372">
        <f>Roles!$D$7</f>
        <v>0.12</v>
      </c>
      <c r="BG37" s="372"/>
      <c r="BH37" s="203">
        <f t="shared" si="17"/>
        <v>0</v>
      </c>
      <c r="BI37" s="372"/>
      <c r="BJ37" s="372"/>
      <c r="BK37" s="372">
        <f>Roles!$D$7</f>
        <v>0.12</v>
      </c>
      <c r="BL37" s="372"/>
      <c r="BM37" s="203">
        <f t="shared" si="18"/>
        <v>0</v>
      </c>
      <c r="BN37" s="372"/>
      <c r="BO37" s="372"/>
      <c r="BP37" s="372">
        <f>Roles!$D$7</f>
        <v>0.12</v>
      </c>
      <c r="BQ37" s="372"/>
      <c r="BR37" s="203">
        <f t="shared" si="19"/>
        <v>0</v>
      </c>
      <c r="BS37" s="372"/>
      <c r="BT37" s="372"/>
      <c r="BU37" s="372">
        <f>Roles!$D$7</f>
        <v>0.12</v>
      </c>
      <c r="BV37" s="372"/>
      <c r="BW37" s="203">
        <f t="shared" si="20"/>
        <v>0</v>
      </c>
      <c r="BX37" s="372"/>
      <c r="BY37" s="372"/>
      <c r="BZ37" s="372">
        <f>Roles!$D$7</f>
        <v>0.12</v>
      </c>
      <c r="CA37" s="372"/>
      <c r="CB37" s="203">
        <f t="shared" si="21"/>
        <v>0</v>
      </c>
      <c r="CC37" s="372"/>
      <c r="CD37" s="372"/>
      <c r="CE37" s="372">
        <f>Roles!$D$7</f>
        <v>0.12</v>
      </c>
      <c r="CF37" s="372"/>
      <c r="CG37" s="203">
        <f t="shared" si="22"/>
        <v>0</v>
      </c>
      <c r="CH37" s="372"/>
      <c r="CI37" s="372"/>
      <c r="CJ37" s="372">
        <f>Roles!$D$7</f>
        <v>0.12</v>
      </c>
      <c r="CK37" s="372"/>
      <c r="CL37" s="203">
        <f t="shared" si="23"/>
        <v>0</v>
      </c>
      <c r="CM37" s="372"/>
      <c r="CN37" s="372"/>
      <c r="CO37" s="372">
        <f>Roles!$D$7</f>
        <v>0.12</v>
      </c>
      <c r="CP37" s="372"/>
      <c r="CQ37" s="203">
        <f t="shared" si="24"/>
        <v>0</v>
      </c>
      <c r="CR37" s="372"/>
      <c r="CS37" s="372"/>
      <c r="CT37" s="372">
        <f>Roles!$D$7</f>
        <v>0.12</v>
      </c>
      <c r="CU37" s="372"/>
      <c r="CV37" s="203">
        <f t="shared" si="25"/>
        <v>0</v>
      </c>
      <c r="CW37" s="372"/>
      <c r="CX37" s="372"/>
      <c r="CY37" s="372">
        <f>Roles!$D$7</f>
        <v>0.12</v>
      </c>
      <c r="CZ37" s="372"/>
      <c r="DA37" s="203">
        <f t="shared" si="26"/>
        <v>0</v>
      </c>
      <c r="DB37" s="372"/>
      <c r="DC37" s="372"/>
      <c r="DD37" s="372">
        <f>Roles!$D$7</f>
        <v>0.12</v>
      </c>
      <c r="DE37" s="372"/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 t="shared" si="1"/>
        <v>1</v>
      </c>
      <c r="F38" s="80">
        <v>1.0</v>
      </c>
      <c r="G38" s="105">
        <f t="shared" si="2"/>
        <v>0.0008613264427</v>
      </c>
      <c r="H38" s="47">
        <f t="shared" si="42"/>
        <v>0.06546080965</v>
      </c>
      <c r="I38" s="231">
        <f t="shared" si="40"/>
        <v>1</v>
      </c>
      <c r="J38" s="172">
        <f t="shared" si="43"/>
        <v>81</v>
      </c>
      <c r="K38" s="248">
        <f t="shared" si="3"/>
        <v>0.07117750439</v>
      </c>
      <c r="L38" s="232">
        <f t="shared" si="41"/>
        <v>0.44</v>
      </c>
      <c r="M38" s="172">
        <f t="shared" si="44"/>
        <v>35.64</v>
      </c>
      <c r="N38" s="167" t="str">
        <f t="shared" si="6"/>
        <v>#REF!</v>
      </c>
      <c r="O38" s="203">
        <f t="shared" si="7"/>
        <v>1</v>
      </c>
      <c r="P38" s="378">
        <v>1.0</v>
      </c>
      <c r="Q38" s="372"/>
      <c r="R38" s="372">
        <f>Roles!$D$5</f>
        <v>0.44</v>
      </c>
      <c r="S38" s="372">
        <f t="shared" si="8"/>
        <v>0.44</v>
      </c>
      <c r="T38" s="203">
        <f t="shared" si="9"/>
        <v>0</v>
      </c>
      <c r="U38" s="372"/>
      <c r="V38" s="372"/>
      <c r="W38" s="372">
        <f>Roles!$D$7</f>
        <v>0.12</v>
      </c>
      <c r="X38" s="372"/>
      <c r="Y38" s="203">
        <f t="shared" si="10"/>
        <v>0</v>
      </c>
      <c r="Z38" s="372"/>
      <c r="AA38" s="372"/>
      <c r="AB38" s="372">
        <f>Roles!$D$7</f>
        <v>0.12</v>
      </c>
      <c r="AC38" s="372"/>
      <c r="AD38" s="203">
        <f t="shared" si="11"/>
        <v>0</v>
      </c>
      <c r="AE38" s="372"/>
      <c r="AF38" s="372"/>
      <c r="AG38" s="372">
        <f>Roles!$D$7</f>
        <v>0.12</v>
      </c>
      <c r="AH38" s="372"/>
      <c r="AI38" s="203">
        <f t="shared" si="12"/>
        <v>0</v>
      </c>
      <c r="AJ38" s="372"/>
      <c r="AK38" s="372"/>
      <c r="AL38" s="372">
        <f>Roles!$D$7</f>
        <v>0.12</v>
      </c>
      <c r="AM38" s="372"/>
      <c r="AN38" s="203">
        <f t="shared" si="13"/>
        <v>0</v>
      </c>
      <c r="AO38" s="372"/>
      <c r="AP38" s="372"/>
      <c r="AQ38" s="372">
        <f>Roles!$D$7</f>
        <v>0.12</v>
      </c>
      <c r="AR38" s="372"/>
      <c r="AS38" s="203">
        <f t="shared" si="14"/>
        <v>0</v>
      </c>
      <c r="AT38" s="372"/>
      <c r="AU38" s="372"/>
      <c r="AV38" s="372">
        <f>Roles!$D$7</f>
        <v>0.12</v>
      </c>
      <c r="AW38" s="372"/>
      <c r="AX38" s="203">
        <f t="shared" si="15"/>
        <v>0</v>
      </c>
      <c r="AY38" s="372"/>
      <c r="AZ38" s="372"/>
      <c r="BA38" s="372">
        <f>Roles!$D$7</f>
        <v>0.12</v>
      </c>
      <c r="BB38" s="372"/>
      <c r="BC38" s="203">
        <f t="shared" si="16"/>
        <v>0</v>
      </c>
      <c r="BD38" s="372"/>
      <c r="BE38" s="372"/>
      <c r="BF38" s="372">
        <f>Roles!$D$7</f>
        <v>0.12</v>
      </c>
      <c r="BG38" s="372"/>
      <c r="BH38" s="203">
        <f t="shared" si="17"/>
        <v>0</v>
      </c>
      <c r="BI38" s="372"/>
      <c r="BJ38" s="372"/>
      <c r="BK38" s="372">
        <f>Roles!$D$7</f>
        <v>0.12</v>
      </c>
      <c r="BL38" s="372"/>
      <c r="BM38" s="203">
        <f t="shared" si="18"/>
        <v>0</v>
      </c>
      <c r="BN38" s="372"/>
      <c r="BO38" s="372"/>
      <c r="BP38" s="372">
        <f>Roles!$D$7</f>
        <v>0.12</v>
      </c>
      <c r="BQ38" s="372"/>
      <c r="BR38" s="203">
        <f t="shared" si="19"/>
        <v>0</v>
      </c>
      <c r="BS38" s="372"/>
      <c r="BT38" s="372"/>
      <c r="BU38" s="372">
        <f>Roles!$D$7</f>
        <v>0.12</v>
      </c>
      <c r="BV38" s="372"/>
      <c r="BW38" s="203">
        <f t="shared" si="20"/>
        <v>0</v>
      </c>
      <c r="BX38" s="372"/>
      <c r="BY38" s="372"/>
      <c r="BZ38" s="372">
        <f>Roles!$D$7</f>
        <v>0.12</v>
      </c>
      <c r="CA38" s="372"/>
      <c r="CB38" s="203">
        <f t="shared" si="21"/>
        <v>0</v>
      </c>
      <c r="CC38" s="372"/>
      <c r="CD38" s="372"/>
      <c r="CE38" s="372">
        <f>Roles!$D$7</f>
        <v>0.12</v>
      </c>
      <c r="CF38" s="372"/>
      <c r="CG38" s="203">
        <f t="shared" si="22"/>
        <v>0</v>
      </c>
      <c r="CH38" s="372"/>
      <c r="CI38" s="372"/>
      <c r="CJ38" s="372">
        <f>Roles!$D$7</f>
        <v>0.12</v>
      </c>
      <c r="CK38" s="372"/>
      <c r="CL38" s="203">
        <f t="shared" si="23"/>
        <v>0</v>
      </c>
      <c r="CM38" s="372"/>
      <c r="CN38" s="372"/>
      <c r="CO38" s="372">
        <f>Roles!$D$7</f>
        <v>0.12</v>
      </c>
      <c r="CP38" s="372"/>
      <c r="CQ38" s="203">
        <f t="shared" si="24"/>
        <v>0</v>
      </c>
      <c r="CR38" s="372"/>
      <c r="CS38" s="372"/>
      <c r="CT38" s="372">
        <f>Roles!$D$7</f>
        <v>0.12</v>
      </c>
      <c r="CU38" s="372"/>
      <c r="CV38" s="203">
        <f t="shared" si="25"/>
        <v>0</v>
      </c>
      <c r="CW38" s="372"/>
      <c r="CX38" s="372"/>
      <c r="CY38" s="372">
        <f>Roles!$D$7</f>
        <v>0.12</v>
      </c>
      <c r="CZ38" s="372"/>
      <c r="DA38" s="203">
        <f t="shared" si="26"/>
        <v>0</v>
      </c>
      <c r="DB38" s="372"/>
      <c r="DC38" s="372"/>
      <c r="DD38" s="372">
        <f>Roles!$D$7</f>
        <v>0.12</v>
      </c>
      <c r="DE38" s="372"/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 t="shared" si="1"/>
        <v>6</v>
      </c>
      <c r="F39" s="246">
        <f>SUM(F40:F46)</f>
        <v>36</v>
      </c>
      <c r="G39" s="105">
        <f t="shared" si="2"/>
        <v>0.03100775194</v>
      </c>
      <c r="H39" s="226">
        <f>H46</f>
        <v>0.09646856158</v>
      </c>
      <c r="I39" s="247">
        <f>SUM(I40:I46)</f>
        <v>197</v>
      </c>
      <c r="J39" s="247">
        <f>J46</f>
        <v>278</v>
      </c>
      <c r="K39" s="167">
        <f t="shared" si="3"/>
        <v>0.244288225</v>
      </c>
      <c r="L39" s="247">
        <f>SUM(L40:L46)</f>
        <v>86.68</v>
      </c>
      <c r="M39" s="247">
        <f>M46</f>
        <v>122.32</v>
      </c>
      <c r="N39" s="47" t="str">
        <f t="shared" si="6"/>
        <v>#REF!</v>
      </c>
      <c r="O39" s="203">
        <f t="shared" si="7"/>
        <v>0</v>
      </c>
      <c r="P39" s="372"/>
      <c r="Q39" s="372"/>
      <c r="R39" s="372">
        <f>Roles!$D$5</f>
        <v>0.44</v>
      </c>
      <c r="S39" s="372">
        <f t="shared" si="8"/>
        <v>0</v>
      </c>
      <c r="T39" s="203">
        <f t="shared" si="9"/>
        <v>0</v>
      </c>
      <c r="U39" s="372"/>
      <c r="V39" s="372"/>
      <c r="W39" s="372">
        <f>Roles!$D$7</f>
        <v>0.12</v>
      </c>
      <c r="X39" s="372"/>
      <c r="Y39" s="203">
        <f t="shared" si="10"/>
        <v>0</v>
      </c>
      <c r="Z39" s="372"/>
      <c r="AA39" s="372"/>
      <c r="AB39" s="372">
        <f>Roles!$D$7</f>
        <v>0.12</v>
      </c>
      <c r="AC39" s="372"/>
      <c r="AD39" s="203">
        <f t="shared" si="11"/>
        <v>0</v>
      </c>
      <c r="AE39" s="372"/>
      <c r="AF39" s="372"/>
      <c r="AG39" s="372">
        <f>Roles!$D$7</f>
        <v>0.12</v>
      </c>
      <c r="AH39" s="372"/>
      <c r="AI39" s="203">
        <f t="shared" si="12"/>
        <v>0</v>
      </c>
      <c r="AJ39" s="372"/>
      <c r="AK39" s="372"/>
      <c r="AL39" s="372">
        <f>Roles!$D$7</f>
        <v>0.12</v>
      </c>
      <c r="AM39" s="372"/>
      <c r="AN39" s="203">
        <f t="shared" si="13"/>
        <v>0</v>
      </c>
      <c r="AO39" s="372"/>
      <c r="AP39" s="372"/>
      <c r="AQ39" s="372">
        <f>Roles!$D$7</f>
        <v>0.12</v>
      </c>
      <c r="AR39" s="372"/>
      <c r="AS39" s="203">
        <f t="shared" si="14"/>
        <v>0</v>
      </c>
      <c r="AT39" s="372"/>
      <c r="AU39" s="372"/>
      <c r="AV39" s="372">
        <f>Roles!$D$7</f>
        <v>0.12</v>
      </c>
      <c r="AW39" s="372"/>
      <c r="AX39" s="203">
        <f t="shared" si="15"/>
        <v>0</v>
      </c>
      <c r="AY39" s="372"/>
      <c r="AZ39" s="372"/>
      <c r="BA39" s="372">
        <f>Roles!$D$7</f>
        <v>0.12</v>
      </c>
      <c r="BB39" s="372"/>
      <c r="BC39" s="203">
        <f t="shared" si="16"/>
        <v>0</v>
      </c>
      <c r="BD39" s="372"/>
      <c r="BE39" s="372"/>
      <c r="BF39" s="372">
        <f>Roles!$D$7</f>
        <v>0.12</v>
      </c>
      <c r="BG39" s="372"/>
      <c r="BH39" s="203">
        <f t="shared" si="17"/>
        <v>0</v>
      </c>
      <c r="BI39" s="372"/>
      <c r="BJ39" s="372"/>
      <c r="BK39" s="372">
        <f>Roles!$D$7</f>
        <v>0.12</v>
      </c>
      <c r="BL39" s="372"/>
      <c r="BM39" s="203">
        <f t="shared" si="18"/>
        <v>0</v>
      </c>
      <c r="BN39" s="372"/>
      <c r="BO39" s="372"/>
      <c r="BP39" s="372">
        <f>Roles!$D$7</f>
        <v>0.12</v>
      </c>
      <c r="BQ39" s="372"/>
      <c r="BR39" s="203">
        <f t="shared" si="19"/>
        <v>0</v>
      </c>
      <c r="BS39" s="372"/>
      <c r="BT39" s="372"/>
      <c r="BU39" s="372">
        <f>Roles!$D$7</f>
        <v>0.12</v>
      </c>
      <c r="BV39" s="372"/>
      <c r="BW39" s="203">
        <f t="shared" si="20"/>
        <v>0</v>
      </c>
      <c r="BX39" s="372"/>
      <c r="BY39" s="372"/>
      <c r="BZ39" s="372">
        <f>Roles!$D$7</f>
        <v>0.12</v>
      </c>
      <c r="CA39" s="372"/>
      <c r="CB39" s="203">
        <f t="shared" si="21"/>
        <v>0</v>
      </c>
      <c r="CC39" s="372"/>
      <c r="CD39" s="372"/>
      <c r="CE39" s="372">
        <f>Roles!$D$7</f>
        <v>0.12</v>
      </c>
      <c r="CF39" s="372"/>
      <c r="CG39" s="203">
        <f t="shared" si="22"/>
        <v>0</v>
      </c>
      <c r="CH39" s="372"/>
      <c r="CI39" s="372"/>
      <c r="CJ39" s="372">
        <f>Roles!$D$7</f>
        <v>0.12</v>
      </c>
      <c r="CK39" s="372"/>
      <c r="CL39" s="203">
        <f t="shared" si="23"/>
        <v>0</v>
      </c>
      <c r="CM39" s="372"/>
      <c r="CN39" s="372"/>
      <c r="CO39" s="372">
        <f>Roles!$D$7</f>
        <v>0.12</v>
      </c>
      <c r="CP39" s="372"/>
      <c r="CQ39" s="203">
        <f t="shared" si="24"/>
        <v>0</v>
      </c>
      <c r="CR39" s="372"/>
      <c r="CS39" s="372"/>
      <c r="CT39" s="372">
        <f>Roles!$D$7</f>
        <v>0.12</v>
      </c>
      <c r="CU39" s="372"/>
      <c r="CV39" s="203">
        <f t="shared" si="25"/>
        <v>0</v>
      </c>
      <c r="CW39" s="372"/>
      <c r="CX39" s="372"/>
      <c r="CY39" s="372">
        <f>Roles!$D$7</f>
        <v>0.12</v>
      </c>
      <c r="CZ39" s="372"/>
      <c r="DA39" s="203">
        <f t="shared" si="26"/>
        <v>0</v>
      </c>
      <c r="DB39" s="372"/>
      <c r="DC39" s="372"/>
      <c r="DD39" s="372">
        <f>Roles!$D$7</f>
        <v>0.12</v>
      </c>
      <c r="DE39" s="372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 t="shared" si="1"/>
        <v>3</v>
      </c>
      <c r="F40" s="80">
        <v>10.0</v>
      </c>
      <c r="G40" s="105">
        <f t="shared" si="2"/>
        <v>0.008613264427</v>
      </c>
      <c r="H40" s="47">
        <f>H38+G40</f>
        <v>0.07407407407</v>
      </c>
      <c r="I40" s="231">
        <f t="shared" ref="I40:I46" si="45">P40+U40+Z40+AE40+AJ40+AO40+AT40+AY40+BD40+BI40+BN40+BS40+BX40+CC40+CH40+CM40+CR40+CW40+DB40</f>
        <v>75</v>
      </c>
      <c r="J40" s="172">
        <f>J38+I40</f>
        <v>156</v>
      </c>
      <c r="K40" s="115">
        <f t="shared" si="3"/>
        <v>0.1370826011</v>
      </c>
      <c r="L40" s="232">
        <f t="shared" ref="L40:L46" si="46">S40+X40+AC40+AH40+AM40+AR40+AW40+BB40+BG40+BL40+BQ40+BV40+CA40+CF40+CK40+CP40+CU40+CZ40+DE40</f>
        <v>33</v>
      </c>
      <c r="M40" s="172">
        <f>M38+L40</f>
        <v>68.64</v>
      </c>
      <c r="N40" s="226" t="str">
        <f t="shared" si="6"/>
        <v>#REF!</v>
      </c>
      <c r="O40" s="203">
        <f t="shared" si="7"/>
        <v>7.5</v>
      </c>
      <c r="P40" s="378">
        <v>75.0</v>
      </c>
      <c r="Q40" s="372"/>
      <c r="R40" s="372">
        <f>Roles!$D$5</f>
        <v>0.44</v>
      </c>
      <c r="S40" s="372">
        <f t="shared" si="8"/>
        <v>33</v>
      </c>
      <c r="T40" s="203">
        <f t="shared" si="9"/>
        <v>0</v>
      </c>
      <c r="U40" s="372"/>
      <c r="V40" s="372"/>
      <c r="W40" s="372">
        <f>Roles!$D$7</f>
        <v>0.12</v>
      </c>
      <c r="X40" s="372"/>
      <c r="Y40" s="203">
        <f t="shared" si="10"/>
        <v>0</v>
      </c>
      <c r="Z40" s="372"/>
      <c r="AA40" s="372"/>
      <c r="AB40" s="372">
        <f>Roles!$D$7</f>
        <v>0.12</v>
      </c>
      <c r="AC40" s="372"/>
      <c r="AD40" s="203">
        <f t="shared" si="11"/>
        <v>0</v>
      </c>
      <c r="AE40" s="372"/>
      <c r="AF40" s="372"/>
      <c r="AG40" s="372">
        <f>Roles!$D$7</f>
        <v>0.12</v>
      </c>
      <c r="AH40" s="372"/>
      <c r="AI40" s="203">
        <f t="shared" si="12"/>
        <v>0</v>
      </c>
      <c r="AJ40" s="372"/>
      <c r="AK40" s="372"/>
      <c r="AL40" s="372">
        <f>Roles!$D$7</f>
        <v>0.12</v>
      </c>
      <c r="AM40" s="372"/>
      <c r="AN40" s="203">
        <f t="shared" si="13"/>
        <v>0</v>
      </c>
      <c r="AO40" s="372"/>
      <c r="AP40" s="372"/>
      <c r="AQ40" s="372">
        <f>Roles!$D$7</f>
        <v>0.12</v>
      </c>
      <c r="AR40" s="372"/>
      <c r="AS40" s="203">
        <f t="shared" si="14"/>
        <v>0</v>
      </c>
      <c r="AT40" s="372"/>
      <c r="AU40" s="372"/>
      <c r="AV40" s="372">
        <f>Roles!$D$7</f>
        <v>0.12</v>
      </c>
      <c r="AW40" s="372"/>
      <c r="AX40" s="203">
        <f t="shared" si="15"/>
        <v>0</v>
      </c>
      <c r="AY40" s="372"/>
      <c r="AZ40" s="372"/>
      <c r="BA40" s="372">
        <f>Roles!$D$7</f>
        <v>0.12</v>
      </c>
      <c r="BB40" s="372"/>
      <c r="BC40" s="203">
        <f t="shared" si="16"/>
        <v>0</v>
      </c>
      <c r="BD40" s="372"/>
      <c r="BE40" s="372"/>
      <c r="BF40" s="372">
        <f>Roles!$D$7</f>
        <v>0.12</v>
      </c>
      <c r="BG40" s="372"/>
      <c r="BH40" s="203">
        <f t="shared" si="17"/>
        <v>0</v>
      </c>
      <c r="BI40" s="372"/>
      <c r="BJ40" s="372"/>
      <c r="BK40" s="372">
        <f>Roles!$D$7</f>
        <v>0.12</v>
      </c>
      <c r="BL40" s="372"/>
      <c r="BM40" s="203">
        <f t="shared" si="18"/>
        <v>0</v>
      </c>
      <c r="BN40" s="372"/>
      <c r="BO40" s="372"/>
      <c r="BP40" s="372">
        <f>Roles!$D$7</f>
        <v>0.12</v>
      </c>
      <c r="BQ40" s="372"/>
      <c r="BR40" s="203">
        <f t="shared" si="19"/>
        <v>0</v>
      </c>
      <c r="BS40" s="372"/>
      <c r="BT40" s="372"/>
      <c r="BU40" s="372">
        <f>Roles!$D$7</f>
        <v>0.12</v>
      </c>
      <c r="BV40" s="372"/>
      <c r="BW40" s="203">
        <f t="shared" si="20"/>
        <v>0</v>
      </c>
      <c r="BX40" s="372"/>
      <c r="BY40" s="372"/>
      <c r="BZ40" s="372">
        <f>Roles!$D$7</f>
        <v>0.12</v>
      </c>
      <c r="CA40" s="372"/>
      <c r="CB40" s="203">
        <f t="shared" si="21"/>
        <v>0</v>
      </c>
      <c r="CC40" s="372"/>
      <c r="CD40" s="372"/>
      <c r="CE40" s="372">
        <f>Roles!$D$7</f>
        <v>0.12</v>
      </c>
      <c r="CF40" s="372"/>
      <c r="CG40" s="203">
        <f t="shared" si="22"/>
        <v>0</v>
      </c>
      <c r="CH40" s="372"/>
      <c r="CI40" s="372"/>
      <c r="CJ40" s="372">
        <f>Roles!$D$7</f>
        <v>0.12</v>
      </c>
      <c r="CK40" s="372"/>
      <c r="CL40" s="203">
        <f t="shared" si="23"/>
        <v>0</v>
      </c>
      <c r="CM40" s="372"/>
      <c r="CN40" s="372"/>
      <c r="CO40" s="372">
        <f>Roles!$D$7</f>
        <v>0.12</v>
      </c>
      <c r="CP40" s="372"/>
      <c r="CQ40" s="203">
        <f t="shared" si="24"/>
        <v>0</v>
      </c>
      <c r="CR40" s="372"/>
      <c r="CS40" s="372"/>
      <c r="CT40" s="372">
        <f>Roles!$D$7</f>
        <v>0.12</v>
      </c>
      <c r="CU40" s="372"/>
      <c r="CV40" s="203">
        <f t="shared" si="25"/>
        <v>0</v>
      </c>
      <c r="CW40" s="372"/>
      <c r="CX40" s="372"/>
      <c r="CY40" s="372">
        <f>Roles!$D$7</f>
        <v>0.12</v>
      </c>
      <c r="CZ40" s="372"/>
      <c r="DA40" s="203">
        <f t="shared" si="26"/>
        <v>0</v>
      </c>
      <c r="DB40" s="372"/>
      <c r="DC40" s="372"/>
      <c r="DD40" s="372">
        <f>Roles!$D$7</f>
        <v>0.12</v>
      </c>
      <c r="DE40" s="372"/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 t="shared" si="1"/>
        <v>5</v>
      </c>
      <c r="F41" s="80">
        <v>5.0</v>
      </c>
      <c r="G41" s="105">
        <f t="shared" si="2"/>
        <v>0.004306632214</v>
      </c>
      <c r="H41" s="47">
        <f t="shared" ref="H41:H46" si="47">H40+G41</f>
        <v>0.07838070629</v>
      </c>
      <c r="I41" s="231">
        <f t="shared" si="45"/>
        <v>30</v>
      </c>
      <c r="J41" s="172">
        <f t="shared" ref="J41:J46" si="48">J40+I41</f>
        <v>186</v>
      </c>
      <c r="K41" s="115">
        <f t="shared" si="3"/>
        <v>0.1634446397</v>
      </c>
      <c r="L41" s="232">
        <f t="shared" si="46"/>
        <v>13.2</v>
      </c>
      <c r="M41" s="172">
        <f t="shared" ref="M41:M46" si="49">M40+L41</f>
        <v>81.84</v>
      </c>
      <c r="N41" s="226" t="str">
        <f t="shared" si="6"/>
        <v>#REF!</v>
      </c>
      <c r="O41" s="203">
        <f t="shared" si="7"/>
        <v>6</v>
      </c>
      <c r="P41" s="378">
        <v>30.0</v>
      </c>
      <c r="Q41" s="372"/>
      <c r="R41" s="372">
        <f>Roles!$D$5</f>
        <v>0.44</v>
      </c>
      <c r="S41" s="372">
        <f t="shared" si="8"/>
        <v>13.2</v>
      </c>
      <c r="T41" s="203">
        <f t="shared" si="9"/>
        <v>0</v>
      </c>
      <c r="U41" s="372"/>
      <c r="V41" s="372"/>
      <c r="W41" s="372">
        <f>Roles!$D$7</f>
        <v>0.12</v>
      </c>
      <c r="X41" s="372"/>
      <c r="Y41" s="203">
        <f t="shared" si="10"/>
        <v>0</v>
      </c>
      <c r="Z41" s="372"/>
      <c r="AA41" s="372"/>
      <c r="AB41" s="372">
        <f>Roles!$D$7</f>
        <v>0.12</v>
      </c>
      <c r="AC41" s="372"/>
      <c r="AD41" s="203">
        <f t="shared" si="11"/>
        <v>0</v>
      </c>
      <c r="AE41" s="372"/>
      <c r="AF41" s="372"/>
      <c r="AG41" s="372">
        <f>Roles!$D$7</f>
        <v>0.12</v>
      </c>
      <c r="AH41" s="372"/>
      <c r="AI41" s="203">
        <f t="shared" si="12"/>
        <v>0</v>
      </c>
      <c r="AJ41" s="372"/>
      <c r="AK41" s="372"/>
      <c r="AL41" s="372">
        <f>Roles!$D$7</f>
        <v>0.12</v>
      </c>
      <c r="AM41" s="372"/>
      <c r="AN41" s="203">
        <f t="shared" si="13"/>
        <v>0</v>
      </c>
      <c r="AO41" s="372"/>
      <c r="AP41" s="372"/>
      <c r="AQ41" s="372">
        <f>Roles!$D$7</f>
        <v>0.12</v>
      </c>
      <c r="AR41" s="372"/>
      <c r="AS41" s="203">
        <f t="shared" si="14"/>
        <v>0</v>
      </c>
      <c r="AT41" s="372"/>
      <c r="AU41" s="372"/>
      <c r="AV41" s="372">
        <f>Roles!$D$7</f>
        <v>0.12</v>
      </c>
      <c r="AW41" s="372"/>
      <c r="AX41" s="203">
        <f t="shared" si="15"/>
        <v>0</v>
      </c>
      <c r="AY41" s="372"/>
      <c r="AZ41" s="372"/>
      <c r="BA41" s="372">
        <f>Roles!$D$7</f>
        <v>0.12</v>
      </c>
      <c r="BB41" s="372"/>
      <c r="BC41" s="203">
        <f t="shared" si="16"/>
        <v>0</v>
      </c>
      <c r="BD41" s="372"/>
      <c r="BE41" s="372"/>
      <c r="BF41" s="372">
        <f>Roles!$D$7</f>
        <v>0.12</v>
      </c>
      <c r="BG41" s="372"/>
      <c r="BH41" s="203">
        <f t="shared" si="17"/>
        <v>0</v>
      </c>
      <c r="BI41" s="372"/>
      <c r="BJ41" s="372"/>
      <c r="BK41" s="372">
        <f>Roles!$D$7</f>
        <v>0.12</v>
      </c>
      <c r="BL41" s="372"/>
      <c r="BM41" s="203">
        <f t="shared" si="18"/>
        <v>0</v>
      </c>
      <c r="BN41" s="372"/>
      <c r="BO41" s="372"/>
      <c r="BP41" s="372">
        <f>Roles!$D$7</f>
        <v>0.12</v>
      </c>
      <c r="BQ41" s="372"/>
      <c r="BR41" s="203">
        <f t="shared" si="19"/>
        <v>0</v>
      </c>
      <c r="BS41" s="372"/>
      <c r="BT41" s="372"/>
      <c r="BU41" s="372">
        <f>Roles!$D$7</f>
        <v>0.12</v>
      </c>
      <c r="BV41" s="372"/>
      <c r="BW41" s="203">
        <f t="shared" si="20"/>
        <v>0</v>
      </c>
      <c r="BX41" s="372"/>
      <c r="BY41" s="372"/>
      <c r="BZ41" s="372">
        <f>Roles!$D$7</f>
        <v>0.12</v>
      </c>
      <c r="CA41" s="372"/>
      <c r="CB41" s="203">
        <f t="shared" si="21"/>
        <v>0</v>
      </c>
      <c r="CC41" s="372"/>
      <c r="CD41" s="372"/>
      <c r="CE41" s="372">
        <f>Roles!$D$7</f>
        <v>0.12</v>
      </c>
      <c r="CF41" s="372"/>
      <c r="CG41" s="203">
        <f t="shared" si="22"/>
        <v>0</v>
      </c>
      <c r="CH41" s="372"/>
      <c r="CI41" s="372"/>
      <c r="CJ41" s="372">
        <f>Roles!$D$7</f>
        <v>0.12</v>
      </c>
      <c r="CK41" s="372"/>
      <c r="CL41" s="203">
        <f t="shared" si="23"/>
        <v>0</v>
      </c>
      <c r="CM41" s="372"/>
      <c r="CN41" s="372"/>
      <c r="CO41" s="372">
        <f>Roles!$D$7</f>
        <v>0.12</v>
      </c>
      <c r="CP41" s="372"/>
      <c r="CQ41" s="203">
        <f t="shared" si="24"/>
        <v>0</v>
      </c>
      <c r="CR41" s="372"/>
      <c r="CS41" s="372"/>
      <c r="CT41" s="372">
        <f>Roles!$D$7</f>
        <v>0.12</v>
      </c>
      <c r="CU41" s="372"/>
      <c r="CV41" s="203">
        <f t="shared" si="25"/>
        <v>0</v>
      </c>
      <c r="CW41" s="372"/>
      <c r="CX41" s="372"/>
      <c r="CY41" s="372">
        <f>Roles!$D$7</f>
        <v>0.12</v>
      </c>
      <c r="CZ41" s="372"/>
      <c r="DA41" s="203">
        <f t="shared" si="26"/>
        <v>0</v>
      </c>
      <c r="DB41" s="372"/>
      <c r="DC41" s="372"/>
      <c r="DD41" s="372">
        <f>Roles!$D$7</f>
        <v>0.12</v>
      </c>
      <c r="DE41" s="372"/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 t="shared" si="1"/>
        <v>5</v>
      </c>
      <c r="F42" s="80">
        <v>5.0</v>
      </c>
      <c r="G42" s="105">
        <f t="shared" si="2"/>
        <v>0.004306632214</v>
      </c>
      <c r="H42" s="47">
        <f t="shared" si="47"/>
        <v>0.0826873385</v>
      </c>
      <c r="I42" s="231">
        <f t="shared" si="45"/>
        <v>57</v>
      </c>
      <c r="J42" s="172">
        <f t="shared" si="48"/>
        <v>243</v>
      </c>
      <c r="K42" s="115">
        <f t="shared" si="3"/>
        <v>0.2135325132</v>
      </c>
      <c r="L42" s="232">
        <f t="shared" si="46"/>
        <v>25.08</v>
      </c>
      <c r="M42" s="172">
        <f t="shared" si="49"/>
        <v>106.92</v>
      </c>
      <c r="N42" s="138" t="str">
        <f t="shared" si="6"/>
        <v>#REF!</v>
      </c>
      <c r="O42" s="203">
        <f t="shared" si="7"/>
        <v>11.4</v>
      </c>
      <c r="P42" s="378">
        <v>57.0</v>
      </c>
      <c r="Q42" s="372"/>
      <c r="R42" s="372">
        <f>Roles!$D$5</f>
        <v>0.44</v>
      </c>
      <c r="S42" s="372">
        <f t="shared" si="8"/>
        <v>25.08</v>
      </c>
      <c r="T42" s="203">
        <f t="shared" si="9"/>
        <v>0</v>
      </c>
      <c r="U42" s="372"/>
      <c r="V42" s="372"/>
      <c r="W42" s="372">
        <f>Roles!$D$7</f>
        <v>0.12</v>
      </c>
      <c r="X42" s="372"/>
      <c r="Y42" s="203">
        <f t="shared" si="10"/>
        <v>0</v>
      </c>
      <c r="Z42" s="372"/>
      <c r="AA42" s="372"/>
      <c r="AB42" s="372">
        <f>Roles!$D$7</f>
        <v>0.12</v>
      </c>
      <c r="AC42" s="372"/>
      <c r="AD42" s="203">
        <f t="shared" si="11"/>
        <v>0</v>
      </c>
      <c r="AE42" s="372"/>
      <c r="AF42" s="372"/>
      <c r="AG42" s="372">
        <f>Roles!$D$7</f>
        <v>0.12</v>
      </c>
      <c r="AH42" s="372"/>
      <c r="AI42" s="203">
        <f t="shared" si="12"/>
        <v>0</v>
      </c>
      <c r="AJ42" s="372"/>
      <c r="AK42" s="372"/>
      <c r="AL42" s="372">
        <f>Roles!$D$7</f>
        <v>0.12</v>
      </c>
      <c r="AM42" s="372"/>
      <c r="AN42" s="203">
        <f t="shared" si="13"/>
        <v>0</v>
      </c>
      <c r="AO42" s="372"/>
      <c r="AP42" s="372"/>
      <c r="AQ42" s="372">
        <f>Roles!$D$7</f>
        <v>0.12</v>
      </c>
      <c r="AR42" s="372"/>
      <c r="AS42" s="203">
        <f t="shared" si="14"/>
        <v>0</v>
      </c>
      <c r="AT42" s="372"/>
      <c r="AU42" s="372"/>
      <c r="AV42" s="372">
        <f>Roles!$D$7</f>
        <v>0.12</v>
      </c>
      <c r="AW42" s="372"/>
      <c r="AX42" s="203">
        <f t="shared" si="15"/>
        <v>0</v>
      </c>
      <c r="AY42" s="372"/>
      <c r="AZ42" s="372"/>
      <c r="BA42" s="372">
        <f>Roles!$D$7</f>
        <v>0.12</v>
      </c>
      <c r="BB42" s="372"/>
      <c r="BC42" s="203">
        <f t="shared" si="16"/>
        <v>0</v>
      </c>
      <c r="BD42" s="372"/>
      <c r="BE42" s="372"/>
      <c r="BF42" s="372">
        <f>Roles!$D$7</f>
        <v>0.12</v>
      </c>
      <c r="BG42" s="372"/>
      <c r="BH42" s="203">
        <f t="shared" si="17"/>
        <v>0</v>
      </c>
      <c r="BI42" s="372"/>
      <c r="BJ42" s="372"/>
      <c r="BK42" s="372">
        <f>Roles!$D$7</f>
        <v>0.12</v>
      </c>
      <c r="BL42" s="372"/>
      <c r="BM42" s="203">
        <f t="shared" si="18"/>
        <v>0</v>
      </c>
      <c r="BN42" s="372"/>
      <c r="BO42" s="372"/>
      <c r="BP42" s="372">
        <f>Roles!$D$7</f>
        <v>0.12</v>
      </c>
      <c r="BQ42" s="372"/>
      <c r="BR42" s="203">
        <f t="shared" si="19"/>
        <v>0</v>
      </c>
      <c r="BS42" s="372"/>
      <c r="BT42" s="372"/>
      <c r="BU42" s="372">
        <f>Roles!$D$7</f>
        <v>0.12</v>
      </c>
      <c r="BV42" s="372"/>
      <c r="BW42" s="203">
        <f t="shared" si="20"/>
        <v>0</v>
      </c>
      <c r="BX42" s="372"/>
      <c r="BY42" s="372"/>
      <c r="BZ42" s="372">
        <f>Roles!$D$7</f>
        <v>0.12</v>
      </c>
      <c r="CA42" s="372"/>
      <c r="CB42" s="203">
        <f t="shared" si="21"/>
        <v>0</v>
      </c>
      <c r="CC42" s="372"/>
      <c r="CD42" s="372"/>
      <c r="CE42" s="372">
        <f>Roles!$D$7</f>
        <v>0.12</v>
      </c>
      <c r="CF42" s="372"/>
      <c r="CG42" s="203">
        <f t="shared" si="22"/>
        <v>0</v>
      </c>
      <c r="CH42" s="372"/>
      <c r="CI42" s="372"/>
      <c r="CJ42" s="372">
        <f>Roles!$D$7</f>
        <v>0.12</v>
      </c>
      <c r="CK42" s="372"/>
      <c r="CL42" s="203">
        <f t="shared" si="23"/>
        <v>0</v>
      </c>
      <c r="CM42" s="372"/>
      <c r="CN42" s="372"/>
      <c r="CO42" s="372">
        <f>Roles!$D$7</f>
        <v>0.12</v>
      </c>
      <c r="CP42" s="372"/>
      <c r="CQ42" s="203">
        <f t="shared" si="24"/>
        <v>0</v>
      </c>
      <c r="CR42" s="372"/>
      <c r="CS42" s="372"/>
      <c r="CT42" s="372">
        <f>Roles!$D$7</f>
        <v>0.12</v>
      </c>
      <c r="CU42" s="372"/>
      <c r="CV42" s="203">
        <f t="shared" si="25"/>
        <v>0</v>
      </c>
      <c r="CW42" s="372"/>
      <c r="CX42" s="372"/>
      <c r="CY42" s="372">
        <f>Roles!$D$7</f>
        <v>0.12</v>
      </c>
      <c r="CZ42" s="372"/>
      <c r="DA42" s="203">
        <f t="shared" si="26"/>
        <v>0</v>
      </c>
      <c r="DB42" s="372"/>
      <c r="DC42" s="372"/>
      <c r="DD42" s="372">
        <f>Roles!$D$7</f>
        <v>0.12</v>
      </c>
      <c r="DE42" s="372"/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 t="shared" si="1"/>
        <v>2</v>
      </c>
      <c r="F43" s="80">
        <v>5.0</v>
      </c>
      <c r="G43" s="105">
        <f t="shared" si="2"/>
        <v>0.004306632214</v>
      </c>
      <c r="H43" s="47">
        <f t="shared" si="47"/>
        <v>0.08699397071</v>
      </c>
      <c r="I43" s="231">
        <f t="shared" si="45"/>
        <v>15</v>
      </c>
      <c r="J43" s="172">
        <f t="shared" si="48"/>
        <v>258</v>
      </c>
      <c r="K43" s="115">
        <f t="shared" si="3"/>
        <v>0.2267135325</v>
      </c>
      <c r="L43" s="232">
        <f t="shared" si="46"/>
        <v>6.6</v>
      </c>
      <c r="M43" s="172">
        <f t="shared" si="49"/>
        <v>113.52</v>
      </c>
      <c r="N43" s="282" t="str">
        <f t="shared" si="6"/>
        <v>#REF!</v>
      </c>
      <c r="O43" s="203">
        <f t="shared" si="7"/>
        <v>3</v>
      </c>
      <c r="P43" s="378">
        <v>15.0</v>
      </c>
      <c r="Q43" s="372"/>
      <c r="R43" s="372">
        <f>Roles!$D$5</f>
        <v>0.44</v>
      </c>
      <c r="S43" s="372">
        <f t="shared" si="8"/>
        <v>6.6</v>
      </c>
      <c r="T43" s="203">
        <f t="shared" si="9"/>
        <v>0</v>
      </c>
      <c r="U43" s="372"/>
      <c r="V43" s="372"/>
      <c r="W43" s="372">
        <f>Roles!$D$7</f>
        <v>0.12</v>
      </c>
      <c r="X43" s="372"/>
      <c r="Y43" s="203">
        <f t="shared" si="10"/>
        <v>0</v>
      </c>
      <c r="Z43" s="372"/>
      <c r="AA43" s="372"/>
      <c r="AB43" s="372">
        <f>Roles!$D$7</f>
        <v>0.12</v>
      </c>
      <c r="AC43" s="372"/>
      <c r="AD43" s="203">
        <f t="shared" si="11"/>
        <v>0</v>
      </c>
      <c r="AE43" s="372"/>
      <c r="AF43" s="372"/>
      <c r="AG43" s="372">
        <f>Roles!$D$7</f>
        <v>0.12</v>
      </c>
      <c r="AH43" s="372"/>
      <c r="AI43" s="203">
        <f t="shared" si="12"/>
        <v>0</v>
      </c>
      <c r="AJ43" s="372"/>
      <c r="AK43" s="372"/>
      <c r="AL43" s="372">
        <f>Roles!$D$7</f>
        <v>0.12</v>
      </c>
      <c r="AM43" s="372"/>
      <c r="AN43" s="203">
        <f t="shared" si="13"/>
        <v>0</v>
      </c>
      <c r="AO43" s="372"/>
      <c r="AP43" s="372"/>
      <c r="AQ43" s="372">
        <f>Roles!$D$7</f>
        <v>0.12</v>
      </c>
      <c r="AR43" s="372"/>
      <c r="AS43" s="203">
        <f t="shared" si="14"/>
        <v>0</v>
      </c>
      <c r="AT43" s="372"/>
      <c r="AU43" s="372"/>
      <c r="AV43" s="372">
        <f>Roles!$D$7</f>
        <v>0.12</v>
      </c>
      <c r="AW43" s="372"/>
      <c r="AX43" s="203">
        <f t="shared" si="15"/>
        <v>0</v>
      </c>
      <c r="AY43" s="372"/>
      <c r="AZ43" s="372"/>
      <c r="BA43" s="372">
        <f>Roles!$D$7</f>
        <v>0.12</v>
      </c>
      <c r="BB43" s="372"/>
      <c r="BC43" s="203">
        <f t="shared" si="16"/>
        <v>0</v>
      </c>
      <c r="BD43" s="372"/>
      <c r="BE43" s="372"/>
      <c r="BF43" s="372">
        <f>Roles!$D$7</f>
        <v>0.12</v>
      </c>
      <c r="BG43" s="372"/>
      <c r="BH43" s="203">
        <f t="shared" si="17"/>
        <v>0</v>
      </c>
      <c r="BI43" s="372"/>
      <c r="BJ43" s="372"/>
      <c r="BK43" s="372">
        <f>Roles!$D$7</f>
        <v>0.12</v>
      </c>
      <c r="BL43" s="372"/>
      <c r="BM43" s="203">
        <f t="shared" si="18"/>
        <v>0</v>
      </c>
      <c r="BN43" s="372"/>
      <c r="BO43" s="372"/>
      <c r="BP43" s="372">
        <f>Roles!$D$7</f>
        <v>0.12</v>
      </c>
      <c r="BQ43" s="372"/>
      <c r="BR43" s="203">
        <f t="shared" si="19"/>
        <v>0</v>
      </c>
      <c r="BS43" s="372"/>
      <c r="BT43" s="372"/>
      <c r="BU43" s="372">
        <f>Roles!$D$7</f>
        <v>0.12</v>
      </c>
      <c r="BV43" s="372"/>
      <c r="BW43" s="203">
        <f t="shared" si="20"/>
        <v>0</v>
      </c>
      <c r="BX43" s="372"/>
      <c r="BY43" s="372"/>
      <c r="BZ43" s="372">
        <f>Roles!$D$7</f>
        <v>0.12</v>
      </c>
      <c r="CA43" s="372"/>
      <c r="CB43" s="203">
        <f t="shared" si="21"/>
        <v>0</v>
      </c>
      <c r="CC43" s="372"/>
      <c r="CD43" s="372"/>
      <c r="CE43" s="372">
        <f>Roles!$D$7</f>
        <v>0.12</v>
      </c>
      <c r="CF43" s="372"/>
      <c r="CG43" s="203">
        <f t="shared" si="22"/>
        <v>0</v>
      </c>
      <c r="CH43" s="372"/>
      <c r="CI43" s="372"/>
      <c r="CJ43" s="372">
        <f>Roles!$D$7</f>
        <v>0.12</v>
      </c>
      <c r="CK43" s="372"/>
      <c r="CL43" s="203">
        <f t="shared" si="23"/>
        <v>0</v>
      </c>
      <c r="CM43" s="372"/>
      <c r="CN43" s="372"/>
      <c r="CO43" s="372">
        <f>Roles!$D$7</f>
        <v>0.12</v>
      </c>
      <c r="CP43" s="372"/>
      <c r="CQ43" s="203">
        <f t="shared" si="24"/>
        <v>0</v>
      </c>
      <c r="CR43" s="372"/>
      <c r="CS43" s="372"/>
      <c r="CT43" s="372">
        <f>Roles!$D$7</f>
        <v>0.12</v>
      </c>
      <c r="CU43" s="372"/>
      <c r="CV43" s="203">
        <f t="shared" si="25"/>
        <v>0</v>
      </c>
      <c r="CW43" s="372"/>
      <c r="CX43" s="372"/>
      <c r="CY43" s="372">
        <f>Roles!$D$7</f>
        <v>0.12</v>
      </c>
      <c r="CZ43" s="372"/>
      <c r="DA43" s="203">
        <f t="shared" si="26"/>
        <v>0</v>
      </c>
      <c r="DB43" s="372"/>
      <c r="DC43" s="372"/>
      <c r="DD43" s="372">
        <f>Roles!$D$7</f>
        <v>0.12</v>
      </c>
      <c r="DE43" s="372"/>
    </row>
    <row r="44" ht="15.0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 t="shared" si="1"/>
        <v>2</v>
      </c>
      <c r="F44" s="80">
        <v>4.0</v>
      </c>
      <c r="G44" s="105">
        <f t="shared" si="2"/>
        <v>0.003445305771</v>
      </c>
      <c r="H44" s="47">
        <f t="shared" si="47"/>
        <v>0.09043927649</v>
      </c>
      <c r="I44" s="231">
        <f t="shared" si="45"/>
        <v>8</v>
      </c>
      <c r="J44" s="172">
        <f t="shared" si="48"/>
        <v>266</v>
      </c>
      <c r="K44" s="115">
        <f t="shared" si="3"/>
        <v>0.2337434095</v>
      </c>
      <c r="L44" s="232">
        <f t="shared" si="46"/>
        <v>3.52</v>
      </c>
      <c r="M44" s="172">
        <f t="shared" si="49"/>
        <v>117.04</v>
      </c>
      <c r="N44" s="226" t="str">
        <f t="shared" si="6"/>
        <v>#REF!</v>
      </c>
      <c r="O44" s="203">
        <f t="shared" si="7"/>
        <v>2</v>
      </c>
      <c r="P44" s="378">
        <v>8.0</v>
      </c>
      <c r="Q44" s="372"/>
      <c r="R44" s="372">
        <f>Roles!$D$5</f>
        <v>0.44</v>
      </c>
      <c r="S44" s="372">
        <f t="shared" si="8"/>
        <v>3.52</v>
      </c>
      <c r="T44" s="203">
        <f t="shared" si="9"/>
        <v>0</v>
      </c>
      <c r="U44" s="372"/>
      <c r="V44" s="372"/>
      <c r="W44" s="372">
        <f>Roles!$D$7</f>
        <v>0.12</v>
      </c>
      <c r="X44" s="372"/>
      <c r="Y44" s="203">
        <f t="shared" si="10"/>
        <v>0</v>
      </c>
      <c r="Z44" s="372"/>
      <c r="AA44" s="372"/>
      <c r="AB44" s="372">
        <f>Roles!$D$7</f>
        <v>0.12</v>
      </c>
      <c r="AC44" s="372"/>
      <c r="AD44" s="203">
        <f t="shared" si="11"/>
        <v>0</v>
      </c>
      <c r="AE44" s="372"/>
      <c r="AF44" s="372"/>
      <c r="AG44" s="372">
        <f>Roles!$D$7</f>
        <v>0.12</v>
      </c>
      <c r="AH44" s="372"/>
      <c r="AI44" s="203">
        <f t="shared" si="12"/>
        <v>0</v>
      </c>
      <c r="AJ44" s="372"/>
      <c r="AK44" s="372"/>
      <c r="AL44" s="372">
        <f>Roles!$D$7</f>
        <v>0.12</v>
      </c>
      <c r="AM44" s="372"/>
      <c r="AN44" s="203">
        <f t="shared" si="13"/>
        <v>0</v>
      </c>
      <c r="AO44" s="372"/>
      <c r="AP44" s="372"/>
      <c r="AQ44" s="372">
        <f>Roles!$D$7</f>
        <v>0.12</v>
      </c>
      <c r="AR44" s="372"/>
      <c r="AS44" s="203">
        <f t="shared" si="14"/>
        <v>0</v>
      </c>
      <c r="AT44" s="372"/>
      <c r="AU44" s="372"/>
      <c r="AV44" s="372">
        <f>Roles!$D$7</f>
        <v>0.12</v>
      </c>
      <c r="AW44" s="372"/>
      <c r="AX44" s="203">
        <f t="shared" si="15"/>
        <v>0</v>
      </c>
      <c r="AY44" s="372"/>
      <c r="AZ44" s="372"/>
      <c r="BA44" s="372">
        <f>Roles!$D$7</f>
        <v>0.12</v>
      </c>
      <c r="BB44" s="372"/>
      <c r="BC44" s="203">
        <f t="shared" si="16"/>
        <v>0</v>
      </c>
      <c r="BD44" s="372"/>
      <c r="BE44" s="372"/>
      <c r="BF44" s="372">
        <f>Roles!$D$7</f>
        <v>0.12</v>
      </c>
      <c r="BG44" s="372"/>
      <c r="BH44" s="203">
        <f t="shared" si="17"/>
        <v>0</v>
      </c>
      <c r="BI44" s="372"/>
      <c r="BJ44" s="372"/>
      <c r="BK44" s="372">
        <f>Roles!$D$7</f>
        <v>0.12</v>
      </c>
      <c r="BL44" s="372"/>
      <c r="BM44" s="203">
        <f t="shared" si="18"/>
        <v>0</v>
      </c>
      <c r="BN44" s="372"/>
      <c r="BO44" s="372"/>
      <c r="BP44" s="372">
        <f>Roles!$D$7</f>
        <v>0.12</v>
      </c>
      <c r="BQ44" s="372"/>
      <c r="BR44" s="203">
        <f t="shared" si="19"/>
        <v>0</v>
      </c>
      <c r="BS44" s="372"/>
      <c r="BT44" s="372"/>
      <c r="BU44" s="372">
        <f>Roles!$D$7</f>
        <v>0.12</v>
      </c>
      <c r="BV44" s="372"/>
      <c r="BW44" s="203">
        <f t="shared" si="20"/>
        <v>0</v>
      </c>
      <c r="BX44" s="372"/>
      <c r="BY44" s="372"/>
      <c r="BZ44" s="372">
        <f>Roles!$D$7</f>
        <v>0.12</v>
      </c>
      <c r="CA44" s="372"/>
      <c r="CB44" s="203">
        <f t="shared" si="21"/>
        <v>0</v>
      </c>
      <c r="CC44" s="372"/>
      <c r="CD44" s="372"/>
      <c r="CE44" s="372">
        <f>Roles!$D$7</f>
        <v>0.12</v>
      </c>
      <c r="CF44" s="372"/>
      <c r="CG44" s="203">
        <f t="shared" si="22"/>
        <v>0</v>
      </c>
      <c r="CH44" s="372"/>
      <c r="CI44" s="372"/>
      <c r="CJ44" s="372">
        <f>Roles!$D$7</f>
        <v>0.12</v>
      </c>
      <c r="CK44" s="372"/>
      <c r="CL44" s="203">
        <f t="shared" si="23"/>
        <v>0</v>
      </c>
      <c r="CM44" s="372"/>
      <c r="CN44" s="372"/>
      <c r="CO44" s="372">
        <f>Roles!$D$7</f>
        <v>0.12</v>
      </c>
      <c r="CP44" s="372"/>
      <c r="CQ44" s="203">
        <f t="shared" si="24"/>
        <v>0</v>
      </c>
      <c r="CR44" s="372"/>
      <c r="CS44" s="372"/>
      <c r="CT44" s="372">
        <f>Roles!$D$7</f>
        <v>0.12</v>
      </c>
      <c r="CU44" s="372"/>
      <c r="CV44" s="203">
        <f t="shared" si="25"/>
        <v>0</v>
      </c>
      <c r="CW44" s="372"/>
      <c r="CX44" s="372"/>
      <c r="CY44" s="372">
        <f>Roles!$D$7</f>
        <v>0.12</v>
      </c>
      <c r="CZ44" s="372"/>
      <c r="DA44" s="203">
        <f t="shared" si="26"/>
        <v>0</v>
      </c>
      <c r="DB44" s="372"/>
      <c r="DC44" s="372"/>
      <c r="DD44" s="372">
        <f>Roles!$D$7</f>
        <v>0.12</v>
      </c>
      <c r="DE44" s="372"/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 t="shared" si="1"/>
        <v>1</v>
      </c>
      <c r="F45" s="80">
        <v>3.0</v>
      </c>
      <c r="G45" s="105">
        <f t="shared" si="2"/>
        <v>0.002583979328</v>
      </c>
      <c r="H45" s="47">
        <f t="shared" si="47"/>
        <v>0.09302325581</v>
      </c>
      <c r="I45" s="231">
        <f t="shared" si="45"/>
        <v>0</v>
      </c>
      <c r="J45" s="172">
        <f t="shared" si="48"/>
        <v>266</v>
      </c>
      <c r="K45" s="115">
        <f t="shared" si="3"/>
        <v>0.2337434095</v>
      </c>
      <c r="L45" s="232">
        <f t="shared" si="46"/>
        <v>0</v>
      </c>
      <c r="M45" s="172">
        <f t="shared" si="49"/>
        <v>117.04</v>
      </c>
      <c r="N45" s="224" t="str">
        <f t="shared" si="6"/>
        <v>#REF!</v>
      </c>
      <c r="O45" s="203">
        <f t="shared" si="7"/>
        <v>0</v>
      </c>
      <c r="P45" s="378">
        <v>0.0</v>
      </c>
      <c r="Q45" s="372"/>
      <c r="R45" s="372">
        <f>Roles!$D$5</f>
        <v>0.44</v>
      </c>
      <c r="S45" s="372">
        <f t="shared" si="8"/>
        <v>0</v>
      </c>
      <c r="T45" s="203">
        <f t="shared" si="9"/>
        <v>0</v>
      </c>
      <c r="U45" s="372"/>
      <c r="V45" s="372"/>
      <c r="W45" s="372">
        <f>Roles!$D$7</f>
        <v>0.12</v>
      </c>
      <c r="X45" s="372"/>
      <c r="Y45" s="203">
        <f t="shared" si="10"/>
        <v>0</v>
      </c>
      <c r="Z45" s="372"/>
      <c r="AA45" s="372"/>
      <c r="AB45" s="372">
        <f>Roles!$D$7</f>
        <v>0.12</v>
      </c>
      <c r="AC45" s="372"/>
      <c r="AD45" s="203">
        <f t="shared" si="11"/>
        <v>0</v>
      </c>
      <c r="AE45" s="372"/>
      <c r="AF45" s="372"/>
      <c r="AG45" s="372">
        <f>Roles!$D$7</f>
        <v>0.12</v>
      </c>
      <c r="AH45" s="372"/>
      <c r="AI45" s="203">
        <f t="shared" si="12"/>
        <v>0</v>
      </c>
      <c r="AJ45" s="372"/>
      <c r="AK45" s="372"/>
      <c r="AL45" s="372">
        <f>Roles!$D$7</f>
        <v>0.12</v>
      </c>
      <c r="AM45" s="372"/>
      <c r="AN45" s="203">
        <f t="shared" si="13"/>
        <v>0</v>
      </c>
      <c r="AO45" s="372"/>
      <c r="AP45" s="372"/>
      <c r="AQ45" s="372">
        <f>Roles!$D$7</f>
        <v>0.12</v>
      </c>
      <c r="AR45" s="372"/>
      <c r="AS45" s="203">
        <f t="shared" si="14"/>
        <v>0</v>
      </c>
      <c r="AT45" s="372"/>
      <c r="AU45" s="372"/>
      <c r="AV45" s="372">
        <f>Roles!$D$7</f>
        <v>0.12</v>
      </c>
      <c r="AW45" s="372"/>
      <c r="AX45" s="203">
        <f t="shared" si="15"/>
        <v>0</v>
      </c>
      <c r="AY45" s="372"/>
      <c r="AZ45" s="372"/>
      <c r="BA45" s="372">
        <f>Roles!$D$7</f>
        <v>0.12</v>
      </c>
      <c r="BB45" s="372"/>
      <c r="BC45" s="203">
        <f t="shared" si="16"/>
        <v>0</v>
      </c>
      <c r="BD45" s="372"/>
      <c r="BE45" s="372"/>
      <c r="BF45" s="372">
        <f>Roles!$D$7</f>
        <v>0.12</v>
      </c>
      <c r="BG45" s="372"/>
      <c r="BH45" s="203">
        <f t="shared" si="17"/>
        <v>0</v>
      </c>
      <c r="BI45" s="372"/>
      <c r="BJ45" s="372"/>
      <c r="BK45" s="372">
        <f>Roles!$D$7</f>
        <v>0.12</v>
      </c>
      <c r="BL45" s="372"/>
      <c r="BM45" s="203">
        <f t="shared" si="18"/>
        <v>0</v>
      </c>
      <c r="BN45" s="372"/>
      <c r="BO45" s="372"/>
      <c r="BP45" s="372">
        <f>Roles!$D$7</f>
        <v>0.12</v>
      </c>
      <c r="BQ45" s="372"/>
      <c r="BR45" s="203">
        <f t="shared" si="19"/>
        <v>0</v>
      </c>
      <c r="BS45" s="372"/>
      <c r="BT45" s="372"/>
      <c r="BU45" s="372">
        <f>Roles!$D$7</f>
        <v>0.12</v>
      </c>
      <c r="BV45" s="372"/>
      <c r="BW45" s="203">
        <f t="shared" si="20"/>
        <v>0</v>
      </c>
      <c r="BX45" s="372"/>
      <c r="BY45" s="372"/>
      <c r="BZ45" s="372">
        <f>Roles!$D$7</f>
        <v>0.12</v>
      </c>
      <c r="CA45" s="372"/>
      <c r="CB45" s="203">
        <f t="shared" si="21"/>
        <v>0</v>
      </c>
      <c r="CC45" s="372"/>
      <c r="CD45" s="372"/>
      <c r="CE45" s="372">
        <f>Roles!$D$7</f>
        <v>0.12</v>
      </c>
      <c r="CF45" s="372"/>
      <c r="CG45" s="203">
        <f t="shared" si="22"/>
        <v>0</v>
      </c>
      <c r="CH45" s="372"/>
      <c r="CI45" s="372"/>
      <c r="CJ45" s="372">
        <f>Roles!$D$7</f>
        <v>0.12</v>
      </c>
      <c r="CK45" s="372"/>
      <c r="CL45" s="203">
        <f t="shared" si="23"/>
        <v>0</v>
      </c>
      <c r="CM45" s="372"/>
      <c r="CN45" s="372"/>
      <c r="CO45" s="372">
        <f>Roles!$D$7</f>
        <v>0.12</v>
      </c>
      <c r="CP45" s="372"/>
      <c r="CQ45" s="203">
        <f t="shared" si="24"/>
        <v>0</v>
      </c>
      <c r="CR45" s="372"/>
      <c r="CS45" s="372"/>
      <c r="CT45" s="372">
        <f>Roles!$D$7</f>
        <v>0.12</v>
      </c>
      <c r="CU45" s="372"/>
      <c r="CV45" s="203">
        <f t="shared" si="25"/>
        <v>0</v>
      </c>
      <c r="CW45" s="372"/>
      <c r="CX45" s="372"/>
      <c r="CY45" s="372">
        <f>Roles!$D$7</f>
        <v>0.12</v>
      </c>
      <c r="CZ45" s="372"/>
      <c r="DA45" s="203">
        <f t="shared" si="26"/>
        <v>0</v>
      </c>
      <c r="DB45" s="372"/>
      <c r="DC45" s="372"/>
      <c r="DD45" s="372">
        <f>Roles!$D$7</f>
        <v>0.12</v>
      </c>
      <c r="DE45" s="372"/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 t="shared" si="1"/>
        <v>2</v>
      </c>
      <c r="F46" s="80">
        <v>4.0</v>
      </c>
      <c r="G46" s="105">
        <f t="shared" si="2"/>
        <v>0.003445305771</v>
      </c>
      <c r="H46" s="47">
        <f t="shared" si="47"/>
        <v>0.09646856158</v>
      </c>
      <c r="I46" s="231">
        <f t="shared" si="45"/>
        <v>12</v>
      </c>
      <c r="J46" s="172">
        <f t="shared" si="48"/>
        <v>278</v>
      </c>
      <c r="K46" s="115">
        <f t="shared" si="3"/>
        <v>0.244288225</v>
      </c>
      <c r="L46" s="232">
        <f t="shared" si="46"/>
        <v>5.28</v>
      </c>
      <c r="M46" s="172">
        <f t="shared" si="49"/>
        <v>122.32</v>
      </c>
      <c r="N46" s="226" t="str">
        <f t="shared" si="6"/>
        <v>#REF!</v>
      </c>
      <c r="O46" s="203">
        <f t="shared" si="7"/>
        <v>3</v>
      </c>
      <c r="P46" s="378">
        <v>12.0</v>
      </c>
      <c r="Q46" s="372"/>
      <c r="R46" s="372">
        <f>Roles!$D$5</f>
        <v>0.44</v>
      </c>
      <c r="S46" s="372">
        <f t="shared" si="8"/>
        <v>5.28</v>
      </c>
      <c r="T46" s="203">
        <f t="shared" si="9"/>
        <v>0</v>
      </c>
      <c r="U46" s="372"/>
      <c r="V46" s="372"/>
      <c r="W46" s="372">
        <f>Roles!$D$7</f>
        <v>0.12</v>
      </c>
      <c r="X46" s="372"/>
      <c r="Y46" s="203">
        <f t="shared" si="10"/>
        <v>0</v>
      </c>
      <c r="Z46" s="372"/>
      <c r="AA46" s="372"/>
      <c r="AB46" s="372">
        <f>Roles!$D$7</f>
        <v>0.12</v>
      </c>
      <c r="AC46" s="372"/>
      <c r="AD46" s="203">
        <f t="shared" si="11"/>
        <v>0</v>
      </c>
      <c r="AE46" s="372"/>
      <c r="AF46" s="372"/>
      <c r="AG46" s="372">
        <f>Roles!$D$7</f>
        <v>0.12</v>
      </c>
      <c r="AH46" s="372"/>
      <c r="AI46" s="203">
        <f t="shared" si="12"/>
        <v>0</v>
      </c>
      <c r="AJ46" s="372"/>
      <c r="AK46" s="372"/>
      <c r="AL46" s="372">
        <f>Roles!$D$7</f>
        <v>0.12</v>
      </c>
      <c r="AM46" s="372"/>
      <c r="AN46" s="203">
        <f t="shared" si="13"/>
        <v>0</v>
      </c>
      <c r="AO46" s="372"/>
      <c r="AP46" s="372"/>
      <c r="AQ46" s="372">
        <f>Roles!$D$7</f>
        <v>0.12</v>
      </c>
      <c r="AR46" s="372"/>
      <c r="AS46" s="203">
        <f t="shared" si="14"/>
        <v>0</v>
      </c>
      <c r="AT46" s="372"/>
      <c r="AU46" s="372"/>
      <c r="AV46" s="372">
        <f>Roles!$D$7</f>
        <v>0.12</v>
      </c>
      <c r="AW46" s="372"/>
      <c r="AX46" s="203">
        <f t="shared" si="15"/>
        <v>0</v>
      </c>
      <c r="AY46" s="372"/>
      <c r="AZ46" s="372"/>
      <c r="BA46" s="372">
        <f>Roles!$D$7</f>
        <v>0.12</v>
      </c>
      <c r="BB46" s="372"/>
      <c r="BC46" s="203">
        <f t="shared" si="16"/>
        <v>0</v>
      </c>
      <c r="BD46" s="372"/>
      <c r="BE46" s="372"/>
      <c r="BF46" s="372">
        <f>Roles!$D$7</f>
        <v>0.12</v>
      </c>
      <c r="BG46" s="372"/>
      <c r="BH46" s="203">
        <f t="shared" si="17"/>
        <v>0</v>
      </c>
      <c r="BI46" s="372"/>
      <c r="BJ46" s="372"/>
      <c r="BK46" s="372">
        <f>Roles!$D$7</f>
        <v>0.12</v>
      </c>
      <c r="BL46" s="372"/>
      <c r="BM46" s="203">
        <f t="shared" si="18"/>
        <v>0</v>
      </c>
      <c r="BN46" s="372"/>
      <c r="BO46" s="372"/>
      <c r="BP46" s="372">
        <f>Roles!$D$7</f>
        <v>0.12</v>
      </c>
      <c r="BQ46" s="372"/>
      <c r="BR46" s="203">
        <f t="shared" si="19"/>
        <v>0</v>
      </c>
      <c r="BS46" s="372"/>
      <c r="BT46" s="372"/>
      <c r="BU46" s="372">
        <f>Roles!$D$7</f>
        <v>0.12</v>
      </c>
      <c r="BV46" s="372"/>
      <c r="BW46" s="203">
        <f t="shared" si="20"/>
        <v>0</v>
      </c>
      <c r="BX46" s="372"/>
      <c r="BY46" s="372"/>
      <c r="BZ46" s="372">
        <f>Roles!$D$7</f>
        <v>0.12</v>
      </c>
      <c r="CA46" s="372"/>
      <c r="CB46" s="203">
        <f t="shared" si="21"/>
        <v>0</v>
      </c>
      <c r="CC46" s="372"/>
      <c r="CD46" s="372"/>
      <c r="CE46" s="372">
        <f>Roles!$D$7</f>
        <v>0.12</v>
      </c>
      <c r="CF46" s="372"/>
      <c r="CG46" s="203">
        <f t="shared" si="22"/>
        <v>0</v>
      </c>
      <c r="CH46" s="372"/>
      <c r="CI46" s="372"/>
      <c r="CJ46" s="372">
        <f>Roles!$D$7</f>
        <v>0.12</v>
      </c>
      <c r="CK46" s="372"/>
      <c r="CL46" s="203">
        <f t="shared" si="23"/>
        <v>0</v>
      </c>
      <c r="CM46" s="372"/>
      <c r="CN46" s="372"/>
      <c r="CO46" s="372">
        <f>Roles!$D$7</f>
        <v>0.12</v>
      </c>
      <c r="CP46" s="372"/>
      <c r="CQ46" s="203">
        <f t="shared" si="24"/>
        <v>0</v>
      </c>
      <c r="CR46" s="372"/>
      <c r="CS46" s="372"/>
      <c r="CT46" s="372">
        <f>Roles!$D$7</f>
        <v>0.12</v>
      </c>
      <c r="CU46" s="372"/>
      <c r="CV46" s="203">
        <f t="shared" si="25"/>
        <v>0</v>
      </c>
      <c r="CW46" s="372"/>
      <c r="CX46" s="372"/>
      <c r="CY46" s="372">
        <f>Roles!$D$7</f>
        <v>0.12</v>
      </c>
      <c r="CZ46" s="372"/>
      <c r="DA46" s="203">
        <f t="shared" si="26"/>
        <v>0</v>
      </c>
      <c r="DB46" s="372"/>
      <c r="DC46" s="372"/>
      <c r="DD46" s="372">
        <f>Roles!$D$7</f>
        <v>0.12</v>
      </c>
      <c r="DE46" s="372"/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 t="shared" si="1"/>
        <v>6</v>
      </c>
      <c r="F47" s="246">
        <f>SUM(F48:F51)</f>
        <v>15</v>
      </c>
      <c r="G47" s="105">
        <f t="shared" si="2"/>
        <v>0.01291989664</v>
      </c>
      <c r="H47" s="226">
        <f>H51</f>
        <v>0.1093884582</v>
      </c>
      <c r="I47" s="247">
        <f>SUM(I48:I51)</f>
        <v>32</v>
      </c>
      <c r="J47" s="247">
        <f>J51</f>
        <v>310</v>
      </c>
      <c r="K47" s="167">
        <f t="shared" si="3"/>
        <v>0.2724077329</v>
      </c>
      <c r="L47" s="247">
        <f>SUM(L48:L51)</f>
        <v>14.08</v>
      </c>
      <c r="M47" s="247">
        <f>M51</f>
        <v>136.4</v>
      </c>
      <c r="N47" s="323" t="str">
        <f t="shared" si="6"/>
        <v>#REF!</v>
      </c>
      <c r="O47" s="203">
        <f t="shared" si="7"/>
        <v>0</v>
      </c>
      <c r="P47" s="372"/>
      <c r="Q47" s="372"/>
      <c r="R47" s="372">
        <f>Roles!$D$5</f>
        <v>0.44</v>
      </c>
      <c r="S47" s="372">
        <f t="shared" si="8"/>
        <v>0</v>
      </c>
      <c r="T47" s="203">
        <f t="shared" si="9"/>
        <v>0</v>
      </c>
      <c r="U47" s="372"/>
      <c r="V47" s="372"/>
      <c r="W47" s="372">
        <f>Roles!$D$7</f>
        <v>0.12</v>
      </c>
      <c r="X47" s="372"/>
      <c r="Y47" s="203">
        <f t="shared" si="10"/>
        <v>0</v>
      </c>
      <c r="Z47" s="372"/>
      <c r="AA47" s="372"/>
      <c r="AB47" s="372">
        <f>Roles!$D$7</f>
        <v>0.12</v>
      </c>
      <c r="AC47" s="372"/>
      <c r="AD47" s="203">
        <f t="shared" si="11"/>
        <v>0</v>
      </c>
      <c r="AE47" s="372"/>
      <c r="AF47" s="372"/>
      <c r="AG47" s="372">
        <f>Roles!$D$7</f>
        <v>0.12</v>
      </c>
      <c r="AH47" s="372"/>
      <c r="AI47" s="203">
        <f t="shared" si="12"/>
        <v>0</v>
      </c>
      <c r="AJ47" s="372"/>
      <c r="AK47" s="372"/>
      <c r="AL47" s="372">
        <f>Roles!$D$7</f>
        <v>0.12</v>
      </c>
      <c r="AM47" s="372"/>
      <c r="AN47" s="203">
        <f t="shared" si="13"/>
        <v>0</v>
      </c>
      <c r="AO47" s="372"/>
      <c r="AP47" s="372"/>
      <c r="AQ47" s="372">
        <f>Roles!$D$7</f>
        <v>0.12</v>
      </c>
      <c r="AR47" s="372"/>
      <c r="AS47" s="203">
        <f t="shared" si="14"/>
        <v>0</v>
      </c>
      <c r="AT47" s="372"/>
      <c r="AU47" s="372"/>
      <c r="AV47" s="372">
        <f>Roles!$D$7</f>
        <v>0.12</v>
      </c>
      <c r="AW47" s="372"/>
      <c r="AX47" s="203">
        <f t="shared" si="15"/>
        <v>0</v>
      </c>
      <c r="AY47" s="372"/>
      <c r="AZ47" s="372"/>
      <c r="BA47" s="372">
        <f>Roles!$D$7</f>
        <v>0.12</v>
      </c>
      <c r="BB47" s="372"/>
      <c r="BC47" s="203">
        <f t="shared" si="16"/>
        <v>0</v>
      </c>
      <c r="BD47" s="372"/>
      <c r="BE47" s="372"/>
      <c r="BF47" s="372">
        <f>Roles!$D$7</f>
        <v>0.12</v>
      </c>
      <c r="BG47" s="372"/>
      <c r="BH47" s="203">
        <f t="shared" si="17"/>
        <v>0</v>
      </c>
      <c r="BI47" s="372"/>
      <c r="BJ47" s="372"/>
      <c r="BK47" s="372">
        <f>Roles!$D$7</f>
        <v>0.12</v>
      </c>
      <c r="BL47" s="372"/>
      <c r="BM47" s="203">
        <f t="shared" si="18"/>
        <v>0</v>
      </c>
      <c r="BN47" s="372"/>
      <c r="BO47" s="372"/>
      <c r="BP47" s="372">
        <f>Roles!$D$7</f>
        <v>0.12</v>
      </c>
      <c r="BQ47" s="372"/>
      <c r="BR47" s="203">
        <f t="shared" si="19"/>
        <v>0</v>
      </c>
      <c r="BS47" s="372"/>
      <c r="BT47" s="372"/>
      <c r="BU47" s="372">
        <f>Roles!$D$7</f>
        <v>0.12</v>
      </c>
      <c r="BV47" s="372"/>
      <c r="BW47" s="203">
        <f t="shared" si="20"/>
        <v>0</v>
      </c>
      <c r="BX47" s="372"/>
      <c r="BY47" s="372"/>
      <c r="BZ47" s="372">
        <f>Roles!$D$7</f>
        <v>0.12</v>
      </c>
      <c r="CA47" s="372"/>
      <c r="CB47" s="203">
        <f t="shared" si="21"/>
        <v>0</v>
      </c>
      <c r="CC47" s="372"/>
      <c r="CD47" s="372"/>
      <c r="CE47" s="372">
        <f>Roles!$D$7</f>
        <v>0.12</v>
      </c>
      <c r="CF47" s="372"/>
      <c r="CG47" s="203">
        <f t="shared" si="22"/>
        <v>0</v>
      </c>
      <c r="CH47" s="372"/>
      <c r="CI47" s="372"/>
      <c r="CJ47" s="372">
        <f>Roles!$D$7</f>
        <v>0.12</v>
      </c>
      <c r="CK47" s="372"/>
      <c r="CL47" s="203">
        <f t="shared" si="23"/>
        <v>0</v>
      </c>
      <c r="CM47" s="372"/>
      <c r="CN47" s="372"/>
      <c r="CO47" s="372">
        <f>Roles!$D$7</f>
        <v>0.12</v>
      </c>
      <c r="CP47" s="372"/>
      <c r="CQ47" s="203">
        <f t="shared" si="24"/>
        <v>0</v>
      </c>
      <c r="CR47" s="372"/>
      <c r="CS47" s="372"/>
      <c r="CT47" s="372">
        <f>Roles!$D$7</f>
        <v>0.12</v>
      </c>
      <c r="CU47" s="372"/>
      <c r="CV47" s="203">
        <f t="shared" si="25"/>
        <v>0</v>
      </c>
      <c r="CW47" s="372"/>
      <c r="CX47" s="372"/>
      <c r="CY47" s="372">
        <f>Roles!$D$7</f>
        <v>0.12</v>
      </c>
      <c r="CZ47" s="372"/>
      <c r="DA47" s="203">
        <f t="shared" si="26"/>
        <v>0</v>
      </c>
      <c r="DB47" s="372"/>
      <c r="DC47" s="372"/>
      <c r="DD47" s="372">
        <f>Roles!$D$7</f>
        <v>0.12</v>
      </c>
      <c r="DE47" s="372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 t="shared" si="1"/>
        <v>2</v>
      </c>
      <c r="F48" s="80">
        <v>4.0</v>
      </c>
      <c r="G48" s="105">
        <f t="shared" si="2"/>
        <v>0.003445305771</v>
      </c>
      <c r="H48" s="47">
        <f>H46+G48</f>
        <v>0.09991386736</v>
      </c>
      <c r="I48" s="231">
        <f t="shared" ref="I48:I51" si="50">P48+U48+Z48+AE48+AJ48+AO48+AT48+AY48+BD48+BI48+BN48+BS48+BX48+CC48+CH48+CM48+CR48+CW48+DB48</f>
        <v>8</v>
      </c>
      <c r="J48" s="172">
        <f>J46+I48</f>
        <v>286</v>
      </c>
      <c r="K48" s="115">
        <f t="shared" si="3"/>
        <v>0.2513181019</v>
      </c>
      <c r="L48" s="232">
        <f t="shared" ref="L48:L51" si="51">S48+X48+AC48+AH48+AM48+AR48+AW48+BB48+BG48+BL48+BQ48+BV48+CA48+CF48+CK48+CP48+CU48+CZ48+DE48</f>
        <v>3.52</v>
      </c>
      <c r="M48" s="172">
        <f>M46+L48</f>
        <v>125.84</v>
      </c>
      <c r="N48" s="224" t="str">
        <f t="shared" si="6"/>
        <v>#REF!</v>
      </c>
      <c r="O48" s="203">
        <f t="shared" si="7"/>
        <v>2</v>
      </c>
      <c r="P48" s="378">
        <v>8.0</v>
      </c>
      <c r="Q48" s="372"/>
      <c r="R48" s="372">
        <f>Roles!$D$5</f>
        <v>0.44</v>
      </c>
      <c r="S48" s="372">
        <f t="shared" si="8"/>
        <v>3.52</v>
      </c>
      <c r="T48" s="203">
        <f t="shared" si="9"/>
        <v>0</v>
      </c>
      <c r="U48" s="372"/>
      <c r="V48" s="372"/>
      <c r="W48" s="372">
        <f>Roles!$D$7</f>
        <v>0.12</v>
      </c>
      <c r="X48" s="372"/>
      <c r="Y48" s="203">
        <f t="shared" si="10"/>
        <v>0</v>
      </c>
      <c r="Z48" s="372"/>
      <c r="AA48" s="372"/>
      <c r="AB48" s="372">
        <f>Roles!$D$7</f>
        <v>0.12</v>
      </c>
      <c r="AC48" s="372"/>
      <c r="AD48" s="203">
        <f t="shared" si="11"/>
        <v>0</v>
      </c>
      <c r="AE48" s="372"/>
      <c r="AF48" s="372"/>
      <c r="AG48" s="372">
        <f>Roles!$D$7</f>
        <v>0.12</v>
      </c>
      <c r="AH48" s="372"/>
      <c r="AI48" s="203">
        <f t="shared" si="12"/>
        <v>0</v>
      </c>
      <c r="AJ48" s="372"/>
      <c r="AK48" s="372"/>
      <c r="AL48" s="372">
        <f>Roles!$D$7</f>
        <v>0.12</v>
      </c>
      <c r="AM48" s="372"/>
      <c r="AN48" s="203">
        <f t="shared" si="13"/>
        <v>0</v>
      </c>
      <c r="AO48" s="372"/>
      <c r="AP48" s="372"/>
      <c r="AQ48" s="372">
        <f>Roles!$D$7</f>
        <v>0.12</v>
      </c>
      <c r="AR48" s="372"/>
      <c r="AS48" s="203">
        <f t="shared" si="14"/>
        <v>0</v>
      </c>
      <c r="AT48" s="372"/>
      <c r="AU48" s="372"/>
      <c r="AV48" s="372">
        <f>Roles!$D$7</f>
        <v>0.12</v>
      </c>
      <c r="AW48" s="372"/>
      <c r="AX48" s="203">
        <f t="shared" si="15"/>
        <v>0</v>
      </c>
      <c r="AY48" s="372"/>
      <c r="AZ48" s="372"/>
      <c r="BA48" s="372">
        <f>Roles!$D$7</f>
        <v>0.12</v>
      </c>
      <c r="BB48" s="372"/>
      <c r="BC48" s="203">
        <f t="shared" si="16"/>
        <v>0</v>
      </c>
      <c r="BD48" s="372"/>
      <c r="BE48" s="372"/>
      <c r="BF48" s="372">
        <f>Roles!$D$7</f>
        <v>0.12</v>
      </c>
      <c r="BG48" s="372"/>
      <c r="BH48" s="203">
        <f t="shared" si="17"/>
        <v>0</v>
      </c>
      <c r="BI48" s="372"/>
      <c r="BJ48" s="372"/>
      <c r="BK48" s="372">
        <f>Roles!$D$7</f>
        <v>0.12</v>
      </c>
      <c r="BL48" s="372"/>
      <c r="BM48" s="203">
        <f t="shared" si="18"/>
        <v>0</v>
      </c>
      <c r="BN48" s="372"/>
      <c r="BO48" s="372"/>
      <c r="BP48" s="372">
        <f>Roles!$D$7</f>
        <v>0.12</v>
      </c>
      <c r="BQ48" s="372"/>
      <c r="BR48" s="203">
        <f t="shared" si="19"/>
        <v>0</v>
      </c>
      <c r="BS48" s="372"/>
      <c r="BT48" s="372"/>
      <c r="BU48" s="372">
        <f>Roles!$D$7</f>
        <v>0.12</v>
      </c>
      <c r="BV48" s="372"/>
      <c r="BW48" s="203">
        <f t="shared" si="20"/>
        <v>0</v>
      </c>
      <c r="BX48" s="372"/>
      <c r="BY48" s="372"/>
      <c r="BZ48" s="372">
        <f>Roles!$D$7</f>
        <v>0.12</v>
      </c>
      <c r="CA48" s="372"/>
      <c r="CB48" s="203">
        <f t="shared" si="21"/>
        <v>0</v>
      </c>
      <c r="CC48" s="372"/>
      <c r="CD48" s="372"/>
      <c r="CE48" s="372">
        <f>Roles!$D$7</f>
        <v>0.12</v>
      </c>
      <c r="CF48" s="372"/>
      <c r="CG48" s="203">
        <f t="shared" si="22"/>
        <v>0</v>
      </c>
      <c r="CH48" s="372"/>
      <c r="CI48" s="372"/>
      <c r="CJ48" s="372">
        <f>Roles!$D$7</f>
        <v>0.12</v>
      </c>
      <c r="CK48" s="372"/>
      <c r="CL48" s="203">
        <f t="shared" si="23"/>
        <v>0</v>
      </c>
      <c r="CM48" s="372"/>
      <c r="CN48" s="372"/>
      <c r="CO48" s="372">
        <f>Roles!$D$7</f>
        <v>0.12</v>
      </c>
      <c r="CP48" s="372"/>
      <c r="CQ48" s="203">
        <f t="shared" si="24"/>
        <v>0</v>
      </c>
      <c r="CR48" s="372"/>
      <c r="CS48" s="372"/>
      <c r="CT48" s="372">
        <f>Roles!$D$7</f>
        <v>0.12</v>
      </c>
      <c r="CU48" s="372"/>
      <c r="CV48" s="203">
        <f t="shared" si="25"/>
        <v>0</v>
      </c>
      <c r="CW48" s="372"/>
      <c r="CX48" s="372"/>
      <c r="CY48" s="372">
        <f>Roles!$D$7</f>
        <v>0.12</v>
      </c>
      <c r="CZ48" s="372"/>
      <c r="DA48" s="203">
        <f t="shared" si="26"/>
        <v>0</v>
      </c>
      <c r="DB48" s="372"/>
      <c r="DC48" s="372"/>
      <c r="DD48" s="372">
        <f>Roles!$D$7</f>
        <v>0.12</v>
      </c>
      <c r="DE48" s="372"/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 t="shared" si="1"/>
        <v>1</v>
      </c>
      <c r="F49" s="80">
        <v>3.0</v>
      </c>
      <c r="G49" s="105">
        <f t="shared" si="2"/>
        <v>0.002583979328</v>
      </c>
      <c r="H49" s="47">
        <f t="shared" ref="H49:H51" si="52">H48+G49</f>
        <v>0.1024978467</v>
      </c>
      <c r="I49" s="231">
        <f t="shared" si="50"/>
        <v>6</v>
      </c>
      <c r="J49" s="172">
        <f t="shared" ref="J49:J51" si="53">J48+I49</f>
        <v>292</v>
      </c>
      <c r="K49" s="115">
        <f t="shared" si="3"/>
        <v>0.2565905097</v>
      </c>
      <c r="L49" s="232">
        <f t="shared" si="51"/>
        <v>2.64</v>
      </c>
      <c r="M49" s="172">
        <f t="shared" ref="M49:M51" si="54">M48+L49</f>
        <v>128.48</v>
      </c>
      <c r="N49" s="226" t="str">
        <f t="shared" si="6"/>
        <v>#REF!</v>
      </c>
      <c r="O49" s="203">
        <f t="shared" si="7"/>
        <v>2</v>
      </c>
      <c r="P49" s="378">
        <v>6.0</v>
      </c>
      <c r="Q49" s="372"/>
      <c r="R49" s="372">
        <f>Roles!$D$5</f>
        <v>0.44</v>
      </c>
      <c r="S49" s="372">
        <f t="shared" si="8"/>
        <v>2.64</v>
      </c>
      <c r="T49" s="203">
        <f t="shared" si="9"/>
        <v>0</v>
      </c>
      <c r="U49" s="372"/>
      <c r="V49" s="372"/>
      <c r="W49" s="372">
        <f>Roles!$D$7</f>
        <v>0.12</v>
      </c>
      <c r="X49" s="372"/>
      <c r="Y49" s="203">
        <f t="shared" si="10"/>
        <v>0</v>
      </c>
      <c r="Z49" s="372"/>
      <c r="AA49" s="372"/>
      <c r="AB49" s="372">
        <f>Roles!$D$7</f>
        <v>0.12</v>
      </c>
      <c r="AC49" s="372"/>
      <c r="AD49" s="203">
        <f t="shared" si="11"/>
        <v>0</v>
      </c>
      <c r="AE49" s="372"/>
      <c r="AF49" s="372"/>
      <c r="AG49" s="372">
        <f>Roles!$D$7</f>
        <v>0.12</v>
      </c>
      <c r="AH49" s="372"/>
      <c r="AI49" s="203">
        <f t="shared" si="12"/>
        <v>0</v>
      </c>
      <c r="AJ49" s="372"/>
      <c r="AK49" s="372"/>
      <c r="AL49" s="372">
        <f>Roles!$D$7</f>
        <v>0.12</v>
      </c>
      <c r="AM49" s="372"/>
      <c r="AN49" s="203">
        <f t="shared" si="13"/>
        <v>0</v>
      </c>
      <c r="AO49" s="372"/>
      <c r="AP49" s="372"/>
      <c r="AQ49" s="372">
        <f>Roles!$D$7</f>
        <v>0.12</v>
      </c>
      <c r="AR49" s="372"/>
      <c r="AS49" s="203">
        <f t="shared" si="14"/>
        <v>0</v>
      </c>
      <c r="AT49" s="372"/>
      <c r="AU49" s="372"/>
      <c r="AV49" s="372">
        <f>Roles!$D$7</f>
        <v>0.12</v>
      </c>
      <c r="AW49" s="372"/>
      <c r="AX49" s="203">
        <f t="shared" si="15"/>
        <v>0</v>
      </c>
      <c r="AY49" s="372"/>
      <c r="AZ49" s="372"/>
      <c r="BA49" s="372">
        <f>Roles!$D$7</f>
        <v>0.12</v>
      </c>
      <c r="BB49" s="372"/>
      <c r="BC49" s="203">
        <f t="shared" si="16"/>
        <v>0</v>
      </c>
      <c r="BD49" s="372"/>
      <c r="BE49" s="372"/>
      <c r="BF49" s="372">
        <f>Roles!$D$7</f>
        <v>0.12</v>
      </c>
      <c r="BG49" s="372"/>
      <c r="BH49" s="203">
        <f t="shared" si="17"/>
        <v>0</v>
      </c>
      <c r="BI49" s="372"/>
      <c r="BJ49" s="372"/>
      <c r="BK49" s="372">
        <f>Roles!$D$7</f>
        <v>0.12</v>
      </c>
      <c r="BL49" s="372"/>
      <c r="BM49" s="203">
        <f t="shared" si="18"/>
        <v>0</v>
      </c>
      <c r="BN49" s="372"/>
      <c r="BO49" s="372"/>
      <c r="BP49" s="372">
        <f>Roles!$D$7</f>
        <v>0.12</v>
      </c>
      <c r="BQ49" s="372"/>
      <c r="BR49" s="203">
        <f t="shared" si="19"/>
        <v>0</v>
      </c>
      <c r="BS49" s="372"/>
      <c r="BT49" s="372"/>
      <c r="BU49" s="372">
        <f>Roles!$D$7</f>
        <v>0.12</v>
      </c>
      <c r="BV49" s="372"/>
      <c r="BW49" s="203">
        <f t="shared" si="20"/>
        <v>0</v>
      </c>
      <c r="BX49" s="372"/>
      <c r="BY49" s="372"/>
      <c r="BZ49" s="372">
        <f>Roles!$D$7</f>
        <v>0.12</v>
      </c>
      <c r="CA49" s="372"/>
      <c r="CB49" s="203">
        <f t="shared" si="21"/>
        <v>0</v>
      </c>
      <c r="CC49" s="372"/>
      <c r="CD49" s="372"/>
      <c r="CE49" s="372">
        <f>Roles!$D$7</f>
        <v>0.12</v>
      </c>
      <c r="CF49" s="372"/>
      <c r="CG49" s="203">
        <f t="shared" si="22"/>
        <v>0</v>
      </c>
      <c r="CH49" s="372"/>
      <c r="CI49" s="372"/>
      <c r="CJ49" s="372">
        <f>Roles!$D$7</f>
        <v>0.12</v>
      </c>
      <c r="CK49" s="372"/>
      <c r="CL49" s="203">
        <f t="shared" si="23"/>
        <v>0</v>
      </c>
      <c r="CM49" s="372"/>
      <c r="CN49" s="372"/>
      <c r="CO49" s="372">
        <f>Roles!$D$7</f>
        <v>0.12</v>
      </c>
      <c r="CP49" s="372"/>
      <c r="CQ49" s="203">
        <f t="shared" si="24"/>
        <v>0</v>
      </c>
      <c r="CR49" s="372"/>
      <c r="CS49" s="372"/>
      <c r="CT49" s="372">
        <f>Roles!$D$7</f>
        <v>0.12</v>
      </c>
      <c r="CU49" s="372"/>
      <c r="CV49" s="203">
        <f t="shared" si="25"/>
        <v>0</v>
      </c>
      <c r="CW49" s="372"/>
      <c r="CX49" s="372"/>
      <c r="CY49" s="372">
        <f>Roles!$D$7</f>
        <v>0.12</v>
      </c>
      <c r="CZ49" s="372"/>
      <c r="DA49" s="203">
        <f t="shared" si="26"/>
        <v>0</v>
      </c>
      <c r="DB49" s="372"/>
      <c r="DC49" s="372"/>
      <c r="DD49" s="372">
        <f>Roles!$D$7</f>
        <v>0.12</v>
      </c>
      <c r="DE49" s="372"/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 t="shared" si="1"/>
        <v>3</v>
      </c>
      <c r="F50" s="80">
        <v>5.0</v>
      </c>
      <c r="G50" s="105">
        <f t="shared" si="2"/>
        <v>0.004306632214</v>
      </c>
      <c r="H50" s="47">
        <f t="shared" si="52"/>
        <v>0.1068044789</v>
      </c>
      <c r="I50" s="231">
        <f t="shared" si="50"/>
        <v>12</v>
      </c>
      <c r="J50" s="172">
        <f t="shared" si="53"/>
        <v>304</v>
      </c>
      <c r="K50" s="115">
        <f t="shared" si="3"/>
        <v>0.2671353251</v>
      </c>
      <c r="L50" s="232">
        <f t="shared" si="51"/>
        <v>5.28</v>
      </c>
      <c r="M50" s="172">
        <f t="shared" si="54"/>
        <v>133.76</v>
      </c>
      <c r="N50" s="115" t="str">
        <f t="shared" si="6"/>
        <v>#REF!</v>
      </c>
      <c r="O50" s="203">
        <f t="shared" si="7"/>
        <v>2.4</v>
      </c>
      <c r="P50" s="378">
        <v>12.0</v>
      </c>
      <c r="Q50" s="372"/>
      <c r="R50" s="372">
        <f>Roles!$D$5</f>
        <v>0.44</v>
      </c>
      <c r="S50" s="372">
        <f t="shared" si="8"/>
        <v>5.28</v>
      </c>
      <c r="T50" s="203">
        <f t="shared" si="9"/>
        <v>0</v>
      </c>
      <c r="U50" s="372"/>
      <c r="V50" s="372"/>
      <c r="W50" s="372">
        <f>Roles!$D$7</f>
        <v>0.12</v>
      </c>
      <c r="X50" s="372"/>
      <c r="Y50" s="203">
        <f t="shared" si="10"/>
        <v>0</v>
      </c>
      <c r="Z50" s="372"/>
      <c r="AA50" s="372"/>
      <c r="AB50" s="372">
        <f>Roles!$D$7</f>
        <v>0.12</v>
      </c>
      <c r="AC50" s="372"/>
      <c r="AD50" s="203">
        <f t="shared" si="11"/>
        <v>0</v>
      </c>
      <c r="AE50" s="372"/>
      <c r="AF50" s="372"/>
      <c r="AG50" s="372">
        <f>Roles!$D$7</f>
        <v>0.12</v>
      </c>
      <c r="AH50" s="372"/>
      <c r="AI50" s="203">
        <f t="shared" si="12"/>
        <v>0</v>
      </c>
      <c r="AJ50" s="372"/>
      <c r="AK50" s="372"/>
      <c r="AL50" s="372">
        <f>Roles!$D$7</f>
        <v>0.12</v>
      </c>
      <c r="AM50" s="372"/>
      <c r="AN50" s="203">
        <f t="shared" si="13"/>
        <v>0</v>
      </c>
      <c r="AO50" s="372"/>
      <c r="AP50" s="372"/>
      <c r="AQ50" s="372">
        <f>Roles!$D$7</f>
        <v>0.12</v>
      </c>
      <c r="AR50" s="372"/>
      <c r="AS50" s="203">
        <f t="shared" si="14"/>
        <v>0</v>
      </c>
      <c r="AT50" s="372"/>
      <c r="AU50" s="372"/>
      <c r="AV50" s="372">
        <f>Roles!$D$7</f>
        <v>0.12</v>
      </c>
      <c r="AW50" s="372"/>
      <c r="AX50" s="203">
        <f t="shared" si="15"/>
        <v>0</v>
      </c>
      <c r="AY50" s="372"/>
      <c r="AZ50" s="372"/>
      <c r="BA50" s="372">
        <f>Roles!$D$7</f>
        <v>0.12</v>
      </c>
      <c r="BB50" s="372"/>
      <c r="BC50" s="203">
        <f t="shared" si="16"/>
        <v>0</v>
      </c>
      <c r="BD50" s="372"/>
      <c r="BE50" s="372"/>
      <c r="BF50" s="372">
        <f>Roles!$D$7</f>
        <v>0.12</v>
      </c>
      <c r="BG50" s="372"/>
      <c r="BH50" s="203">
        <f t="shared" si="17"/>
        <v>0</v>
      </c>
      <c r="BI50" s="372"/>
      <c r="BJ50" s="372"/>
      <c r="BK50" s="372">
        <f>Roles!$D$7</f>
        <v>0.12</v>
      </c>
      <c r="BL50" s="372"/>
      <c r="BM50" s="203">
        <f t="shared" si="18"/>
        <v>0</v>
      </c>
      <c r="BN50" s="372"/>
      <c r="BO50" s="372"/>
      <c r="BP50" s="372">
        <f>Roles!$D$7</f>
        <v>0.12</v>
      </c>
      <c r="BQ50" s="372"/>
      <c r="BR50" s="203">
        <f t="shared" si="19"/>
        <v>0</v>
      </c>
      <c r="BS50" s="372"/>
      <c r="BT50" s="372"/>
      <c r="BU50" s="372">
        <f>Roles!$D$7</f>
        <v>0.12</v>
      </c>
      <c r="BV50" s="372"/>
      <c r="BW50" s="203">
        <f t="shared" si="20"/>
        <v>0</v>
      </c>
      <c r="BX50" s="372"/>
      <c r="BY50" s="372"/>
      <c r="BZ50" s="372">
        <f>Roles!$D$7</f>
        <v>0.12</v>
      </c>
      <c r="CA50" s="372"/>
      <c r="CB50" s="203">
        <f t="shared" si="21"/>
        <v>0</v>
      </c>
      <c r="CC50" s="372"/>
      <c r="CD50" s="372"/>
      <c r="CE50" s="372">
        <f>Roles!$D$7</f>
        <v>0.12</v>
      </c>
      <c r="CF50" s="372"/>
      <c r="CG50" s="203">
        <f t="shared" si="22"/>
        <v>0</v>
      </c>
      <c r="CH50" s="372"/>
      <c r="CI50" s="372"/>
      <c r="CJ50" s="372">
        <f>Roles!$D$7</f>
        <v>0.12</v>
      </c>
      <c r="CK50" s="372"/>
      <c r="CL50" s="203">
        <f t="shared" si="23"/>
        <v>0</v>
      </c>
      <c r="CM50" s="372"/>
      <c r="CN50" s="372"/>
      <c r="CO50" s="372">
        <f>Roles!$D$7</f>
        <v>0.12</v>
      </c>
      <c r="CP50" s="372"/>
      <c r="CQ50" s="203">
        <f t="shared" si="24"/>
        <v>0</v>
      </c>
      <c r="CR50" s="372"/>
      <c r="CS50" s="372"/>
      <c r="CT50" s="372">
        <f>Roles!$D$7</f>
        <v>0.12</v>
      </c>
      <c r="CU50" s="372"/>
      <c r="CV50" s="203">
        <f t="shared" si="25"/>
        <v>0</v>
      </c>
      <c r="CW50" s="372"/>
      <c r="CX50" s="372"/>
      <c r="CY50" s="372">
        <f>Roles!$D$7</f>
        <v>0.12</v>
      </c>
      <c r="CZ50" s="372"/>
      <c r="DA50" s="203">
        <f t="shared" si="26"/>
        <v>0</v>
      </c>
      <c r="DB50" s="372"/>
      <c r="DC50" s="372"/>
      <c r="DD50" s="372">
        <f>Roles!$D$7</f>
        <v>0.12</v>
      </c>
      <c r="DE50" s="372"/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 t="shared" si="1"/>
        <v>2</v>
      </c>
      <c r="F51" s="80">
        <v>3.0</v>
      </c>
      <c r="G51" s="105">
        <f t="shared" si="2"/>
        <v>0.002583979328</v>
      </c>
      <c r="H51" s="47">
        <f t="shared" si="52"/>
        <v>0.1093884582</v>
      </c>
      <c r="I51" s="231">
        <f t="shared" si="50"/>
        <v>6</v>
      </c>
      <c r="J51" s="172">
        <f t="shared" si="53"/>
        <v>310</v>
      </c>
      <c r="K51" s="115">
        <f t="shared" si="3"/>
        <v>0.2724077329</v>
      </c>
      <c r="L51" s="232">
        <f t="shared" si="51"/>
        <v>2.64</v>
      </c>
      <c r="M51" s="172">
        <f t="shared" si="54"/>
        <v>136.4</v>
      </c>
      <c r="N51" s="47" t="str">
        <f t="shared" si="6"/>
        <v>#REF!</v>
      </c>
      <c r="O51" s="203">
        <f t="shared" si="7"/>
        <v>2</v>
      </c>
      <c r="P51" s="378">
        <v>6.0</v>
      </c>
      <c r="Q51" s="372"/>
      <c r="R51" s="372">
        <f>Roles!$D$5</f>
        <v>0.44</v>
      </c>
      <c r="S51" s="372">
        <f t="shared" si="8"/>
        <v>2.64</v>
      </c>
      <c r="T51" s="203">
        <f t="shared" si="9"/>
        <v>0</v>
      </c>
      <c r="U51" s="372"/>
      <c r="V51" s="372"/>
      <c r="W51" s="372">
        <f>Roles!$D$7</f>
        <v>0.12</v>
      </c>
      <c r="X51" s="372"/>
      <c r="Y51" s="203">
        <f t="shared" si="10"/>
        <v>0</v>
      </c>
      <c r="Z51" s="372"/>
      <c r="AA51" s="372"/>
      <c r="AB51" s="372">
        <f>Roles!$D$7</f>
        <v>0.12</v>
      </c>
      <c r="AC51" s="372"/>
      <c r="AD51" s="203">
        <f t="shared" si="11"/>
        <v>0</v>
      </c>
      <c r="AE51" s="372"/>
      <c r="AF51" s="372"/>
      <c r="AG51" s="372">
        <f>Roles!$D$7</f>
        <v>0.12</v>
      </c>
      <c r="AH51" s="372"/>
      <c r="AI51" s="203">
        <f t="shared" si="12"/>
        <v>0</v>
      </c>
      <c r="AJ51" s="372"/>
      <c r="AK51" s="372"/>
      <c r="AL51" s="372">
        <f>Roles!$D$7</f>
        <v>0.12</v>
      </c>
      <c r="AM51" s="372"/>
      <c r="AN51" s="203">
        <f t="shared" si="13"/>
        <v>0</v>
      </c>
      <c r="AO51" s="372"/>
      <c r="AP51" s="372"/>
      <c r="AQ51" s="372">
        <f>Roles!$D$7</f>
        <v>0.12</v>
      </c>
      <c r="AR51" s="372"/>
      <c r="AS51" s="203">
        <f t="shared" si="14"/>
        <v>0</v>
      </c>
      <c r="AT51" s="372"/>
      <c r="AU51" s="372"/>
      <c r="AV51" s="372">
        <f>Roles!$D$7</f>
        <v>0.12</v>
      </c>
      <c r="AW51" s="372"/>
      <c r="AX51" s="203">
        <f t="shared" si="15"/>
        <v>0</v>
      </c>
      <c r="AY51" s="372"/>
      <c r="AZ51" s="372"/>
      <c r="BA51" s="372">
        <f>Roles!$D$7</f>
        <v>0.12</v>
      </c>
      <c r="BB51" s="372"/>
      <c r="BC51" s="203">
        <f t="shared" si="16"/>
        <v>0</v>
      </c>
      <c r="BD51" s="372"/>
      <c r="BE51" s="372"/>
      <c r="BF51" s="372">
        <f>Roles!$D$7</f>
        <v>0.12</v>
      </c>
      <c r="BG51" s="372"/>
      <c r="BH51" s="203">
        <f t="shared" si="17"/>
        <v>0</v>
      </c>
      <c r="BI51" s="372"/>
      <c r="BJ51" s="372"/>
      <c r="BK51" s="372">
        <f>Roles!$D$7</f>
        <v>0.12</v>
      </c>
      <c r="BL51" s="372"/>
      <c r="BM51" s="203">
        <f t="shared" si="18"/>
        <v>0</v>
      </c>
      <c r="BN51" s="372"/>
      <c r="BO51" s="372"/>
      <c r="BP51" s="372">
        <f>Roles!$D$7</f>
        <v>0.12</v>
      </c>
      <c r="BQ51" s="372"/>
      <c r="BR51" s="203">
        <f t="shared" si="19"/>
        <v>0</v>
      </c>
      <c r="BS51" s="372"/>
      <c r="BT51" s="372"/>
      <c r="BU51" s="372">
        <f>Roles!$D$7</f>
        <v>0.12</v>
      </c>
      <c r="BV51" s="372"/>
      <c r="BW51" s="203">
        <f t="shared" si="20"/>
        <v>0</v>
      </c>
      <c r="BX51" s="372"/>
      <c r="BY51" s="372"/>
      <c r="BZ51" s="372">
        <f>Roles!$D$7</f>
        <v>0.12</v>
      </c>
      <c r="CA51" s="372"/>
      <c r="CB51" s="203">
        <f t="shared" si="21"/>
        <v>0</v>
      </c>
      <c r="CC51" s="372"/>
      <c r="CD51" s="372"/>
      <c r="CE51" s="372">
        <f>Roles!$D$7</f>
        <v>0.12</v>
      </c>
      <c r="CF51" s="372"/>
      <c r="CG51" s="203">
        <f t="shared" si="22"/>
        <v>0</v>
      </c>
      <c r="CH51" s="372"/>
      <c r="CI51" s="372"/>
      <c r="CJ51" s="372">
        <f>Roles!$D$7</f>
        <v>0.12</v>
      </c>
      <c r="CK51" s="372"/>
      <c r="CL51" s="203">
        <f t="shared" si="23"/>
        <v>0</v>
      </c>
      <c r="CM51" s="372"/>
      <c r="CN51" s="372"/>
      <c r="CO51" s="372">
        <f>Roles!$D$7</f>
        <v>0.12</v>
      </c>
      <c r="CP51" s="372"/>
      <c r="CQ51" s="203">
        <f t="shared" si="24"/>
        <v>0</v>
      </c>
      <c r="CR51" s="372"/>
      <c r="CS51" s="372"/>
      <c r="CT51" s="372">
        <f>Roles!$D$7</f>
        <v>0.12</v>
      </c>
      <c r="CU51" s="372"/>
      <c r="CV51" s="203">
        <f t="shared" si="25"/>
        <v>0</v>
      </c>
      <c r="CW51" s="372"/>
      <c r="CX51" s="372"/>
      <c r="CY51" s="372">
        <f>Roles!$D$7</f>
        <v>0.12</v>
      </c>
      <c r="CZ51" s="372"/>
      <c r="DA51" s="203">
        <f t="shared" si="26"/>
        <v>0</v>
      </c>
      <c r="DB51" s="372"/>
      <c r="DC51" s="372"/>
      <c r="DD51" s="372">
        <f>Roles!$D$7</f>
        <v>0.12</v>
      </c>
      <c r="DE51" s="372"/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 t="shared" si="1"/>
        <v>4</v>
      </c>
      <c r="F52" s="246">
        <f>SUM(F53:F57)</f>
        <v>19</v>
      </c>
      <c r="G52" s="105">
        <f t="shared" si="2"/>
        <v>0.01636520241</v>
      </c>
      <c r="H52" s="226">
        <f>H57</f>
        <v>0.1257536606</v>
      </c>
      <c r="I52" s="247">
        <f>SUM(I53:I57)</f>
        <v>30</v>
      </c>
      <c r="J52" s="247">
        <f>J57</f>
        <v>340</v>
      </c>
      <c r="K52" s="167">
        <f t="shared" si="3"/>
        <v>0.2987697715</v>
      </c>
      <c r="L52" s="247">
        <f>SUM(L53:L57)</f>
        <v>13.2</v>
      </c>
      <c r="M52" s="247">
        <f>M57</f>
        <v>149.6</v>
      </c>
      <c r="N52" s="226" t="str">
        <f t="shared" si="6"/>
        <v>#REF!</v>
      </c>
      <c r="O52" s="203">
        <f t="shared" si="7"/>
        <v>0</v>
      </c>
      <c r="P52" s="372"/>
      <c r="Q52" s="372"/>
      <c r="R52" s="372">
        <f>Roles!$D$5</f>
        <v>0.44</v>
      </c>
      <c r="S52" s="372">
        <f t="shared" si="8"/>
        <v>0</v>
      </c>
      <c r="T52" s="203">
        <f t="shared" si="9"/>
        <v>0</v>
      </c>
      <c r="U52" s="372"/>
      <c r="V52" s="372"/>
      <c r="W52" s="372">
        <f>Roles!$D$7</f>
        <v>0.12</v>
      </c>
      <c r="X52" s="372"/>
      <c r="Y52" s="203">
        <f t="shared" si="10"/>
        <v>0</v>
      </c>
      <c r="Z52" s="372"/>
      <c r="AA52" s="372"/>
      <c r="AB52" s="372">
        <f>Roles!$D$7</f>
        <v>0.12</v>
      </c>
      <c r="AC52" s="372"/>
      <c r="AD52" s="203">
        <f t="shared" si="11"/>
        <v>0</v>
      </c>
      <c r="AE52" s="372"/>
      <c r="AF52" s="372"/>
      <c r="AG52" s="372">
        <f>Roles!$D$7</f>
        <v>0.12</v>
      </c>
      <c r="AH52" s="372"/>
      <c r="AI52" s="203">
        <f t="shared" si="12"/>
        <v>0</v>
      </c>
      <c r="AJ52" s="372"/>
      <c r="AK52" s="372"/>
      <c r="AL52" s="372">
        <f>Roles!$D$7</f>
        <v>0.12</v>
      </c>
      <c r="AM52" s="372"/>
      <c r="AN52" s="203">
        <f t="shared" si="13"/>
        <v>0</v>
      </c>
      <c r="AO52" s="372"/>
      <c r="AP52" s="372"/>
      <c r="AQ52" s="372">
        <f>Roles!$D$7</f>
        <v>0.12</v>
      </c>
      <c r="AR52" s="372"/>
      <c r="AS52" s="203">
        <f t="shared" si="14"/>
        <v>0</v>
      </c>
      <c r="AT52" s="372"/>
      <c r="AU52" s="372"/>
      <c r="AV52" s="372">
        <f>Roles!$D$7</f>
        <v>0.12</v>
      </c>
      <c r="AW52" s="372"/>
      <c r="AX52" s="203">
        <f t="shared" si="15"/>
        <v>0</v>
      </c>
      <c r="AY52" s="372"/>
      <c r="AZ52" s="372"/>
      <c r="BA52" s="372">
        <f>Roles!$D$7</f>
        <v>0.12</v>
      </c>
      <c r="BB52" s="372"/>
      <c r="BC52" s="203">
        <f t="shared" si="16"/>
        <v>0</v>
      </c>
      <c r="BD52" s="372"/>
      <c r="BE52" s="372"/>
      <c r="BF52" s="372">
        <f>Roles!$D$7</f>
        <v>0.12</v>
      </c>
      <c r="BG52" s="372"/>
      <c r="BH52" s="203">
        <f t="shared" si="17"/>
        <v>0</v>
      </c>
      <c r="BI52" s="372"/>
      <c r="BJ52" s="372"/>
      <c r="BK52" s="372">
        <f>Roles!$D$7</f>
        <v>0.12</v>
      </c>
      <c r="BL52" s="372"/>
      <c r="BM52" s="203">
        <f t="shared" si="18"/>
        <v>0</v>
      </c>
      <c r="BN52" s="372"/>
      <c r="BO52" s="372"/>
      <c r="BP52" s="372">
        <f>Roles!$D$7</f>
        <v>0.12</v>
      </c>
      <c r="BQ52" s="372"/>
      <c r="BR52" s="203">
        <f t="shared" si="19"/>
        <v>0</v>
      </c>
      <c r="BS52" s="372"/>
      <c r="BT52" s="372"/>
      <c r="BU52" s="372">
        <f>Roles!$D$7</f>
        <v>0.12</v>
      </c>
      <c r="BV52" s="372"/>
      <c r="BW52" s="203">
        <f t="shared" si="20"/>
        <v>0</v>
      </c>
      <c r="BX52" s="372"/>
      <c r="BY52" s="372"/>
      <c r="BZ52" s="372">
        <f>Roles!$D$7</f>
        <v>0.12</v>
      </c>
      <c r="CA52" s="372"/>
      <c r="CB52" s="203">
        <f t="shared" si="21"/>
        <v>0</v>
      </c>
      <c r="CC52" s="372"/>
      <c r="CD52" s="372"/>
      <c r="CE52" s="372">
        <f>Roles!$D$7</f>
        <v>0.12</v>
      </c>
      <c r="CF52" s="372"/>
      <c r="CG52" s="203">
        <f t="shared" si="22"/>
        <v>0</v>
      </c>
      <c r="CH52" s="372"/>
      <c r="CI52" s="372"/>
      <c r="CJ52" s="372">
        <f>Roles!$D$7</f>
        <v>0.12</v>
      </c>
      <c r="CK52" s="372"/>
      <c r="CL52" s="203">
        <f t="shared" si="23"/>
        <v>0</v>
      </c>
      <c r="CM52" s="372"/>
      <c r="CN52" s="372"/>
      <c r="CO52" s="372">
        <f>Roles!$D$7</f>
        <v>0.12</v>
      </c>
      <c r="CP52" s="372"/>
      <c r="CQ52" s="203">
        <f t="shared" si="24"/>
        <v>0</v>
      </c>
      <c r="CR52" s="372"/>
      <c r="CS52" s="372"/>
      <c r="CT52" s="372">
        <f>Roles!$D$7</f>
        <v>0.12</v>
      </c>
      <c r="CU52" s="372"/>
      <c r="CV52" s="203">
        <f t="shared" si="25"/>
        <v>0</v>
      </c>
      <c r="CW52" s="372"/>
      <c r="CX52" s="372"/>
      <c r="CY52" s="372">
        <f>Roles!$D$7</f>
        <v>0.12</v>
      </c>
      <c r="CZ52" s="372"/>
      <c r="DA52" s="203">
        <f t="shared" si="26"/>
        <v>0</v>
      </c>
      <c r="DB52" s="372"/>
      <c r="DC52" s="372"/>
      <c r="DD52" s="372">
        <f>Roles!$D$7</f>
        <v>0.12</v>
      </c>
      <c r="DE52" s="372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 t="shared" si="1"/>
        <v>1</v>
      </c>
      <c r="F53" s="80">
        <v>3.0</v>
      </c>
      <c r="G53" s="105">
        <f t="shared" si="2"/>
        <v>0.002583979328</v>
      </c>
      <c r="H53" s="47">
        <f>H51+G53</f>
        <v>0.1119724376</v>
      </c>
      <c r="I53" s="231">
        <f t="shared" ref="I53:I57" si="55">P53+U53+Z53+AE53+AJ53+AO53+AT53+AY53+BD53+BI53+BN53+BS53+BX53+CC53+CH53+CM53+CR53+CW53+DB53</f>
        <v>6</v>
      </c>
      <c r="J53" s="172">
        <f>J51+I53</f>
        <v>316</v>
      </c>
      <c r="K53" s="115">
        <f t="shared" si="3"/>
        <v>0.2776801406</v>
      </c>
      <c r="L53" s="232">
        <f t="shared" ref="L53:L57" si="56">S53+X53+AC53+AH53+AM53+AR53+AW53+BB53+BG53+BL53+BQ53+BV53+CA53+CF53+CK53+CP53+CU53+CZ53+DE53</f>
        <v>2.64</v>
      </c>
      <c r="M53" s="172">
        <f>M51+L53</f>
        <v>139.04</v>
      </c>
      <c r="N53" s="115" t="str">
        <f t="shared" si="6"/>
        <v>#REF!</v>
      </c>
      <c r="O53" s="203">
        <f t="shared" si="7"/>
        <v>2</v>
      </c>
      <c r="P53" s="378">
        <v>6.0</v>
      </c>
      <c r="Q53" s="372"/>
      <c r="R53" s="372">
        <f>Roles!$D$5</f>
        <v>0.44</v>
      </c>
      <c r="S53" s="372">
        <f t="shared" si="8"/>
        <v>2.64</v>
      </c>
      <c r="T53" s="203">
        <f t="shared" si="9"/>
        <v>0</v>
      </c>
      <c r="U53" s="372"/>
      <c r="V53" s="372"/>
      <c r="W53" s="372">
        <f>Roles!$D$7</f>
        <v>0.12</v>
      </c>
      <c r="X53" s="372"/>
      <c r="Y53" s="203">
        <f t="shared" si="10"/>
        <v>0</v>
      </c>
      <c r="Z53" s="372"/>
      <c r="AA53" s="372"/>
      <c r="AB53" s="372">
        <f>Roles!$D$7</f>
        <v>0.12</v>
      </c>
      <c r="AC53" s="372"/>
      <c r="AD53" s="203">
        <f t="shared" si="11"/>
        <v>0</v>
      </c>
      <c r="AE53" s="372"/>
      <c r="AF53" s="372"/>
      <c r="AG53" s="372">
        <f>Roles!$D$7</f>
        <v>0.12</v>
      </c>
      <c r="AH53" s="372"/>
      <c r="AI53" s="203">
        <f t="shared" si="12"/>
        <v>0</v>
      </c>
      <c r="AJ53" s="372"/>
      <c r="AK53" s="372"/>
      <c r="AL53" s="372">
        <f>Roles!$D$7</f>
        <v>0.12</v>
      </c>
      <c r="AM53" s="372"/>
      <c r="AN53" s="203">
        <f t="shared" si="13"/>
        <v>0</v>
      </c>
      <c r="AO53" s="372"/>
      <c r="AP53" s="372"/>
      <c r="AQ53" s="372">
        <f>Roles!$D$7</f>
        <v>0.12</v>
      </c>
      <c r="AR53" s="372"/>
      <c r="AS53" s="203">
        <f t="shared" si="14"/>
        <v>0</v>
      </c>
      <c r="AT53" s="372"/>
      <c r="AU53" s="372"/>
      <c r="AV53" s="372">
        <f>Roles!$D$7</f>
        <v>0.12</v>
      </c>
      <c r="AW53" s="372"/>
      <c r="AX53" s="203">
        <f t="shared" si="15"/>
        <v>0</v>
      </c>
      <c r="AY53" s="372"/>
      <c r="AZ53" s="372"/>
      <c r="BA53" s="372">
        <f>Roles!$D$7</f>
        <v>0.12</v>
      </c>
      <c r="BB53" s="372"/>
      <c r="BC53" s="203">
        <f t="shared" si="16"/>
        <v>0</v>
      </c>
      <c r="BD53" s="372"/>
      <c r="BE53" s="372"/>
      <c r="BF53" s="372">
        <f>Roles!$D$7</f>
        <v>0.12</v>
      </c>
      <c r="BG53" s="372"/>
      <c r="BH53" s="203">
        <f t="shared" si="17"/>
        <v>0</v>
      </c>
      <c r="BI53" s="372"/>
      <c r="BJ53" s="372"/>
      <c r="BK53" s="372">
        <f>Roles!$D$7</f>
        <v>0.12</v>
      </c>
      <c r="BL53" s="372"/>
      <c r="BM53" s="203">
        <f t="shared" si="18"/>
        <v>0</v>
      </c>
      <c r="BN53" s="372"/>
      <c r="BO53" s="372"/>
      <c r="BP53" s="372">
        <f>Roles!$D$7</f>
        <v>0.12</v>
      </c>
      <c r="BQ53" s="372"/>
      <c r="BR53" s="203">
        <f t="shared" si="19"/>
        <v>0</v>
      </c>
      <c r="BS53" s="372"/>
      <c r="BT53" s="372"/>
      <c r="BU53" s="372">
        <f>Roles!$D$7</f>
        <v>0.12</v>
      </c>
      <c r="BV53" s="372"/>
      <c r="BW53" s="203">
        <f t="shared" si="20"/>
        <v>0</v>
      </c>
      <c r="BX53" s="372"/>
      <c r="BY53" s="372"/>
      <c r="BZ53" s="372">
        <f>Roles!$D$7</f>
        <v>0.12</v>
      </c>
      <c r="CA53" s="372"/>
      <c r="CB53" s="203">
        <f t="shared" si="21"/>
        <v>0</v>
      </c>
      <c r="CC53" s="372"/>
      <c r="CD53" s="372"/>
      <c r="CE53" s="372">
        <f>Roles!$D$7</f>
        <v>0.12</v>
      </c>
      <c r="CF53" s="372"/>
      <c r="CG53" s="203">
        <f t="shared" si="22"/>
        <v>0</v>
      </c>
      <c r="CH53" s="372"/>
      <c r="CI53" s="372"/>
      <c r="CJ53" s="372">
        <f>Roles!$D$7</f>
        <v>0.12</v>
      </c>
      <c r="CK53" s="372"/>
      <c r="CL53" s="203">
        <f t="shared" si="23"/>
        <v>0</v>
      </c>
      <c r="CM53" s="372"/>
      <c r="CN53" s="372"/>
      <c r="CO53" s="372">
        <f>Roles!$D$7</f>
        <v>0.12</v>
      </c>
      <c r="CP53" s="372"/>
      <c r="CQ53" s="203">
        <f t="shared" si="24"/>
        <v>0</v>
      </c>
      <c r="CR53" s="372"/>
      <c r="CS53" s="372"/>
      <c r="CT53" s="372">
        <f>Roles!$D$7</f>
        <v>0.12</v>
      </c>
      <c r="CU53" s="372"/>
      <c r="CV53" s="203">
        <f t="shared" si="25"/>
        <v>0</v>
      </c>
      <c r="CW53" s="372"/>
      <c r="CX53" s="372"/>
      <c r="CY53" s="372">
        <f>Roles!$D$7</f>
        <v>0.12</v>
      </c>
      <c r="CZ53" s="372"/>
      <c r="DA53" s="203">
        <f t="shared" si="26"/>
        <v>0</v>
      </c>
      <c r="DB53" s="372"/>
      <c r="DC53" s="372"/>
      <c r="DD53" s="372">
        <f>Roles!$D$7</f>
        <v>0.12</v>
      </c>
      <c r="DE53" s="372"/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 t="shared" si="1"/>
        <v>3</v>
      </c>
      <c r="F54" s="80">
        <v>6.0</v>
      </c>
      <c r="G54" s="105">
        <f t="shared" si="2"/>
        <v>0.005167958656</v>
      </c>
      <c r="H54" s="47">
        <f t="shared" ref="H54:H57" si="57">H53+G54</f>
        <v>0.1171403962</v>
      </c>
      <c r="I54" s="231">
        <f t="shared" si="55"/>
        <v>12</v>
      </c>
      <c r="J54" s="172">
        <f t="shared" ref="J54:J57" si="58">J53+I54</f>
        <v>328</v>
      </c>
      <c r="K54" s="115">
        <f t="shared" si="3"/>
        <v>0.2882249561</v>
      </c>
      <c r="L54" s="232">
        <f t="shared" si="56"/>
        <v>5.28</v>
      </c>
      <c r="M54" s="172">
        <f t="shared" ref="M54:M57" si="59">M53+L54</f>
        <v>144.32</v>
      </c>
      <c r="N54" s="47" t="str">
        <f t="shared" si="6"/>
        <v>#REF!</v>
      </c>
      <c r="O54" s="203">
        <f t="shared" si="7"/>
        <v>2</v>
      </c>
      <c r="P54" s="378">
        <v>12.0</v>
      </c>
      <c r="Q54" s="372"/>
      <c r="R54" s="372">
        <f>Roles!$D$5</f>
        <v>0.44</v>
      </c>
      <c r="S54" s="372">
        <f t="shared" si="8"/>
        <v>5.28</v>
      </c>
      <c r="T54" s="203">
        <f t="shared" si="9"/>
        <v>0</v>
      </c>
      <c r="U54" s="372"/>
      <c r="V54" s="372"/>
      <c r="W54" s="372">
        <f>Roles!$D$7</f>
        <v>0.12</v>
      </c>
      <c r="X54" s="372"/>
      <c r="Y54" s="203">
        <f t="shared" si="10"/>
        <v>0</v>
      </c>
      <c r="Z54" s="372"/>
      <c r="AA54" s="372"/>
      <c r="AB54" s="372">
        <f>Roles!$D$7</f>
        <v>0.12</v>
      </c>
      <c r="AC54" s="372"/>
      <c r="AD54" s="203">
        <f t="shared" si="11"/>
        <v>0</v>
      </c>
      <c r="AE54" s="372"/>
      <c r="AF54" s="372"/>
      <c r="AG54" s="372">
        <f>Roles!$D$7</f>
        <v>0.12</v>
      </c>
      <c r="AH54" s="372"/>
      <c r="AI54" s="203">
        <f t="shared" si="12"/>
        <v>0</v>
      </c>
      <c r="AJ54" s="372"/>
      <c r="AK54" s="372"/>
      <c r="AL54" s="372">
        <f>Roles!$D$7</f>
        <v>0.12</v>
      </c>
      <c r="AM54" s="372"/>
      <c r="AN54" s="203">
        <f t="shared" si="13"/>
        <v>0</v>
      </c>
      <c r="AO54" s="372"/>
      <c r="AP54" s="372"/>
      <c r="AQ54" s="372">
        <f>Roles!$D$7</f>
        <v>0.12</v>
      </c>
      <c r="AR54" s="372"/>
      <c r="AS54" s="203">
        <f t="shared" si="14"/>
        <v>0</v>
      </c>
      <c r="AT54" s="372"/>
      <c r="AU54" s="372"/>
      <c r="AV54" s="372">
        <f>Roles!$D$7</f>
        <v>0.12</v>
      </c>
      <c r="AW54" s="372"/>
      <c r="AX54" s="203">
        <f t="shared" si="15"/>
        <v>0</v>
      </c>
      <c r="AY54" s="372"/>
      <c r="AZ54" s="372"/>
      <c r="BA54" s="372">
        <f>Roles!$D$7</f>
        <v>0.12</v>
      </c>
      <c r="BB54" s="372"/>
      <c r="BC54" s="203">
        <f t="shared" si="16"/>
        <v>0</v>
      </c>
      <c r="BD54" s="372"/>
      <c r="BE54" s="372"/>
      <c r="BF54" s="372">
        <f>Roles!$D$7</f>
        <v>0.12</v>
      </c>
      <c r="BG54" s="372"/>
      <c r="BH54" s="203">
        <f t="shared" si="17"/>
        <v>0</v>
      </c>
      <c r="BI54" s="372"/>
      <c r="BJ54" s="372"/>
      <c r="BK54" s="372">
        <f>Roles!$D$7</f>
        <v>0.12</v>
      </c>
      <c r="BL54" s="372"/>
      <c r="BM54" s="203">
        <f t="shared" si="18"/>
        <v>0</v>
      </c>
      <c r="BN54" s="372"/>
      <c r="BO54" s="372"/>
      <c r="BP54" s="372">
        <f>Roles!$D$7</f>
        <v>0.12</v>
      </c>
      <c r="BQ54" s="372"/>
      <c r="BR54" s="203">
        <f t="shared" si="19"/>
        <v>0</v>
      </c>
      <c r="BS54" s="372"/>
      <c r="BT54" s="372"/>
      <c r="BU54" s="372">
        <f>Roles!$D$7</f>
        <v>0.12</v>
      </c>
      <c r="BV54" s="372"/>
      <c r="BW54" s="203">
        <f t="shared" si="20"/>
        <v>0</v>
      </c>
      <c r="BX54" s="372"/>
      <c r="BY54" s="372"/>
      <c r="BZ54" s="372">
        <f>Roles!$D$7</f>
        <v>0.12</v>
      </c>
      <c r="CA54" s="372"/>
      <c r="CB54" s="203">
        <f t="shared" si="21"/>
        <v>0</v>
      </c>
      <c r="CC54" s="372"/>
      <c r="CD54" s="372"/>
      <c r="CE54" s="372">
        <f>Roles!$D$7</f>
        <v>0.12</v>
      </c>
      <c r="CF54" s="372"/>
      <c r="CG54" s="203">
        <f t="shared" si="22"/>
        <v>0</v>
      </c>
      <c r="CH54" s="372"/>
      <c r="CI54" s="372"/>
      <c r="CJ54" s="372">
        <f>Roles!$D$7</f>
        <v>0.12</v>
      </c>
      <c r="CK54" s="372"/>
      <c r="CL54" s="203">
        <f t="shared" si="23"/>
        <v>0</v>
      </c>
      <c r="CM54" s="372"/>
      <c r="CN54" s="372"/>
      <c r="CO54" s="372">
        <f>Roles!$D$7</f>
        <v>0.12</v>
      </c>
      <c r="CP54" s="372"/>
      <c r="CQ54" s="203">
        <f t="shared" si="24"/>
        <v>0</v>
      </c>
      <c r="CR54" s="372"/>
      <c r="CS54" s="372"/>
      <c r="CT54" s="372">
        <f>Roles!$D$7</f>
        <v>0.12</v>
      </c>
      <c r="CU54" s="372"/>
      <c r="CV54" s="203">
        <f t="shared" si="25"/>
        <v>0</v>
      </c>
      <c r="CW54" s="372"/>
      <c r="CX54" s="372"/>
      <c r="CY54" s="372">
        <f>Roles!$D$7</f>
        <v>0.12</v>
      </c>
      <c r="CZ54" s="372"/>
      <c r="DA54" s="203">
        <f t="shared" si="26"/>
        <v>0</v>
      </c>
      <c r="DB54" s="372"/>
      <c r="DC54" s="372"/>
      <c r="DD54" s="372">
        <f>Roles!$D$7</f>
        <v>0.12</v>
      </c>
      <c r="DE54" s="372"/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 t="shared" si="1"/>
        <v>3</v>
      </c>
      <c r="F55" s="80">
        <v>6.0</v>
      </c>
      <c r="G55" s="105">
        <f t="shared" si="2"/>
        <v>0.005167958656</v>
      </c>
      <c r="H55" s="47">
        <f t="shared" si="57"/>
        <v>0.1223083549</v>
      </c>
      <c r="I55" s="231">
        <f t="shared" si="55"/>
        <v>12</v>
      </c>
      <c r="J55" s="172">
        <f t="shared" si="58"/>
        <v>340</v>
      </c>
      <c r="K55" s="115">
        <f t="shared" si="3"/>
        <v>0.2987697715</v>
      </c>
      <c r="L55" s="232">
        <f t="shared" si="56"/>
        <v>5.28</v>
      </c>
      <c r="M55" s="172">
        <f t="shared" si="59"/>
        <v>149.6</v>
      </c>
      <c r="N55" s="226" t="str">
        <f t="shared" si="6"/>
        <v>#REF!</v>
      </c>
      <c r="O55" s="203">
        <f t="shared" si="7"/>
        <v>2</v>
      </c>
      <c r="P55" s="378">
        <v>12.0</v>
      </c>
      <c r="Q55" s="372"/>
      <c r="R55" s="372">
        <f>Roles!$D$5</f>
        <v>0.44</v>
      </c>
      <c r="S55" s="372">
        <f t="shared" si="8"/>
        <v>5.28</v>
      </c>
      <c r="T55" s="203">
        <f t="shared" si="9"/>
        <v>0</v>
      </c>
      <c r="U55" s="372"/>
      <c r="V55" s="372"/>
      <c r="W55" s="372">
        <f>Roles!$D$7</f>
        <v>0.12</v>
      </c>
      <c r="X55" s="372"/>
      <c r="Y55" s="203">
        <f t="shared" si="10"/>
        <v>0</v>
      </c>
      <c r="Z55" s="372"/>
      <c r="AA55" s="372"/>
      <c r="AB55" s="372">
        <f>Roles!$D$7</f>
        <v>0.12</v>
      </c>
      <c r="AC55" s="372"/>
      <c r="AD55" s="203">
        <f t="shared" si="11"/>
        <v>0</v>
      </c>
      <c r="AE55" s="372"/>
      <c r="AF55" s="372"/>
      <c r="AG55" s="372">
        <f>Roles!$D$7</f>
        <v>0.12</v>
      </c>
      <c r="AH55" s="372"/>
      <c r="AI55" s="203">
        <f t="shared" si="12"/>
        <v>0</v>
      </c>
      <c r="AJ55" s="372"/>
      <c r="AK55" s="372"/>
      <c r="AL55" s="372">
        <f>Roles!$D$7</f>
        <v>0.12</v>
      </c>
      <c r="AM55" s="372"/>
      <c r="AN55" s="203">
        <f t="shared" si="13"/>
        <v>0</v>
      </c>
      <c r="AO55" s="372"/>
      <c r="AP55" s="372"/>
      <c r="AQ55" s="372">
        <f>Roles!$D$7</f>
        <v>0.12</v>
      </c>
      <c r="AR55" s="372"/>
      <c r="AS55" s="203">
        <f t="shared" si="14"/>
        <v>0</v>
      </c>
      <c r="AT55" s="372"/>
      <c r="AU55" s="372"/>
      <c r="AV55" s="372">
        <f>Roles!$D$7</f>
        <v>0.12</v>
      </c>
      <c r="AW55" s="372"/>
      <c r="AX55" s="203">
        <f t="shared" si="15"/>
        <v>0</v>
      </c>
      <c r="AY55" s="372"/>
      <c r="AZ55" s="372"/>
      <c r="BA55" s="372">
        <f>Roles!$D$7</f>
        <v>0.12</v>
      </c>
      <c r="BB55" s="372"/>
      <c r="BC55" s="203">
        <f t="shared" si="16"/>
        <v>0</v>
      </c>
      <c r="BD55" s="372"/>
      <c r="BE55" s="372"/>
      <c r="BF55" s="372">
        <f>Roles!$D$7</f>
        <v>0.12</v>
      </c>
      <c r="BG55" s="372"/>
      <c r="BH55" s="203">
        <f t="shared" si="17"/>
        <v>0</v>
      </c>
      <c r="BI55" s="372"/>
      <c r="BJ55" s="372"/>
      <c r="BK55" s="372">
        <f>Roles!$D$7</f>
        <v>0.12</v>
      </c>
      <c r="BL55" s="372"/>
      <c r="BM55" s="203">
        <f t="shared" si="18"/>
        <v>0</v>
      </c>
      <c r="BN55" s="372"/>
      <c r="BO55" s="372"/>
      <c r="BP55" s="372">
        <f>Roles!$D$7</f>
        <v>0.12</v>
      </c>
      <c r="BQ55" s="372"/>
      <c r="BR55" s="203">
        <f t="shared" si="19"/>
        <v>0</v>
      </c>
      <c r="BS55" s="372"/>
      <c r="BT55" s="372"/>
      <c r="BU55" s="372">
        <f>Roles!$D$7</f>
        <v>0.12</v>
      </c>
      <c r="BV55" s="372"/>
      <c r="BW55" s="203">
        <f t="shared" si="20"/>
        <v>0</v>
      </c>
      <c r="BX55" s="372"/>
      <c r="BY55" s="372"/>
      <c r="BZ55" s="372">
        <f>Roles!$D$7</f>
        <v>0.12</v>
      </c>
      <c r="CA55" s="372"/>
      <c r="CB55" s="203">
        <f t="shared" si="21"/>
        <v>0</v>
      </c>
      <c r="CC55" s="372"/>
      <c r="CD55" s="372"/>
      <c r="CE55" s="372">
        <f>Roles!$D$7</f>
        <v>0.12</v>
      </c>
      <c r="CF55" s="372"/>
      <c r="CG55" s="203">
        <f t="shared" si="22"/>
        <v>0</v>
      </c>
      <c r="CH55" s="372"/>
      <c r="CI55" s="372"/>
      <c r="CJ55" s="372">
        <f>Roles!$D$7</f>
        <v>0.12</v>
      </c>
      <c r="CK55" s="372"/>
      <c r="CL55" s="203">
        <f t="shared" si="23"/>
        <v>0</v>
      </c>
      <c r="CM55" s="372"/>
      <c r="CN55" s="372"/>
      <c r="CO55" s="372">
        <f>Roles!$D$7</f>
        <v>0.12</v>
      </c>
      <c r="CP55" s="372"/>
      <c r="CQ55" s="203">
        <f t="shared" si="24"/>
        <v>0</v>
      </c>
      <c r="CR55" s="372"/>
      <c r="CS55" s="372"/>
      <c r="CT55" s="372">
        <f>Roles!$D$7</f>
        <v>0.12</v>
      </c>
      <c r="CU55" s="372"/>
      <c r="CV55" s="203">
        <f t="shared" si="25"/>
        <v>0</v>
      </c>
      <c r="CW55" s="372"/>
      <c r="CX55" s="372"/>
      <c r="CY55" s="372">
        <f>Roles!$D$7</f>
        <v>0.12</v>
      </c>
      <c r="CZ55" s="372"/>
      <c r="DA55" s="203">
        <f t="shared" si="26"/>
        <v>0</v>
      </c>
      <c r="DB55" s="372"/>
      <c r="DC55" s="372"/>
      <c r="DD55" s="372">
        <f>Roles!$D$7</f>
        <v>0.12</v>
      </c>
      <c r="DE55" s="372"/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 t="shared" si="1"/>
        <v>2</v>
      </c>
      <c r="F56" s="80">
        <v>3.0</v>
      </c>
      <c r="G56" s="105">
        <f t="shared" si="2"/>
        <v>0.002583979328</v>
      </c>
      <c r="H56" s="47">
        <f t="shared" si="57"/>
        <v>0.1248923342</v>
      </c>
      <c r="I56" s="231">
        <f t="shared" si="55"/>
        <v>0</v>
      </c>
      <c r="J56" s="172">
        <f t="shared" si="58"/>
        <v>340</v>
      </c>
      <c r="K56" s="115">
        <f t="shared" si="3"/>
        <v>0.2987697715</v>
      </c>
      <c r="L56" s="232">
        <f t="shared" si="56"/>
        <v>0</v>
      </c>
      <c r="M56" s="172">
        <f t="shared" si="59"/>
        <v>149.6</v>
      </c>
      <c r="N56" s="226" t="str">
        <f t="shared" si="6"/>
        <v>#REF!</v>
      </c>
      <c r="O56" s="203">
        <f t="shared" si="7"/>
        <v>0</v>
      </c>
      <c r="P56" s="378">
        <v>0.0</v>
      </c>
      <c r="Q56" s="372"/>
      <c r="R56" s="372">
        <f>Roles!$D$5</f>
        <v>0.44</v>
      </c>
      <c r="S56" s="372">
        <f t="shared" si="8"/>
        <v>0</v>
      </c>
      <c r="T56" s="203">
        <f t="shared" si="9"/>
        <v>0</v>
      </c>
      <c r="U56" s="372"/>
      <c r="V56" s="372"/>
      <c r="W56" s="372">
        <f>Roles!$D$7</f>
        <v>0.12</v>
      </c>
      <c r="X56" s="372"/>
      <c r="Y56" s="203">
        <f t="shared" si="10"/>
        <v>0</v>
      </c>
      <c r="Z56" s="372"/>
      <c r="AA56" s="372"/>
      <c r="AB56" s="372">
        <f>Roles!$D$7</f>
        <v>0.12</v>
      </c>
      <c r="AC56" s="372"/>
      <c r="AD56" s="203">
        <f t="shared" si="11"/>
        <v>0</v>
      </c>
      <c r="AE56" s="372"/>
      <c r="AF56" s="372"/>
      <c r="AG56" s="372">
        <f>Roles!$D$7</f>
        <v>0.12</v>
      </c>
      <c r="AH56" s="372"/>
      <c r="AI56" s="203">
        <f t="shared" si="12"/>
        <v>0</v>
      </c>
      <c r="AJ56" s="372"/>
      <c r="AK56" s="372"/>
      <c r="AL56" s="372">
        <f>Roles!$D$7</f>
        <v>0.12</v>
      </c>
      <c r="AM56" s="372"/>
      <c r="AN56" s="203">
        <f t="shared" si="13"/>
        <v>0</v>
      </c>
      <c r="AO56" s="372"/>
      <c r="AP56" s="372"/>
      <c r="AQ56" s="372">
        <f>Roles!$D$7</f>
        <v>0.12</v>
      </c>
      <c r="AR56" s="372"/>
      <c r="AS56" s="203">
        <f t="shared" si="14"/>
        <v>0</v>
      </c>
      <c r="AT56" s="372"/>
      <c r="AU56" s="372"/>
      <c r="AV56" s="372">
        <f>Roles!$D$7</f>
        <v>0.12</v>
      </c>
      <c r="AW56" s="372"/>
      <c r="AX56" s="203">
        <f t="shared" si="15"/>
        <v>0</v>
      </c>
      <c r="AY56" s="372"/>
      <c r="AZ56" s="372"/>
      <c r="BA56" s="372">
        <f>Roles!$D$7</f>
        <v>0.12</v>
      </c>
      <c r="BB56" s="372"/>
      <c r="BC56" s="203">
        <f t="shared" si="16"/>
        <v>0</v>
      </c>
      <c r="BD56" s="372"/>
      <c r="BE56" s="372"/>
      <c r="BF56" s="372">
        <f>Roles!$D$7</f>
        <v>0.12</v>
      </c>
      <c r="BG56" s="372"/>
      <c r="BH56" s="203">
        <f t="shared" si="17"/>
        <v>0</v>
      </c>
      <c r="BI56" s="372"/>
      <c r="BJ56" s="372"/>
      <c r="BK56" s="372">
        <f>Roles!$D$7</f>
        <v>0.12</v>
      </c>
      <c r="BL56" s="372"/>
      <c r="BM56" s="203">
        <f t="shared" si="18"/>
        <v>0</v>
      </c>
      <c r="BN56" s="372"/>
      <c r="BO56" s="372"/>
      <c r="BP56" s="372">
        <f>Roles!$D$7</f>
        <v>0.12</v>
      </c>
      <c r="BQ56" s="372"/>
      <c r="BR56" s="203">
        <f t="shared" si="19"/>
        <v>0</v>
      </c>
      <c r="BS56" s="372"/>
      <c r="BT56" s="372"/>
      <c r="BU56" s="372">
        <f>Roles!$D$7</f>
        <v>0.12</v>
      </c>
      <c r="BV56" s="372"/>
      <c r="BW56" s="203">
        <f t="shared" si="20"/>
        <v>0</v>
      </c>
      <c r="BX56" s="372"/>
      <c r="BY56" s="372"/>
      <c r="BZ56" s="372">
        <f>Roles!$D$7</f>
        <v>0.12</v>
      </c>
      <c r="CA56" s="372"/>
      <c r="CB56" s="203">
        <f t="shared" si="21"/>
        <v>0</v>
      </c>
      <c r="CC56" s="372"/>
      <c r="CD56" s="372"/>
      <c r="CE56" s="372">
        <f>Roles!$D$7</f>
        <v>0.12</v>
      </c>
      <c r="CF56" s="372"/>
      <c r="CG56" s="203">
        <f t="shared" si="22"/>
        <v>0</v>
      </c>
      <c r="CH56" s="372"/>
      <c r="CI56" s="372"/>
      <c r="CJ56" s="372">
        <f>Roles!$D$7</f>
        <v>0.12</v>
      </c>
      <c r="CK56" s="372"/>
      <c r="CL56" s="203">
        <f t="shared" si="23"/>
        <v>0</v>
      </c>
      <c r="CM56" s="372"/>
      <c r="CN56" s="372"/>
      <c r="CO56" s="372">
        <f>Roles!$D$7</f>
        <v>0.12</v>
      </c>
      <c r="CP56" s="372"/>
      <c r="CQ56" s="203">
        <f t="shared" si="24"/>
        <v>0</v>
      </c>
      <c r="CR56" s="372"/>
      <c r="CS56" s="372"/>
      <c r="CT56" s="372">
        <f>Roles!$D$7</f>
        <v>0.12</v>
      </c>
      <c r="CU56" s="372"/>
      <c r="CV56" s="203">
        <f t="shared" si="25"/>
        <v>0</v>
      </c>
      <c r="CW56" s="372"/>
      <c r="CX56" s="372"/>
      <c r="CY56" s="372">
        <f>Roles!$D$7</f>
        <v>0.12</v>
      </c>
      <c r="CZ56" s="372"/>
      <c r="DA56" s="203">
        <f t="shared" si="26"/>
        <v>0</v>
      </c>
      <c r="DB56" s="372"/>
      <c r="DC56" s="372"/>
      <c r="DD56" s="372">
        <f>Roles!$D$7</f>
        <v>0.12</v>
      </c>
      <c r="DE56" s="372"/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 t="shared" si="1"/>
        <v>1</v>
      </c>
      <c r="F57" s="80">
        <v>1.0</v>
      </c>
      <c r="G57" s="105">
        <f t="shared" si="2"/>
        <v>0.0008613264427</v>
      </c>
      <c r="H57" s="47">
        <f t="shared" si="57"/>
        <v>0.1257536606</v>
      </c>
      <c r="I57" s="231">
        <f t="shared" si="55"/>
        <v>0</v>
      </c>
      <c r="J57" s="172">
        <f t="shared" si="58"/>
        <v>340</v>
      </c>
      <c r="K57" s="115">
        <f t="shared" si="3"/>
        <v>0.2987697715</v>
      </c>
      <c r="L57" s="232">
        <f t="shared" si="56"/>
        <v>0</v>
      </c>
      <c r="M57" s="172">
        <f t="shared" si="59"/>
        <v>149.6</v>
      </c>
      <c r="N57" s="115" t="str">
        <f t="shared" si="6"/>
        <v>#REF!</v>
      </c>
      <c r="O57" s="203">
        <f t="shared" si="7"/>
        <v>0</v>
      </c>
      <c r="P57" s="378">
        <v>0.0</v>
      </c>
      <c r="Q57" s="372"/>
      <c r="R57" s="372">
        <f>Roles!$D$5</f>
        <v>0.44</v>
      </c>
      <c r="S57" s="372">
        <f t="shared" si="8"/>
        <v>0</v>
      </c>
      <c r="T57" s="203">
        <f t="shared" si="9"/>
        <v>0</v>
      </c>
      <c r="U57" s="372"/>
      <c r="V57" s="372"/>
      <c r="W57" s="372">
        <f>Roles!$D$7</f>
        <v>0.12</v>
      </c>
      <c r="X57" s="372"/>
      <c r="Y57" s="203">
        <f t="shared" si="10"/>
        <v>0</v>
      </c>
      <c r="Z57" s="372"/>
      <c r="AA57" s="372"/>
      <c r="AB57" s="372">
        <f>Roles!$D$7</f>
        <v>0.12</v>
      </c>
      <c r="AC57" s="372"/>
      <c r="AD57" s="203">
        <f t="shared" si="11"/>
        <v>0</v>
      </c>
      <c r="AE57" s="372"/>
      <c r="AF57" s="372"/>
      <c r="AG57" s="372">
        <f>Roles!$D$7</f>
        <v>0.12</v>
      </c>
      <c r="AH57" s="372"/>
      <c r="AI57" s="203">
        <f t="shared" si="12"/>
        <v>0</v>
      </c>
      <c r="AJ57" s="372"/>
      <c r="AK57" s="372"/>
      <c r="AL57" s="372">
        <f>Roles!$D$7</f>
        <v>0.12</v>
      </c>
      <c r="AM57" s="372"/>
      <c r="AN57" s="203">
        <f t="shared" si="13"/>
        <v>0</v>
      </c>
      <c r="AO57" s="372"/>
      <c r="AP57" s="372"/>
      <c r="AQ57" s="372">
        <f>Roles!$D$7</f>
        <v>0.12</v>
      </c>
      <c r="AR57" s="372"/>
      <c r="AS57" s="203">
        <f t="shared" si="14"/>
        <v>0</v>
      </c>
      <c r="AT57" s="372"/>
      <c r="AU57" s="372"/>
      <c r="AV57" s="372">
        <f>Roles!$D$7</f>
        <v>0.12</v>
      </c>
      <c r="AW57" s="372"/>
      <c r="AX57" s="203">
        <f t="shared" si="15"/>
        <v>0</v>
      </c>
      <c r="AY57" s="372"/>
      <c r="AZ57" s="372"/>
      <c r="BA57" s="372">
        <f>Roles!$D$7</f>
        <v>0.12</v>
      </c>
      <c r="BB57" s="372"/>
      <c r="BC57" s="203">
        <f t="shared" si="16"/>
        <v>0</v>
      </c>
      <c r="BD57" s="372"/>
      <c r="BE57" s="372"/>
      <c r="BF57" s="372">
        <f>Roles!$D$7</f>
        <v>0.12</v>
      </c>
      <c r="BG57" s="372"/>
      <c r="BH57" s="203">
        <f t="shared" si="17"/>
        <v>0</v>
      </c>
      <c r="BI57" s="372"/>
      <c r="BJ57" s="372"/>
      <c r="BK57" s="372">
        <f>Roles!$D$7</f>
        <v>0.12</v>
      </c>
      <c r="BL57" s="372"/>
      <c r="BM57" s="203">
        <f t="shared" si="18"/>
        <v>0</v>
      </c>
      <c r="BN57" s="372"/>
      <c r="BO57" s="372"/>
      <c r="BP57" s="372">
        <f>Roles!$D$7</f>
        <v>0.12</v>
      </c>
      <c r="BQ57" s="372"/>
      <c r="BR57" s="203">
        <f t="shared" si="19"/>
        <v>0</v>
      </c>
      <c r="BS57" s="372"/>
      <c r="BT57" s="372"/>
      <c r="BU57" s="372">
        <f>Roles!$D$7</f>
        <v>0.12</v>
      </c>
      <c r="BV57" s="372"/>
      <c r="BW57" s="203">
        <f t="shared" si="20"/>
        <v>0</v>
      </c>
      <c r="BX57" s="372"/>
      <c r="BY57" s="372"/>
      <c r="BZ57" s="372">
        <f>Roles!$D$7</f>
        <v>0.12</v>
      </c>
      <c r="CA57" s="372"/>
      <c r="CB57" s="203">
        <f t="shared" si="21"/>
        <v>0</v>
      </c>
      <c r="CC57" s="372"/>
      <c r="CD57" s="372"/>
      <c r="CE57" s="372">
        <f>Roles!$D$7</f>
        <v>0.12</v>
      </c>
      <c r="CF57" s="372"/>
      <c r="CG57" s="203">
        <f t="shared" si="22"/>
        <v>0</v>
      </c>
      <c r="CH57" s="372"/>
      <c r="CI57" s="372"/>
      <c r="CJ57" s="372">
        <f>Roles!$D$7</f>
        <v>0.12</v>
      </c>
      <c r="CK57" s="372"/>
      <c r="CL57" s="203">
        <f t="shared" si="23"/>
        <v>0</v>
      </c>
      <c r="CM57" s="372"/>
      <c r="CN57" s="372"/>
      <c r="CO57" s="372">
        <f>Roles!$D$7</f>
        <v>0.12</v>
      </c>
      <c r="CP57" s="372"/>
      <c r="CQ57" s="203">
        <f t="shared" si="24"/>
        <v>0</v>
      </c>
      <c r="CR57" s="372"/>
      <c r="CS57" s="372"/>
      <c r="CT57" s="372">
        <f>Roles!$D$7</f>
        <v>0.12</v>
      </c>
      <c r="CU57" s="372"/>
      <c r="CV57" s="203">
        <f t="shared" si="25"/>
        <v>0</v>
      </c>
      <c r="CW57" s="372"/>
      <c r="CX57" s="372"/>
      <c r="CY57" s="372">
        <f>Roles!$D$7</f>
        <v>0.12</v>
      </c>
      <c r="CZ57" s="372"/>
      <c r="DA57" s="203">
        <f t="shared" si="26"/>
        <v>0</v>
      </c>
      <c r="DB57" s="372"/>
      <c r="DC57" s="372"/>
      <c r="DD57" s="372">
        <f>Roles!$D$7</f>
        <v>0.12</v>
      </c>
      <c r="DE57" s="372"/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 t="shared" si="1"/>
        <v>3</v>
      </c>
      <c r="F58" s="246">
        <f>SUM(F59:F61)</f>
        <v>22</v>
      </c>
      <c r="G58" s="105">
        <f t="shared" si="2"/>
        <v>0.01894918174</v>
      </c>
      <c r="H58" s="226">
        <f>H61</f>
        <v>0.1447028424</v>
      </c>
      <c r="I58" s="247">
        <f>SUM(I59:I61)</f>
        <v>78</v>
      </c>
      <c r="J58" s="247">
        <f>J61</f>
        <v>418</v>
      </c>
      <c r="K58" s="167">
        <f t="shared" si="3"/>
        <v>0.3673110721</v>
      </c>
      <c r="L58" s="247">
        <f>SUM(L59:L61)</f>
        <v>34.32</v>
      </c>
      <c r="M58" s="247">
        <f>M61</f>
        <v>183.92</v>
      </c>
      <c r="N58" s="323" t="str">
        <f t="shared" si="6"/>
        <v>#REF!</v>
      </c>
      <c r="O58" s="203">
        <f t="shared" si="7"/>
        <v>0</v>
      </c>
      <c r="P58" s="372"/>
      <c r="Q58" s="372"/>
      <c r="R58" s="372">
        <f>Roles!$D$5</f>
        <v>0.44</v>
      </c>
      <c r="S58" s="372">
        <f t="shared" si="8"/>
        <v>0</v>
      </c>
      <c r="T58" s="203">
        <f t="shared" si="9"/>
        <v>0</v>
      </c>
      <c r="U58" s="372"/>
      <c r="V58" s="372"/>
      <c r="W58" s="372">
        <f>Roles!$D$7</f>
        <v>0.12</v>
      </c>
      <c r="X58" s="372"/>
      <c r="Y58" s="203">
        <f t="shared" si="10"/>
        <v>0</v>
      </c>
      <c r="Z58" s="372"/>
      <c r="AA58" s="372"/>
      <c r="AB58" s="372">
        <f>Roles!$D$7</f>
        <v>0.12</v>
      </c>
      <c r="AC58" s="372"/>
      <c r="AD58" s="203">
        <f t="shared" si="11"/>
        <v>0</v>
      </c>
      <c r="AE58" s="372"/>
      <c r="AF58" s="372"/>
      <c r="AG58" s="372">
        <f>Roles!$D$7</f>
        <v>0.12</v>
      </c>
      <c r="AH58" s="372"/>
      <c r="AI58" s="203">
        <f t="shared" si="12"/>
        <v>0</v>
      </c>
      <c r="AJ58" s="372"/>
      <c r="AK58" s="372"/>
      <c r="AL58" s="372">
        <f>Roles!$D$7</f>
        <v>0.12</v>
      </c>
      <c r="AM58" s="372"/>
      <c r="AN58" s="203">
        <f t="shared" si="13"/>
        <v>0</v>
      </c>
      <c r="AO58" s="372"/>
      <c r="AP58" s="372"/>
      <c r="AQ58" s="372">
        <f>Roles!$D$7</f>
        <v>0.12</v>
      </c>
      <c r="AR58" s="372"/>
      <c r="AS58" s="203">
        <f t="shared" si="14"/>
        <v>0</v>
      </c>
      <c r="AT58" s="372"/>
      <c r="AU58" s="372"/>
      <c r="AV58" s="372">
        <f>Roles!$D$7</f>
        <v>0.12</v>
      </c>
      <c r="AW58" s="372"/>
      <c r="AX58" s="203">
        <f t="shared" si="15"/>
        <v>0</v>
      </c>
      <c r="AY58" s="372"/>
      <c r="AZ58" s="372"/>
      <c r="BA58" s="372">
        <f>Roles!$D$7</f>
        <v>0.12</v>
      </c>
      <c r="BB58" s="372"/>
      <c r="BC58" s="203">
        <f t="shared" si="16"/>
        <v>0</v>
      </c>
      <c r="BD58" s="372"/>
      <c r="BE58" s="372"/>
      <c r="BF58" s="372">
        <f>Roles!$D$7</f>
        <v>0.12</v>
      </c>
      <c r="BG58" s="372"/>
      <c r="BH58" s="203">
        <f t="shared" si="17"/>
        <v>0</v>
      </c>
      <c r="BI58" s="372"/>
      <c r="BJ58" s="372"/>
      <c r="BK58" s="372">
        <f>Roles!$D$7</f>
        <v>0.12</v>
      </c>
      <c r="BL58" s="372"/>
      <c r="BM58" s="203">
        <f t="shared" si="18"/>
        <v>0</v>
      </c>
      <c r="BN58" s="372"/>
      <c r="BO58" s="372"/>
      <c r="BP58" s="372">
        <f>Roles!$D$7</f>
        <v>0.12</v>
      </c>
      <c r="BQ58" s="372"/>
      <c r="BR58" s="203">
        <f t="shared" si="19"/>
        <v>0</v>
      </c>
      <c r="BS58" s="372"/>
      <c r="BT58" s="372"/>
      <c r="BU58" s="372">
        <f>Roles!$D$7</f>
        <v>0.12</v>
      </c>
      <c r="BV58" s="372"/>
      <c r="BW58" s="203">
        <f t="shared" si="20"/>
        <v>0</v>
      </c>
      <c r="BX58" s="372"/>
      <c r="BY58" s="372"/>
      <c r="BZ58" s="372">
        <f>Roles!$D$7</f>
        <v>0.12</v>
      </c>
      <c r="CA58" s="372"/>
      <c r="CB58" s="203">
        <f t="shared" si="21"/>
        <v>0</v>
      </c>
      <c r="CC58" s="372"/>
      <c r="CD58" s="372"/>
      <c r="CE58" s="372">
        <f>Roles!$D$7</f>
        <v>0.12</v>
      </c>
      <c r="CF58" s="372"/>
      <c r="CG58" s="203">
        <f t="shared" si="22"/>
        <v>0</v>
      </c>
      <c r="CH58" s="372"/>
      <c r="CI58" s="372"/>
      <c r="CJ58" s="372">
        <f>Roles!$D$7</f>
        <v>0.12</v>
      </c>
      <c r="CK58" s="372"/>
      <c r="CL58" s="203">
        <f t="shared" si="23"/>
        <v>0</v>
      </c>
      <c r="CM58" s="372"/>
      <c r="CN58" s="372"/>
      <c r="CO58" s="372">
        <f>Roles!$D$7</f>
        <v>0.12</v>
      </c>
      <c r="CP58" s="372"/>
      <c r="CQ58" s="203">
        <f t="shared" si="24"/>
        <v>0</v>
      </c>
      <c r="CR58" s="372"/>
      <c r="CS58" s="372"/>
      <c r="CT58" s="372">
        <f>Roles!$D$7</f>
        <v>0.12</v>
      </c>
      <c r="CU58" s="372"/>
      <c r="CV58" s="203">
        <f t="shared" si="25"/>
        <v>0</v>
      </c>
      <c r="CW58" s="372"/>
      <c r="CX58" s="372"/>
      <c r="CY58" s="372">
        <f>Roles!$D$7</f>
        <v>0.12</v>
      </c>
      <c r="CZ58" s="372"/>
      <c r="DA58" s="203">
        <f t="shared" si="26"/>
        <v>0</v>
      </c>
      <c r="DB58" s="372"/>
      <c r="DC58" s="372"/>
      <c r="DD58" s="372">
        <f>Roles!$D$7</f>
        <v>0.12</v>
      </c>
      <c r="DE58" s="372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 t="shared" si="1"/>
        <v>3</v>
      </c>
      <c r="F59" s="80">
        <v>10.0</v>
      </c>
      <c r="G59" s="105">
        <f t="shared" si="2"/>
        <v>0.008613264427</v>
      </c>
      <c r="H59" s="47">
        <f>H57+G59</f>
        <v>0.1343669251</v>
      </c>
      <c r="I59" s="231">
        <f t="shared" ref="I59:I61" si="60">P59+U59+Z59+AE59+AJ59+AO59+AT59+AY59+BD59+BI59+BN59+BS59+BX59+CC59+CH59+CM59+CR59+CW59+DB59</f>
        <v>38</v>
      </c>
      <c r="J59" s="172">
        <f>J57+I59</f>
        <v>378</v>
      </c>
      <c r="K59" s="115">
        <f t="shared" si="3"/>
        <v>0.3321616872</v>
      </c>
      <c r="L59" s="232">
        <f t="shared" ref="L59:L61" si="61">S59+X59+AC59+AH59+AM59+AR59+AW59+BB59+BG59+BL59+BQ59+BV59+CA59+CF59+CK59+CP59+CU59+CZ59+DE59</f>
        <v>16.72</v>
      </c>
      <c r="M59" s="172">
        <f>M57+L59</f>
        <v>166.32</v>
      </c>
      <c r="N59" s="224" t="str">
        <f t="shared" si="6"/>
        <v>#REF!</v>
      </c>
      <c r="O59" s="203">
        <f t="shared" si="7"/>
        <v>3.8</v>
      </c>
      <c r="P59" s="378">
        <v>38.0</v>
      </c>
      <c r="Q59" s="372"/>
      <c r="R59" s="372">
        <f>Roles!$D$5</f>
        <v>0.44</v>
      </c>
      <c r="S59" s="372">
        <f t="shared" si="8"/>
        <v>16.72</v>
      </c>
      <c r="T59" s="203">
        <f t="shared" si="9"/>
        <v>0</v>
      </c>
      <c r="U59" s="372"/>
      <c r="V59" s="372"/>
      <c r="W59" s="372">
        <f>Roles!$D$7</f>
        <v>0.12</v>
      </c>
      <c r="X59" s="372"/>
      <c r="Y59" s="203">
        <f t="shared" si="10"/>
        <v>0</v>
      </c>
      <c r="Z59" s="372"/>
      <c r="AA59" s="372"/>
      <c r="AB59" s="372">
        <f>Roles!$D$7</f>
        <v>0.12</v>
      </c>
      <c r="AC59" s="372"/>
      <c r="AD59" s="203">
        <f t="shared" si="11"/>
        <v>0</v>
      </c>
      <c r="AE59" s="372"/>
      <c r="AF59" s="372"/>
      <c r="AG59" s="372">
        <f>Roles!$D$7</f>
        <v>0.12</v>
      </c>
      <c r="AH59" s="372"/>
      <c r="AI59" s="203">
        <f t="shared" si="12"/>
        <v>0</v>
      </c>
      <c r="AJ59" s="372"/>
      <c r="AK59" s="372"/>
      <c r="AL59" s="372">
        <f>Roles!$D$7</f>
        <v>0.12</v>
      </c>
      <c r="AM59" s="372"/>
      <c r="AN59" s="203">
        <f t="shared" si="13"/>
        <v>0</v>
      </c>
      <c r="AO59" s="372"/>
      <c r="AP59" s="372"/>
      <c r="AQ59" s="372">
        <f>Roles!$D$7</f>
        <v>0.12</v>
      </c>
      <c r="AR59" s="372"/>
      <c r="AS59" s="203">
        <f t="shared" si="14"/>
        <v>0</v>
      </c>
      <c r="AT59" s="372"/>
      <c r="AU59" s="372"/>
      <c r="AV59" s="372">
        <f>Roles!$D$7</f>
        <v>0.12</v>
      </c>
      <c r="AW59" s="372"/>
      <c r="AX59" s="203">
        <f t="shared" si="15"/>
        <v>0</v>
      </c>
      <c r="AY59" s="372"/>
      <c r="AZ59" s="372"/>
      <c r="BA59" s="372">
        <f>Roles!$D$7</f>
        <v>0.12</v>
      </c>
      <c r="BB59" s="372"/>
      <c r="BC59" s="203">
        <f t="shared" si="16"/>
        <v>0</v>
      </c>
      <c r="BD59" s="372"/>
      <c r="BE59" s="372"/>
      <c r="BF59" s="372">
        <f>Roles!$D$7</f>
        <v>0.12</v>
      </c>
      <c r="BG59" s="372"/>
      <c r="BH59" s="203">
        <f t="shared" si="17"/>
        <v>0</v>
      </c>
      <c r="BI59" s="372"/>
      <c r="BJ59" s="372"/>
      <c r="BK59" s="372">
        <f>Roles!$D$7</f>
        <v>0.12</v>
      </c>
      <c r="BL59" s="372"/>
      <c r="BM59" s="203">
        <f t="shared" si="18"/>
        <v>0</v>
      </c>
      <c r="BN59" s="372"/>
      <c r="BO59" s="372"/>
      <c r="BP59" s="372">
        <f>Roles!$D$7</f>
        <v>0.12</v>
      </c>
      <c r="BQ59" s="372"/>
      <c r="BR59" s="203">
        <f t="shared" si="19"/>
        <v>0</v>
      </c>
      <c r="BS59" s="372"/>
      <c r="BT59" s="372"/>
      <c r="BU59" s="372">
        <f>Roles!$D$7</f>
        <v>0.12</v>
      </c>
      <c r="BV59" s="372"/>
      <c r="BW59" s="203">
        <f t="shared" si="20"/>
        <v>0</v>
      </c>
      <c r="BX59" s="372"/>
      <c r="BY59" s="372"/>
      <c r="BZ59" s="372">
        <f>Roles!$D$7</f>
        <v>0.12</v>
      </c>
      <c r="CA59" s="372"/>
      <c r="CB59" s="203">
        <f t="shared" si="21"/>
        <v>0</v>
      </c>
      <c r="CC59" s="372"/>
      <c r="CD59" s="372"/>
      <c r="CE59" s="372">
        <f>Roles!$D$7</f>
        <v>0.12</v>
      </c>
      <c r="CF59" s="372"/>
      <c r="CG59" s="203">
        <f t="shared" si="22"/>
        <v>0</v>
      </c>
      <c r="CH59" s="372"/>
      <c r="CI59" s="372"/>
      <c r="CJ59" s="372">
        <f>Roles!$D$7</f>
        <v>0.12</v>
      </c>
      <c r="CK59" s="372"/>
      <c r="CL59" s="203">
        <f t="shared" si="23"/>
        <v>0</v>
      </c>
      <c r="CM59" s="372"/>
      <c r="CN59" s="372"/>
      <c r="CO59" s="372">
        <f>Roles!$D$7</f>
        <v>0.12</v>
      </c>
      <c r="CP59" s="372"/>
      <c r="CQ59" s="203">
        <f t="shared" si="24"/>
        <v>0</v>
      </c>
      <c r="CR59" s="372"/>
      <c r="CS59" s="372"/>
      <c r="CT59" s="372">
        <f>Roles!$D$7</f>
        <v>0.12</v>
      </c>
      <c r="CU59" s="372"/>
      <c r="CV59" s="203">
        <f t="shared" si="25"/>
        <v>0</v>
      </c>
      <c r="CW59" s="372"/>
      <c r="CX59" s="372"/>
      <c r="CY59" s="372">
        <f>Roles!$D$7</f>
        <v>0.12</v>
      </c>
      <c r="CZ59" s="372"/>
      <c r="DA59" s="203">
        <f t="shared" si="26"/>
        <v>0</v>
      </c>
      <c r="DB59" s="372"/>
      <c r="DC59" s="372"/>
      <c r="DD59" s="372">
        <f>Roles!$D$7</f>
        <v>0.12</v>
      </c>
      <c r="DE59" s="372"/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 t="shared" si="1"/>
        <v>2</v>
      </c>
      <c r="F60" s="80">
        <v>10.0</v>
      </c>
      <c r="G60" s="105">
        <f t="shared" si="2"/>
        <v>0.008613264427</v>
      </c>
      <c r="H60" s="47">
        <f t="shared" ref="H60:H61" si="62">H59+G60</f>
        <v>0.1429801895</v>
      </c>
      <c r="I60" s="231">
        <f t="shared" si="60"/>
        <v>38</v>
      </c>
      <c r="J60" s="172">
        <f t="shared" ref="J60:J61" si="63">J59+I60</f>
        <v>416</v>
      </c>
      <c r="K60" s="115">
        <f t="shared" si="3"/>
        <v>0.3655536028</v>
      </c>
      <c r="L60" s="232">
        <f t="shared" si="61"/>
        <v>16.72</v>
      </c>
      <c r="M60" s="172">
        <f t="shared" ref="M60:M61" si="64">M59+L60</f>
        <v>183.04</v>
      </c>
      <c r="N60" s="226" t="str">
        <f t="shared" si="6"/>
        <v>#REF!</v>
      </c>
      <c r="O60" s="203">
        <f t="shared" si="7"/>
        <v>3.8</v>
      </c>
      <c r="P60" s="378">
        <v>38.0</v>
      </c>
      <c r="Q60" s="372"/>
      <c r="R60" s="372">
        <f>Roles!$D$5</f>
        <v>0.44</v>
      </c>
      <c r="S60" s="372">
        <f t="shared" si="8"/>
        <v>16.72</v>
      </c>
      <c r="T60" s="203">
        <f t="shared" si="9"/>
        <v>0</v>
      </c>
      <c r="U60" s="372"/>
      <c r="V60" s="372"/>
      <c r="W60" s="372">
        <f>Roles!$D$7</f>
        <v>0.12</v>
      </c>
      <c r="X60" s="372"/>
      <c r="Y60" s="203">
        <f t="shared" si="10"/>
        <v>0</v>
      </c>
      <c r="Z60" s="372"/>
      <c r="AA60" s="372"/>
      <c r="AB60" s="372">
        <f>Roles!$D$7</f>
        <v>0.12</v>
      </c>
      <c r="AC60" s="372"/>
      <c r="AD60" s="203">
        <f t="shared" si="11"/>
        <v>0</v>
      </c>
      <c r="AE60" s="372"/>
      <c r="AF60" s="372"/>
      <c r="AG60" s="372">
        <f>Roles!$D$7</f>
        <v>0.12</v>
      </c>
      <c r="AH60" s="372"/>
      <c r="AI60" s="203">
        <f t="shared" si="12"/>
        <v>0</v>
      </c>
      <c r="AJ60" s="372"/>
      <c r="AK60" s="372"/>
      <c r="AL60" s="372">
        <f>Roles!$D$7</f>
        <v>0.12</v>
      </c>
      <c r="AM60" s="372"/>
      <c r="AN60" s="203">
        <f t="shared" si="13"/>
        <v>0</v>
      </c>
      <c r="AO60" s="372"/>
      <c r="AP60" s="372"/>
      <c r="AQ60" s="372">
        <f>Roles!$D$7</f>
        <v>0.12</v>
      </c>
      <c r="AR60" s="372"/>
      <c r="AS60" s="203">
        <f t="shared" si="14"/>
        <v>0</v>
      </c>
      <c r="AT60" s="372"/>
      <c r="AU60" s="372"/>
      <c r="AV60" s="372">
        <f>Roles!$D$7</f>
        <v>0.12</v>
      </c>
      <c r="AW60" s="372"/>
      <c r="AX60" s="203">
        <f t="shared" si="15"/>
        <v>0</v>
      </c>
      <c r="AY60" s="372"/>
      <c r="AZ60" s="372"/>
      <c r="BA60" s="372">
        <f>Roles!$D$7</f>
        <v>0.12</v>
      </c>
      <c r="BB60" s="372"/>
      <c r="BC60" s="203">
        <f t="shared" si="16"/>
        <v>0</v>
      </c>
      <c r="BD60" s="372"/>
      <c r="BE60" s="372"/>
      <c r="BF60" s="372">
        <f>Roles!$D$7</f>
        <v>0.12</v>
      </c>
      <c r="BG60" s="372"/>
      <c r="BH60" s="203">
        <f t="shared" si="17"/>
        <v>0</v>
      </c>
      <c r="BI60" s="372"/>
      <c r="BJ60" s="372"/>
      <c r="BK60" s="372">
        <f>Roles!$D$7</f>
        <v>0.12</v>
      </c>
      <c r="BL60" s="372"/>
      <c r="BM60" s="203">
        <f t="shared" si="18"/>
        <v>0</v>
      </c>
      <c r="BN60" s="372"/>
      <c r="BO60" s="372"/>
      <c r="BP60" s="372">
        <f>Roles!$D$7</f>
        <v>0.12</v>
      </c>
      <c r="BQ60" s="372"/>
      <c r="BR60" s="203">
        <f t="shared" si="19"/>
        <v>0</v>
      </c>
      <c r="BS60" s="372"/>
      <c r="BT60" s="372"/>
      <c r="BU60" s="372">
        <f>Roles!$D$7</f>
        <v>0.12</v>
      </c>
      <c r="BV60" s="372"/>
      <c r="BW60" s="203">
        <f t="shared" si="20"/>
        <v>0</v>
      </c>
      <c r="BX60" s="372"/>
      <c r="BY60" s="372"/>
      <c r="BZ60" s="372">
        <f>Roles!$D$7</f>
        <v>0.12</v>
      </c>
      <c r="CA60" s="372"/>
      <c r="CB60" s="203">
        <f t="shared" si="21"/>
        <v>0</v>
      </c>
      <c r="CC60" s="372"/>
      <c r="CD60" s="372"/>
      <c r="CE60" s="372">
        <f>Roles!$D$7</f>
        <v>0.12</v>
      </c>
      <c r="CF60" s="372"/>
      <c r="CG60" s="203">
        <f t="shared" si="22"/>
        <v>0</v>
      </c>
      <c r="CH60" s="372"/>
      <c r="CI60" s="372"/>
      <c r="CJ60" s="372">
        <f>Roles!$D$7</f>
        <v>0.12</v>
      </c>
      <c r="CK60" s="372"/>
      <c r="CL60" s="203">
        <f t="shared" si="23"/>
        <v>0</v>
      </c>
      <c r="CM60" s="372"/>
      <c r="CN60" s="372"/>
      <c r="CO60" s="372">
        <f>Roles!$D$7</f>
        <v>0.12</v>
      </c>
      <c r="CP60" s="372"/>
      <c r="CQ60" s="203">
        <f t="shared" si="24"/>
        <v>0</v>
      </c>
      <c r="CR60" s="372"/>
      <c r="CS60" s="372"/>
      <c r="CT60" s="372">
        <f>Roles!$D$7</f>
        <v>0.12</v>
      </c>
      <c r="CU60" s="372"/>
      <c r="CV60" s="203">
        <f t="shared" si="25"/>
        <v>0</v>
      </c>
      <c r="CW60" s="372"/>
      <c r="CX60" s="372"/>
      <c r="CY60" s="372">
        <f>Roles!$D$7</f>
        <v>0.12</v>
      </c>
      <c r="CZ60" s="372"/>
      <c r="DA60" s="203">
        <f t="shared" si="26"/>
        <v>0</v>
      </c>
      <c r="DB60" s="372"/>
      <c r="DC60" s="372"/>
      <c r="DD60" s="372">
        <f>Roles!$D$7</f>
        <v>0.12</v>
      </c>
      <c r="DE60" s="372"/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 t="shared" si="1"/>
        <v>1</v>
      </c>
      <c r="F61" s="80">
        <v>2.0</v>
      </c>
      <c r="G61" s="105">
        <f t="shared" si="2"/>
        <v>0.001722652885</v>
      </c>
      <c r="H61" s="47">
        <f t="shared" si="62"/>
        <v>0.1447028424</v>
      </c>
      <c r="I61" s="231">
        <f t="shared" si="60"/>
        <v>2</v>
      </c>
      <c r="J61" s="172">
        <f t="shared" si="63"/>
        <v>418</v>
      </c>
      <c r="K61" s="115">
        <f t="shared" si="3"/>
        <v>0.3673110721</v>
      </c>
      <c r="L61" s="232">
        <f t="shared" si="61"/>
        <v>0.88</v>
      </c>
      <c r="M61" s="172">
        <f t="shared" si="64"/>
        <v>183.92</v>
      </c>
      <c r="N61" s="115" t="str">
        <f t="shared" si="6"/>
        <v>#REF!</v>
      </c>
      <c r="O61" s="203">
        <f t="shared" si="7"/>
        <v>1</v>
      </c>
      <c r="P61" s="378">
        <v>2.0</v>
      </c>
      <c r="Q61" s="372"/>
      <c r="R61" s="372">
        <f>Roles!$D$5</f>
        <v>0.44</v>
      </c>
      <c r="S61" s="372">
        <f t="shared" si="8"/>
        <v>0.88</v>
      </c>
      <c r="T61" s="203">
        <f t="shared" si="9"/>
        <v>0</v>
      </c>
      <c r="U61" s="372"/>
      <c r="V61" s="372"/>
      <c r="W61" s="372">
        <f>Roles!$D$7</f>
        <v>0.12</v>
      </c>
      <c r="X61" s="372"/>
      <c r="Y61" s="203">
        <f t="shared" si="10"/>
        <v>0</v>
      </c>
      <c r="Z61" s="372"/>
      <c r="AA61" s="372"/>
      <c r="AB61" s="372">
        <f>Roles!$D$7</f>
        <v>0.12</v>
      </c>
      <c r="AC61" s="372"/>
      <c r="AD61" s="203">
        <f t="shared" si="11"/>
        <v>0</v>
      </c>
      <c r="AE61" s="372"/>
      <c r="AF61" s="372"/>
      <c r="AG61" s="372">
        <f>Roles!$D$7</f>
        <v>0.12</v>
      </c>
      <c r="AH61" s="372"/>
      <c r="AI61" s="203">
        <f t="shared" si="12"/>
        <v>0</v>
      </c>
      <c r="AJ61" s="372"/>
      <c r="AK61" s="372"/>
      <c r="AL61" s="372">
        <f>Roles!$D$7</f>
        <v>0.12</v>
      </c>
      <c r="AM61" s="372"/>
      <c r="AN61" s="203">
        <f t="shared" si="13"/>
        <v>0</v>
      </c>
      <c r="AO61" s="372"/>
      <c r="AP61" s="372"/>
      <c r="AQ61" s="372">
        <f>Roles!$D$7</f>
        <v>0.12</v>
      </c>
      <c r="AR61" s="372"/>
      <c r="AS61" s="203">
        <f t="shared" si="14"/>
        <v>0</v>
      </c>
      <c r="AT61" s="372"/>
      <c r="AU61" s="372"/>
      <c r="AV61" s="372">
        <f>Roles!$D$7</f>
        <v>0.12</v>
      </c>
      <c r="AW61" s="372"/>
      <c r="AX61" s="203">
        <f t="shared" si="15"/>
        <v>0</v>
      </c>
      <c r="AY61" s="372"/>
      <c r="AZ61" s="372"/>
      <c r="BA61" s="372">
        <f>Roles!$D$7</f>
        <v>0.12</v>
      </c>
      <c r="BB61" s="372"/>
      <c r="BC61" s="203">
        <f t="shared" si="16"/>
        <v>0</v>
      </c>
      <c r="BD61" s="372"/>
      <c r="BE61" s="372"/>
      <c r="BF61" s="372">
        <f>Roles!$D$7</f>
        <v>0.12</v>
      </c>
      <c r="BG61" s="372"/>
      <c r="BH61" s="203">
        <f t="shared" si="17"/>
        <v>0</v>
      </c>
      <c r="BI61" s="372"/>
      <c r="BJ61" s="372"/>
      <c r="BK61" s="372">
        <f>Roles!$D$7</f>
        <v>0.12</v>
      </c>
      <c r="BL61" s="372"/>
      <c r="BM61" s="203">
        <f t="shared" si="18"/>
        <v>0</v>
      </c>
      <c r="BN61" s="372"/>
      <c r="BO61" s="372"/>
      <c r="BP61" s="372">
        <f>Roles!$D$7</f>
        <v>0.12</v>
      </c>
      <c r="BQ61" s="372"/>
      <c r="BR61" s="203">
        <f t="shared" si="19"/>
        <v>0</v>
      </c>
      <c r="BS61" s="372"/>
      <c r="BT61" s="372"/>
      <c r="BU61" s="372">
        <f>Roles!$D$7</f>
        <v>0.12</v>
      </c>
      <c r="BV61" s="372"/>
      <c r="BW61" s="203">
        <f t="shared" si="20"/>
        <v>0</v>
      </c>
      <c r="BX61" s="372"/>
      <c r="BY61" s="372"/>
      <c r="BZ61" s="372">
        <f>Roles!$D$7</f>
        <v>0.12</v>
      </c>
      <c r="CA61" s="372"/>
      <c r="CB61" s="203">
        <f t="shared" si="21"/>
        <v>0</v>
      </c>
      <c r="CC61" s="372"/>
      <c r="CD61" s="372"/>
      <c r="CE61" s="372">
        <f>Roles!$D$7</f>
        <v>0.12</v>
      </c>
      <c r="CF61" s="372"/>
      <c r="CG61" s="203">
        <f t="shared" si="22"/>
        <v>0</v>
      </c>
      <c r="CH61" s="372"/>
      <c r="CI61" s="372"/>
      <c r="CJ61" s="372">
        <f>Roles!$D$7</f>
        <v>0.12</v>
      </c>
      <c r="CK61" s="372"/>
      <c r="CL61" s="203">
        <f t="shared" si="23"/>
        <v>0</v>
      </c>
      <c r="CM61" s="372"/>
      <c r="CN61" s="372"/>
      <c r="CO61" s="372">
        <f>Roles!$D$7</f>
        <v>0.12</v>
      </c>
      <c r="CP61" s="372"/>
      <c r="CQ61" s="203">
        <f t="shared" si="24"/>
        <v>0</v>
      </c>
      <c r="CR61" s="372"/>
      <c r="CS61" s="372"/>
      <c r="CT61" s="372">
        <f>Roles!$D$7</f>
        <v>0.12</v>
      </c>
      <c r="CU61" s="372"/>
      <c r="CV61" s="203">
        <f t="shared" si="25"/>
        <v>0</v>
      </c>
      <c r="CW61" s="372"/>
      <c r="CX61" s="372"/>
      <c r="CY61" s="372">
        <f>Roles!$D$7</f>
        <v>0.12</v>
      </c>
      <c r="CZ61" s="372"/>
      <c r="DA61" s="203">
        <f t="shared" si="26"/>
        <v>0</v>
      </c>
      <c r="DB61" s="372"/>
      <c r="DC61" s="372"/>
      <c r="DD61" s="372">
        <f>Roles!$D$7</f>
        <v>0.12</v>
      </c>
      <c r="DE61" s="372"/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 t="shared" si="1"/>
        <v>3</v>
      </c>
      <c r="F62" s="246">
        <f>SUM(F63:F65)</f>
        <v>25</v>
      </c>
      <c r="G62" s="105">
        <f t="shared" si="2"/>
        <v>0.02153316107</v>
      </c>
      <c r="H62" s="226">
        <f>H65</f>
        <v>0.1662360034</v>
      </c>
      <c r="I62" s="247">
        <f>SUM(I63:I65)</f>
        <v>43</v>
      </c>
      <c r="J62" s="247">
        <f>J65</f>
        <v>461</v>
      </c>
      <c r="K62" s="167">
        <f t="shared" si="3"/>
        <v>0.4050966608</v>
      </c>
      <c r="L62" s="247">
        <f>SUM(L63:L65)</f>
        <v>18.92</v>
      </c>
      <c r="M62" s="247">
        <f>M65</f>
        <v>202.84</v>
      </c>
      <c r="N62" s="282" t="str">
        <f t="shared" si="6"/>
        <v>#REF!</v>
      </c>
      <c r="O62" s="203">
        <f t="shared" si="7"/>
        <v>0</v>
      </c>
      <c r="P62" s="372"/>
      <c r="Q62" s="372"/>
      <c r="R62" s="372">
        <f>Roles!$D$5</f>
        <v>0.44</v>
      </c>
      <c r="S62" s="372">
        <f t="shared" si="8"/>
        <v>0</v>
      </c>
      <c r="T62" s="203">
        <f t="shared" si="9"/>
        <v>0</v>
      </c>
      <c r="U62" s="372"/>
      <c r="V62" s="372"/>
      <c r="W62" s="372">
        <f>Roles!$D$7</f>
        <v>0.12</v>
      </c>
      <c r="X62" s="372"/>
      <c r="Y62" s="203">
        <f t="shared" si="10"/>
        <v>0</v>
      </c>
      <c r="Z62" s="372"/>
      <c r="AA62" s="372"/>
      <c r="AB62" s="372">
        <f>Roles!$D$7</f>
        <v>0.12</v>
      </c>
      <c r="AC62" s="372"/>
      <c r="AD62" s="203">
        <f t="shared" si="11"/>
        <v>0</v>
      </c>
      <c r="AE62" s="372"/>
      <c r="AF62" s="372"/>
      <c r="AG62" s="372">
        <f>Roles!$D$7</f>
        <v>0.12</v>
      </c>
      <c r="AH62" s="372"/>
      <c r="AI62" s="203">
        <f t="shared" si="12"/>
        <v>0</v>
      </c>
      <c r="AJ62" s="372"/>
      <c r="AK62" s="372"/>
      <c r="AL62" s="372">
        <f>Roles!$D$7</f>
        <v>0.12</v>
      </c>
      <c r="AM62" s="372"/>
      <c r="AN62" s="203">
        <f t="shared" si="13"/>
        <v>0</v>
      </c>
      <c r="AO62" s="372"/>
      <c r="AP62" s="372"/>
      <c r="AQ62" s="372">
        <f>Roles!$D$7</f>
        <v>0.12</v>
      </c>
      <c r="AR62" s="372"/>
      <c r="AS62" s="203">
        <f t="shared" si="14"/>
        <v>0</v>
      </c>
      <c r="AT62" s="372"/>
      <c r="AU62" s="372"/>
      <c r="AV62" s="372">
        <f>Roles!$D$7</f>
        <v>0.12</v>
      </c>
      <c r="AW62" s="372"/>
      <c r="AX62" s="203">
        <f t="shared" si="15"/>
        <v>0</v>
      </c>
      <c r="AY62" s="372"/>
      <c r="AZ62" s="372"/>
      <c r="BA62" s="372">
        <f>Roles!$D$7</f>
        <v>0.12</v>
      </c>
      <c r="BB62" s="372"/>
      <c r="BC62" s="203">
        <f t="shared" si="16"/>
        <v>0</v>
      </c>
      <c r="BD62" s="372"/>
      <c r="BE62" s="372"/>
      <c r="BF62" s="372">
        <f>Roles!$D$7</f>
        <v>0.12</v>
      </c>
      <c r="BG62" s="372"/>
      <c r="BH62" s="203">
        <f t="shared" si="17"/>
        <v>0</v>
      </c>
      <c r="BI62" s="372"/>
      <c r="BJ62" s="372"/>
      <c r="BK62" s="372">
        <f>Roles!$D$7</f>
        <v>0.12</v>
      </c>
      <c r="BL62" s="372"/>
      <c r="BM62" s="203">
        <f t="shared" si="18"/>
        <v>0</v>
      </c>
      <c r="BN62" s="372"/>
      <c r="BO62" s="372"/>
      <c r="BP62" s="372">
        <f>Roles!$D$7</f>
        <v>0.12</v>
      </c>
      <c r="BQ62" s="372"/>
      <c r="BR62" s="203">
        <f t="shared" si="19"/>
        <v>0</v>
      </c>
      <c r="BS62" s="372"/>
      <c r="BT62" s="372"/>
      <c r="BU62" s="372">
        <f>Roles!$D$7</f>
        <v>0.12</v>
      </c>
      <c r="BV62" s="372"/>
      <c r="BW62" s="203">
        <f t="shared" si="20"/>
        <v>0</v>
      </c>
      <c r="BX62" s="372"/>
      <c r="BY62" s="372"/>
      <c r="BZ62" s="372">
        <f>Roles!$D$7</f>
        <v>0.12</v>
      </c>
      <c r="CA62" s="372"/>
      <c r="CB62" s="203">
        <f t="shared" si="21"/>
        <v>0</v>
      </c>
      <c r="CC62" s="372"/>
      <c r="CD62" s="372"/>
      <c r="CE62" s="372">
        <f>Roles!$D$7</f>
        <v>0.12</v>
      </c>
      <c r="CF62" s="372"/>
      <c r="CG62" s="203">
        <f t="shared" si="22"/>
        <v>0</v>
      </c>
      <c r="CH62" s="372"/>
      <c r="CI62" s="372"/>
      <c r="CJ62" s="372">
        <f>Roles!$D$7</f>
        <v>0.12</v>
      </c>
      <c r="CK62" s="372"/>
      <c r="CL62" s="203">
        <f t="shared" si="23"/>
        <v>0</v>
      </c>
      <c r="CM62" s="372"/>
      <c r="CN62" s="372"/>
      <c r="CO62" s="372">
        <f>Roles!$D$7</f>
        <v>0.12</v>
      </c>
      <c r="CP62" s="372"/>
      <c r="CQ62" s="203">
        <f t="shared" si="24"/>
        <v>0</v>
      </c>
      <c r="CR62" s="372"/>
      <c r="CS62" s="372"/>
      <c r="CT62" s="372">
        <f>Roles!$D$7</f>
        <v>0.12</v>
      </c>
      <c r="CU62" s="372"/>
      <c r="CV62" s="203">
        <f t="shared" si="25"/>
        <v>0</v>
      </c>
      <c r="CW62" s="372"/>
      <c r="CX62" s="372"/>
      <c r="CY62" s="372">
        <f>Roles!$D$7</f>
        <v>0.12</v>
      </c>
      <c r="CZ62" s="372"/>
      <c r="DA62" s="203">
        <f t="shared" si="26"/>
        <v>0</v>
      </c>
      <c r="DB62" s="372"/>
      <c r="DC62" s="372"/>
      <c r="DD62" s="372">
        <f>Roles!$D$7</f>
        <v>0.12</v>
      </c>
      <c r="DE62" s="372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 t="shared" si="1"/>
        <v>2</v>
      </c>
      <c r="F63" s="80">
        <v>10.0</v>
      </c>
      <c r="G63" s="105">
        <f t="shared" si="2"/>
        <v>0.008613264427</v>
      </c>
      <c r="H63" s="47">
        <f>H61+G63</f>
        <v>0.1533161068</v>
      </c>
      <c r="I63" s="231">
        <f t="shared" ref="I63:I65" si="65">P63+U63+Z63+AE63+AJ63+AO63+AT63+AY63+BD63+BI63+BN63+BS63+BX63+CC63+CH63+CM63+CR63+CW63+DB63</f>
        <v>20</v>
      </c>
      <c r="J63" s="172">
        <f>J61+I63</f>
        <v>438</v>
      </c>
      <c r="K63" s="115">
        <f t="shared" si="3"/>
        <v>0.3848857645</v>
      </c>
      <c r="L63" s="232">
        <f t="shared" ref="L63:L65" si="66">S63+X63+AC63+AH63+AM63+AR63+AW63+BB63+BG63+BL63+BQ63+BV63+CA63+CF63+CK63+CP63+CU63+CZ63+DE63</f>
        <v>8.8</v>
      </c>
      <c r="M63" s="172">
        <f>M61+L63</f>
        <v>192.72</v>
      </c>
      <c r="N63" s="115" t="str">
        <f t="shared" si="6"/>
        <v>#REF!</v>
      </c>
      <c r="O63" s="203">
        <f t="shared" si="7"/>
        <v>2</v>
      </c>
      <c r="P63" s="378">
        <v>20.0</v>
      </c>
      <c r="Q63" s="372"/>
      <c r="R63" s="372">
        <f>Roles!$D$5</f>
        <v>0.44</v>
      </c>
      <c r="S63" s="372">
        <f t="shared" si="8"/>
        <v>8.8</v>
      </c>
      <c r="T63" s="203">
        <f t="shared" si="9"/>
        <v>0</v>
      </c>
      <c r="U63" s="372"/>
      <c r="V63" s="372"/>
      <c r="W63" s="372">
        <f>Roles!$D$7</f>
        <v>0.12</v>
      </c>
      <c r="X63" s="372"/>
      <c r="Y63" s="203">
        <f t="shared" si="10"/>
        <v>0</v>
      </c>
      <c r="Z63" s="372"/>
      <c r="AA63" s="372"/>
      <c r="AB63" s="372">
        <f>Roles!$D$7</f>
        <v>0.12</v>
      </c>
      <c r="AC63" s="372"/>
      <c r="AD63" s="203">
        <f t="shared" si="11"/>
        <v>0</v>
      </c>
      <c r="AE63" s="372"/>
      <c r="AF63" s="372"/>
      <c r="AG63" s="372">
        <f>Roles!$D$7</f>
        <v>0.12</v>
      </c>
      <c r="AH63" s="372"/>
      <c r="AI63" s="203">
        <f t="shared" si="12"/>
        <v>0</v>
      </c>
      <c r="AJ63" s="372"/>
      <c r="AK63" s="372"/>
      <c r="AL63" s="372">
        <f>Roles!$D$7</f>
        <v>0.12</v>
      </c>
      <c r="AM63" s="372"/>
      <c r="AN63" s="203">
        <f t="shared" si="13"/>
        <v>0</v>
      </c>
      <c r="AO63" s="372"/>
      <c r="AP63" s="372"/>
      <c r="AQ63" s="372">
        <f>Roles!$D$7</f>
        <v>0.12</v>
      </c>
      <c r="AR63" s="372"/>
      <c r="AS63" s="203">
        <f t="shared" si="14"/>
        <v>0</v>
      </c>
      <c r="AT63" s="372"/>
      <c r="AU63" s="372"/>
      <c r="AV63" s="372">
        <f>Roles!$D$7</f>
        <v>0.12</v>
      </c>
      <c r="AW63" s="372"/>
      <c r="AX63" s="203">
        <f t="shared" si="15"/>
        <v>0</v>
      </c>
      <c r="AY63" s="372"/>
      <c r="AZ63" s="372"/>
      <c r="BA63" s="372">
        <f>Roles!$D$7</f>
        <v>0.12</v>
      </c>
      <c r="BB63" s="372"/>
      <c r="BC63" s="203">
        <f t="shared" si="16"/>
        <v>0</v>
      </c>
      <c r="BD63" s="372"/>
      <c r="BE63" s="372"/>
      <c r="BF63" s="372">
        <f>Roles!$D$7</f>
        <v>0.12</v>
      </c>
      <c r="BG63" s="372"/>
      <c r="BH63" s="203">
        <f t="shared" si="17"/>
        <v>0</v>
      </c>
      <c r="BI63" s="372"/>
      <c r="BJ63" s="372"/>
      <c r="BK63" s="372">
        <f>Roles!$D$7</f>
        <v>0.12</v>
      </c>
      <c r="BL63" s="372"/>
      <c r="BM63" s="203">
        <f t="shared" si="18"/>
        <v>0</v>
      </c>
      <c r="BN63" s="372"/>
      <c r="BO63" s="372"/>
      <c r="BP63" s="372">
        <f>Roles!$D$7</f>
        <v>0.12</v>
      </c>
      <c r="BQ63" s="372"/>
      <c r="BR63" s="203">
        <f t="shared" si="19"/>
        <v>0</v>
      </c>
      <c r="BS63" s="372"/>
      <c r="BT63" s="372"/>
      <c r="BU63" s="372">
        <f>Roles!$D$7</f>
        <v>0.12</v>
      </c>
      <c r="BV63" s="372"/>
      <c r="BW63" s="203">
        <f t="shared" si="20"/>
        <v>0</v>
      </c>
      <c r="BX63" s="372"/>
      <c r="BY63" s="372"/>
      <c r="BZ63" s="372">
        <f>Roles!$D$7</f>
        <v>0.12</v>
      </c>
      <c r="CA63" s="372"/>
      <c r="CB63" s="203">
        <f t="shared" si="21"/>
        <v>0</v>
      </c>
      <c r="CC63" s="372"/>
      <c r="CD63" s="372"/>
      <c r="CE63" s="372">
        <f>Roles!$D$7</f>
        <v>0.12</v>
      </c>
      <c r="CF63" s="372"/>
      <c r="CG63" s="203">
        <f t="shared" si="22"/>
        <v>0</v>
      </c>
      <c r="CH63" s="372"/>
      <c r="CI63" s="372"/>
      <c r="CJ63" s="372">
        <f>Roles!$D$7</f>
        <v>0.12</v>
      </c>
      <c r="CK63" s="372"/>
      <c r="CL63" s="203">
        <f t="shared" si="23"/>
        <v>0</v>
      </c>
      <c r="CM63" s="372"/>
      <c r="CN63" s="372"/>
      <c r="CO63" s="372">
        <f>Roles!$D$7</f>
        <v>0.12</v>
      </c>
      <c r="CP63" s="372"/>
      <c r="CQ63" s="203">
        <f t="shared" si="24"/>
        <v>0</v>
      </c>
      <c r="CR63" s="372"/>
      <c r="CS63" s="372"/>
      <c r="CT63" s="372">
        <f>Roles!$D$7</f>
        <v>0.12</v>
      </c>
      <c r="CU63" s="372"/>
      <c r="CV63" s="203">
        <f t="shared" si="25"/>
        <v>0</v>
      </c>
      <c r="CW63" s="372"/>
      <c r="CX63" s="372"/>
      <c r="CY63" s="372">
        <f>Roles!$D$7</f>
        <v>0.12</v>
      </c>
      <c r="CZ63" s="372"/>
      <c r="DA63" s="203">
        <f t="shared" si="26"/>
        <v>0</v>
      </c>
      <c r="DB63" s="372"/>
      <c r="DC63" s="372"/>
      <c r="DD63" s="372">
        <f>Roles!$D$7</f>
        <v>0.12</v>
      </c>
      <c r="DE63" s="372"/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 t="shared" si="1"/>
        <v>2</v>
      </c>
      <c r="F64" s="80">
        <v>10.0</v>
      </c>
      <c r="G64" s="105">
        <f t="shared" si="2"/>
        <v>0.008613264427</v>
      </c>
      <c r="H64" s="47">
        <f t="shared" ref="H64:H65" si="67">H63+G64</f>
        <v>0.1619293712</v>
      </c>
      <c r="I64" s="231">
        <f t="shared" si="65"/>
        <v>20</v>
      </c>
      <c r="J64" s="172">
        <f t="shared" ref="J64:J65" si="68">J63+I64</f>
        <v>458</v>
      </c>
      <c r="K64" s="115">
        <f t="shared" si="3"/>
        <v>0.4024604569</v>
      </c>
      <c r="L64" s="232">
        <f t="shared" si="66"/>
        <v>8.8</v>
      </c>
      <c r="M64" s="172">
        <f t="shared" ref="M64:M65" si="69">M63+L64</f>
        <v>201.52</v>
      </c>
      <c r="N64" s="138" t="str">
        <f t="shared" si="6"/>
        <v>#REF!</v>
      </c>
      <c r="O64" s="203">
        <f t="shared" si="7"/>
        <v>2</v>
      </c>
      <c r="P64" s="378">
        <v>20.0</v>
      </c>
      <c r="Q64" s="372"/>
      <c r="R64" s="372">
        <f>Roles!$D$5</f>
        <v>0.44</v>
      </c>
      <c r="S64" s="372">
        <f t="shared" si="8"/>
        <v>8.8</v>
      </c>
      <c r="T64" s="203">
        <f t="shared" si="9"/>
        <v>0</v>
      </c>
      <c r="U64" s="372"/>
      <c r="V64" s="372"/>
      <c r="W64" s="372">
        <f>Roles!$D$7</f>
        <v>0.12</v>
      </c>
      <c r="X64" s="372"/>
      <c r="Y64" s="203">
        <f t="shared" si="10"/>
        <v>0</v>
      </c>
      <c r="Z64" s="372"/>
      <c r="AA64" s="372"/>
      <c r="AB64" s="372">
        <f>Roles!$D$7</f>
        <v>0.12</v>
      </c>
      <c r="AC64" s="372"/>
      <c r="AD64" s="203">
        <f t="shared" si="11"/>
        <v>0</v>
      </c>
      <c r="AE64" s="372"/>
      <c r="AF64" s="372"/>
      <c r="AG64" s="372">
        <f>Roles!$D$7</f>
        <v>0.12</v>
      </c>
      <c r="AH64" s="372"/>
      <c r="AI64" s="203">
        <f t="shared" si="12"/>
        <v>0</v>
      </c>
      <c r="AJ64" s="372"/>
      <c r="AK64" s="372"/>
      <c r="AL64" s="372">
        <f>Roles!$D$7</f>
        <v>0.12</v>
      </c>
      <c r="AM64" s="372"/>
      <c r="AN64" s="203">
        <f t="shared" si="13"/>
        <v>0</v>
      </c>
      <c r="AO64" s="372"/>
      <c r="AP64" s="372"/>
      <c r="AQ64" s="372">
        <f>Roles!$D$7</f>
        <v>0.12</v>
      </c>
      <c r="AR64" s="372"/>
      <c r="AS64" s="203">
        <f t="shared" si="14"/>
        <v>0</v>
      </c>
      <c r="AT64" s="372"/>
      <c r="AU64" s="372"/>
      <c r="AV64" s="372">
        <f>Roles!$D$7</f>
        <v>0.12</v>
      </c>
      <c r="AW64" s="372"/>
      <c r="AX64" s="203">
        <f t="shared" si="15"/>
        <v>0</v>
      </c>
      <c r="AY64" s="372"/>
      <c r="AZ64" s="372"/>
      <c r="BA64" s="372">
        <f>Roles!$D$7</f>
        <v>0.12</v>
      </c>
      <c r="BB64" s="372"/>
      <c r="BC64" s="203">
        <f t="shared" si="16"/>
        <v>0</v>
      </c>
      <c r="BD64" s="372"/>
      <c r="BE64" s="372"/>
      <c r="BF64" s="372">
        <f>Roles!$D$7</f>
        <v>0.12</v>
      </c>
      <c r="BG64" s="372"/>
      <c r="BH64" s="203">
        <f t="shared" si="17"/>
        <v>0</v>
      </c>
      <c r="BI64" s="372"/>
      <c r="BJ64" s="372"/>
      <c r="BK64" s="372">
        <f>Roles!$D$7</f>
        <v>0.12</v>
      </c>
      <c r="BL64" s="372"/>
      <c r="BM64" s="203">
        <f t="shared" si="18"/>
        <v>0</v>
      </c>
      <c r="BN64" s="372"/>
      <c r="BO64" s="372"/>
      <c r="BP64" s="372">
        <f>Roles!$D$7</f>
        <v>0.12</v>
      </c>
      <c r="BQ64" s="372"/>
      <c r="BR64" s="203">
        <f t="shared" si="19"/>
        <v>0</v>
      </c>
      <c r="BS64" s="372"/>
      <c r="BT64" s="372"/>
      <c r="BU64" s="372">
        <f>Roles!$D$7</f>
        <v>0.12</v>
      </c>
      <c r="BV64" s="372"/>
      <c r="BW64" s="203">
        <f t="shared" si="20"/>
        <v>0</v>
      </c>
      <c r="BX64" s="372"/>
      <c r="BY64" s="372"/>
      <c r="BZ64" s="372">
        <f>Roles!$D$7</f>
        <v>0.12</v>
      </c>
      <c r="CA64" s="372"/>
      <c r="CB64" s="203">
        <f t="shared" si="21"/>
        <v>0</v>
      </c>
      <c r="CC64" s="372"/>
      <c r="CD64" s="372"/>
      <c r="CE64" s="372">
        <f>Roles!$D$7</f>
        <v>0.12</v>
      </c>
      <c r="CF64" s="372"/>
      <c r="CG64" s="203">
        <f t="shared" si="22"/>
        <v>0</v>
      </c>
      <c r="CH64" s="372"/>
      <c r="CI64" s="372"/>
      <c r="CJ64" s="372">
        <f>Roles!$D$7</f>
        <v>0.12</v>
      </c>
      <c r="CK64" s="372"/>
      <c r="CL64" s="203">
        <f t="shared" si="23"/>
        <v>0</v>
      </c>
      <c r="CM64" s="372"/>
      <c r="CN64" s="372"/>
      <c r="CO64" s="372">
        <f>Roles!$D$7</f>
        <v>0.12</v>
      </c>
      <c r="CP64" s="372"/>
      <c r="CQ64" s="203">
        <f t="shared" si="24"/>
        <v>0</v>
      </c>
      <c r="CR64" s="372"/>
      <c r="CS64" s="372"/>
      <c r="CT64" s="372">
        <f>Roles!$D$7</f>
        <v>0.12</v>
      </c>
      <c r="CU64" s="372"/>
      <c r="CV64" s="203">
        <f t="shared" si="25"/>
        <v>0</v>
      </c>
      <c r="CW64" s="372"/>
      <c r="CX64" s="372"/>
      <c r="CY64" s="372">
        <f>Roles!$D$7</f>
        <v>0.12</v>
      </c>
      <c r="CZ64" s="372"/>
      <c r="DA64" s="203">
        <f t="shared" si="26"/>
        <v>0</v>
      </c>
      <c r="DB64" s="372"/>
      <c r="DC64" s="372"/>
      <c r="DD64" s="372">
        <f>Roles!$D$7</f>
        <v>0.12</v>
      </c>
      <c r="DE64" s="372"/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 t="shared" si="1"/>
        <v>1</v>
      </c>
      <c r="F65" s="80">
        <v>5.0</v>
      </c>
      <c r="G65" s="105">
        <f t="shared" si="2"/>
        <v>0.004306632214</v>
      </c>
      <c r="H65" s="47">
        <f t="shared" si="67"/>
        <v>0.1662360034</v>
      </c>
      <c r="I65" s="231">
        <f t="shared" si="65"/>
        <v>3</v>
      </c>
      <c r="J65" s="172">
        <f t="shared" si="68"/>
        <v>461</v>
      </c>
      <c r="K65" s="115">
        <f t="shared" si="3"/>
        <v>0.4050966608</v>
      </c>
      <c r="L65" s="232">
        <f t="shared" si="66"/>
        <v>1.32</v>
      </c>
      <c r="M65" s="172">
        <f t="shared" si="69"/>
        <v>202.84</v>
      </c>
      <c r="N65" s="226" t="str">
        <f t="shared" si="6"/>
        <v>#REF!</v>
      </c>
      <c r="O65" s="203">
        <f t="shared" si="7"/>
        <v>0.6</v>
      </c>
      <c r="P65" s="378">
        <v>3.0</v>
      </c>
      <c r="Q65" s="372"/>
      <c r="R65" s="372">
        <f>Roles!$D$5</f>
        <v>0.44</v>
      </c>
      <c r="S65" s="372">
        <f t="shared" si="8"/>
        <v>1.32</v>
      </c>
      <c r="T65" s="203">
        <f t="shared" si="9"/>
        <v>0</v>
      </c>
      <c r="U65" s="372"/>
      <c r="V65" s="372"/>
      <c r="W65" s="372">
        <f>Roles!$D$7</f>
        <v>0.12</v>
      </c>
      <c r="X65" s="372"/>
      <c r="Y65" s="203">
        <f t="shared" si="10"/>
        <v>0</v>
      </c>
      <c r="Z65" s="372"/>
      <c r="AA65" s="372"/>
      <c r="AB65" s="372">
        <f>Roles!$D$7</f>
        <v>0.12</v>
      </c>
      <c r="AC65" s="372"/>
      <c r="AD65" s="203">
        <f t="shared" si="11"/>
        <v>0</v>
      </c>
      <c r="AE65" s="372"/>
      <c r="AF65" s="372"/>
      <c r="AG65" s="372">
        <f>Roles!$D$7</f>
        <v>0.12</v>
      </c>
      <c r="AH65" s="372"/>
      <c r="AI65" s="203">
        <f t="shared" si="12"/>
        <v>0</v>
      </c>
      <c r="AJ65" s="372"/>
      <c r="AK65" s="372"/>
      <c r="AL65" s="372">
        <f>Roles!$D$7</f>
        <v>0.12</v>
      </c>
      <c r="AM65" s="372"/>
      <c r="AN65" s="203">
        <f t="shared" si="13"/>
        <v>0</v>
      </c>
      <c r="AO65" s="372"/>
      <c r="AP65" s="372"/>
      <c r="AQ65" s="372">
        <f>Roles!$D$7</f>
        <v>0.12</v>
      </c>
      <c r="AR65" s="372"/>
      <c r="AS65" s="203">
        <f t="shared" si="14"/>
        <v>0</v>
      </c>
      <c r="AT65" s="372"/>
      <c r="AU65" s="372"/>
      <c r="AV65" s="372">
        <f>Roles!$D$7</f>
        <v>0.12</v>
      </c>
      <c r="AW65" s="372"/>
      <c r="AX65" s="203">
        <f t="shared" si="15"/>
        <v>0</v>
      </c>
      <c r="AY65" s="372"/>
      <c r="AZ65" s="372"/>
      <c r="BA65" s="372">
        <f>Roles!$D$7</f>
        <v>0.12</v>
      </c>
      <c r="BB65" s="372"/>
      <c r="BC65" s="203">
        <f t="shared" si="16"/>
        <v>0</v>
      </c>
      <c r="BD65" s="372"/>
      <c r="BE65" s="372"/>
      <c r="BF65" s="372">
        <f>Roles!$D$7</f>
        <v>0.12</v>
      </c>
      <c r="BG65" s="372"/>
      <c r="BH65" s="203">
        <f t="shared" si="17"/>
        <v>0</v>
      </c>
      <c r="BI65" s="372"/>
      <c r="BJ65" s="372"/>
      <c r="BK65" s="372">
        <f>Roles!$D$7</f>
        <v>0.12</v>
      </c>
      <c r="BL65" s="372"/>
      <c r="BM65" s="203">
        <f t="shared" si="18"/>
        <v>0</v>
      </c>
      <c r="BN65" s="372"/>
      <c r="BO65" s="372"/>
      <c r="BP65" s="372">
        <f>Roles!$D$7</f>
        <v>0.12</v>
      </c>
      <c r="BQ65" s="372"/>
      <c r="BR65" s="203">
        <f t="shared" si="19"/>
        <v>0</v>
      </c>
      <c r="BS65" s="372"/>
      <c r="BT65" s="372"/>
      <c r="BU65" s="372">
        <f>Roles!$D$7</f>
        <v>0.12</v>
      </c>
      <c r="BV65" s="372"/>
      <c r="BW65" s="203">
        <f t="shared" si="20"/>
        <v>0</v>
      </c>
      <c r="BX65" s="372"/>
      <c r="BY65" s="372"/>
      <c r="BZ65" s="372">
        <f>Roles!$D$7</f>
        <v>0.12</v>
      </c>
      <c r="CA65" s="372"/>
      <c r="CB65" s="203">
        <f t="shared" si="21"/>
        <v>0</v>
      </c>
      <c r="CC65" s="372"/>
      <c r="CD65" s="372"/>
      <c r="CE65" s="372">
        <f>Roles!$D$7</f>
        <v>0.12</v>
      </c>
      <c r="CF65" s="372"/>
      <c r="CG65" s="203">
        <f t="shared" si="22"/>
        <v>0</v>
      </c>
      <c r="CH65" s="372"/>
      <c r="CI65" s="372"/>
      <c r="CJ65" s="372">
        <f>Roles!$D$7</f>
        <v>0.12</v>
      </c>
      <c r="CK65" s="372"/>
      <c r="CL65" s="203">
        <f t="shared" si="23"/>
        <v>0</v>
      </c>
      <c r="CM65" s="372"/>
      <c r="CN65" s="372"/>
      <c r="CO65" s="372">
        <f>Roles!$D$7</f>
        <v>0.12</v>
      </c>
      <c r="CP65" s="372"/>
      <c r="CQ65" s="203">
        <f t="shared" si="24"/>
        <v>0</v>
      </c>
      <c r="CR65" s="372"/>
      <c r="CS65" s="372"/>
      <c r="CT65" s="372">
        <f>Roles!$D$7</f>
        <v>0.12</v>
      </c>
      <c r="CU65" s="372"/>
      <c r="CV65" s="203">
        <f t="shared" si="25"/>
        <v>0</v>
      </c>
      <c r="CW65" s="372"/>
      <c r="CX65" s="372"/>
      <c r="CY65" s="372">
        <f>Roles!$D$7</f>
        <v>0.12</v>
      </c>
      <c r="CZ65" s="372"/>
      <c r="DA65" s="203">
        <f t="shared" si="26"/>
        <v>0</v>
      </c>
      <c r="DB65" s="372"/>
      <c r="DC65" s="372"/>
      <c r="DD65" s="372">
        <f>Roles!$D$7</f>
        <v>0.12</v>
      </c>
      <c r="DE65" s="372"/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 t="shared" si="1"/>
        <v>4</v>
      </c>
      <c r="F66" s="246">
        <f>SUM(F67:F69)</f>
        <v>36</v>
      </c>
      <c r="G66" s="105">
        <f t="shared" si="2"/>
        <v>0.03100775194</v>
      </c>
      <c r="H66" s="226">
        <f>H69</f>
        <v>0.1972437554</v>
      </c>
      <c r="I66" s="247">
        <f>SUM(I67:I69)</f>
        <v>1</v>
      </c>
      <c r="J66" s="247">
        <f>J69</f>
        <v>462</v>
      </c>
      <c r="K66" s="167">
        <f t="shared" si="3"/>
        <v>0.4059753954</v>
      </c>
      <c r="L66" s="247">
        <f>SUM(L67:L69)</f>
        <v>0.44</v>
      </c>
      <c r="M66" s="247">
        <f>M69</f>
        <v>203.28</v>
      </c>
      <c r="N66" s="226" t="str">
        <f t="shared" si="6"/>
        <v>#REF!</v>
      </c>
      <c r="O66" s="203">
        <f t="shared" si="7"/>
        <v>0</v>
      </c>
      <c r="P66" s="372"/>
      <c r="Q66" s="372"/>
      <c r="R66" s="372">
        <f>Roles!$D$5</f>
        <v>0.44</v>
      </c>
      <c r="S66" s="372">
        <f t="shared" si="8"/>
        <v>0</v>
      </c>
      <c r="T66" s="203">
        <f t="shared" si="9"/>
        <v>0</v>
      </c>
      <c r="U66" s="372"/>
      <c r="V66" s="372"/>
      <c r="W66" s="372">
        <f>Roles!$D$7</f>
        <v>0.12</v>
      </c>
      <c r="X66" s="372"/>
      <c r="Y66" s="203">
        <f t="shared" si="10"/>
        <v>0</v>
      </c>
      <c r="Z66" s="372"/>
      <c r="AA66" s="372"/>
      <c r="AB66" s="372">
        <f>Roles!$D$7</f>
        <v>0.12</v>
      </c>
      <c r="AC66" s="372"/>
      <c r="AD66" s="203">
        <f t="shared" si="11"/>
        <v>0</v>
      </c>
      <c r="AE66" s="372"/>
      <c r="AF66" s="372"/>
      <c r="AG66" s="372">
        <f>Roles!$D$7</f>
        <v>0.12</v>
      </c>
      <c r="AH66" s="372"/>
      <c r="AI66" s="203">
        <f t="shared" si="12"/>
        <v>0</v>
      </c>
      <c r="AJ66" s="372"/>
      <c r="AK66" s="372"/>
      <c r="AL66" s="372">
        <f>Roles!$D$7</f>
        <v>0.12</v>
      </c>
      <c r="AM66" s="372"/>
      <c r="AN66" s="203">
        <f t="shared" si="13"/>
        <v>0</v>
      </c>
      <c r="AO66" s="372"/>
      <c r="AP66" s="372"/>
      <c r="AQ66" s="372">
        <f>Roles!$D$7</f>
        <v>0.12</v>
      </c>
      <c r="AR66" s="372"/>
      <c r="AS66" s="203">
        <f t="shared" si="14"/>
        <v>0</v>
      </c>
      <c r="AT66" s="372"/>
      <c r="AU66" s="372"/>
      <c r="AV66" s="372">
        <f>Roles!$D$7</f>
        <v>0.12</v>
      </c>
      <c r="AW66" s="372"/>
      <c r="AX66" s="203">
        <f t="shared" si="15"/>
        <v>0</v>
      </c>
      <c r="AY66" s="372"/>
      <c r="AZ66" s="372"/>
      <c r="BA66" s="372">
        <f>Roles!$D$7</f>
        <v>0.12</v>
      </c>
      <c r="BB66" s="372"/>
      <c r="BC66" s="203">
        <f t="shared" si="16"/>
        <v>0</v>
      </c>
      <c r="BD66" s="372"/>
      <c r="BE66" s="372"/>
      <c r="BF66" s="372">
        <f>Roles!$D$7</f>
        <v>0.12</v>
      </c>
      <c r="BG66" s="372"/>
      <c r="BH66" s="203">
        <f t="shared" si="17"/>
        <v>0</v>
      </c>
      <c r="BI66" s="372"/>
      <c r="BJ66" s="372"/>
      <c r="BK66" s="372">
        <f>Roles!$D$7</f>
        <v>0.12</v>
      </c>
      <c r="BL66" s="372"/>
      <c r="BM66" s="203">
        <f t="shared" si="18"/>
        <v>0</v>
      </c>
      <c r="BN66" s="372"/>
      <c r="BO66" s="372"/>
      <c r="BP66" s="372">
        <f>Roles!$D$7</f>
        <v>0.12</v>
      </c>
      <c r="BQ66" s="372"/>
      <c r="BR66" s="203">
        <f t="shared" si="19"/>
        <v>0</v>
      </c>
      <c r="BS66" s="372"/>
      <c r="BT66" s="372"/>
      <c r="BU66" s="372">
        <f>Roles!$D$7</f>
        <v>0.12</v>
      </c>
      <c r="BV66" s="372"/>
      <c r="BW66" s="203">
        <f t="shared" si="20"/>
        <v>0</v>
      </c>
      <c r="BX66" s="372"/>
      <c r="BY66" s="372"/>
      <c r="BZ66" s="372">
        <f>Roles!$D$7</f>
        <v>0.12</v>
      </c>
      <c r="CA66" s="372"/>
      <c r="CB66" s="203">
        <f t="shared" si="21"/>
        <v>0</v>
      </c>
      <c r="CC66" s="372"/>
      <c r="CD66" s="372"/>
      <c r="CE66" s="372">
        <f>Roles!$D$7</f>
        <v>0.12</v>
      </c>
      <c r="CF66" s="372"/>
      <c r="CG66" s="203">
        <f t="shared" si="22"/>
        <v>0</v>
      </c>
      <c r="CH66" s="372"/>
      <c r="CI66" s="372"/>
      <c r="CJ66" s="372">
        <f>Roles!$D$7</f>
        <v>0.12</v>
      </c>
      <c r="CK66" s="372"/>
      <c r="CL66" s="203">
        <f t="shared" si="23"/>
        <v>0</v>
      </c>
      <c r="CM66" s="372"/>
      <c r="CN66" s="372"/>
      <c r="CO66" s="372">
        <f>Roles!$D$7</f>
        <v>0.12</v>
      </c>
      <c r="CP66" s="372"/>
      <c r="CQ66" s="203">
        <f t="shared" si="24"/>
        <v>0</v>
      </c>
      <c r="CR66" s="372"/>
      <c r="CS66" s="372"/>
      <c r="CT66" s="372">
        <f>Roles!$D$7</f>
        <v>0.12</v>
      </c>
      <c r="CU66" s="372"/>
      <c r="CV66" s="203">
        <f t="shared" si="25"/>
        <v>0</v>
      </c>
      <c r="CW66" s="372"/>
      <c r="CX66" s="372"/>
      <c r="CY66" s="372">
        <f>Roles!$D$7</f>
        <v>0.12</v>
      </c>
      <c r="CZ66" s="372"/>
      <c r="DA66" s="203">
        <f t="shared" si="26"/>
        <v>0</v>
      </c>
      <c r="DB66" s="372"/>
      <c r="DC66" s="372"/>
      <c r="DD66" s="372">
        <f>Roles!$D$7</f>
        <v>0.12</v>
      </c>
      <c r="DE66" s="372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 t="shared" si="1"/>
        <v>2</v>
      </c>
      <c r="F67" s="80">
        <v>15.0</v>
      </c>
      <c r="G67" s="105">
        <f t="shared" si="2"/>
        <v>0.01291989664</v>
      </c>
      <c r="H67" s="47">
        <f>H65+G67</f>
        <v>0.1791559001</v>
      </c>
      <c r="I67" s="231">
        <f t="shared" ref="I67:I69" si="70">P67+U67+Z67+AE67+AJ67+AO67+AT67+AY67+BD67+BI67+BN67+BS67+BX67+CC67+CH67+CM67+CR67+CW67+DB67</f>
        <v>1</v>
      </c>
      <c r="J67" s="172">
        <f>J65+I67</f>
        <v>462</v>
      </c>
      <c r="K67" s="115">
        <f t="shared" si="3"/>
        <v>0.4059753954</v>
      </c>
      <c r="L67" s="232">
        <f t="shared" ref="L67:L69" si="71">S67+X67+AC67+AH67+AM67+AR67+AW67+BB67+BG67+BL67+BQ67+BV67+CA67+CF67+CK67+CP67+CU67+CZ67+DE67</f>
        <v>0.44</v>
      </c>
      <c r="M67" s="172">
        <f>M65+L67</f>
        <v>203.28</v>
      </c>
      <c r="N67" s="47" t="str">
        <f t="shared" si="6"/>
        <v>#REF!</v>
      </c>
      <c r="O67" s="203">
        <f t="shared" si="7"/>
        <v>0.06666666667</v>
      </c>
      <c r="P67" s="378">
        <v>1.0</v>
      </c>
      <c r="Q67" s="372"/>
      <c r="R67" s="372">
        <f>Roles!$D$5</f>
        <v>0.44</v>
      </c>
      <c r="S67" s="372">
        <f t="shared" si="8"/>
        <v>0.44</v>
      </c>
      <c r="T67" s="203">
        <f t="shared" si="9"/>
        <v>0</v>
      </c>
      <c r="U67" s="372"/>
      <c r="V67" s="372"/>
      <c r="W67" s="372">
        <f>Roles!$D$7</f>
        <v>0.12</v>
      </c>
      <c r="X67" s="372"/>
      <c r="Y67" s="203">
        <f t="shared" si="10"/>
        <v>0</v>
      </c>
      <c r="Z67" s="372"/>
      <c r="AA67" s="372"/>
      <c r="AB67" s="372">
        <f>Roles!$D$7</f>
        <v>0.12</v>
      </c>
      <c r="AC67" s="372"/>
      <c r="AD67" s="203">
        <f t="shared" si="11"/>
        <v>0</v>
      </c>
      <c r="AE67" s="372"/>
      <c r="AF67" s="372"/>
      <c r="AG67" s="372">
        <f>Roles!$D$7</f>
        <v>0.12</v>
      </c>
      <c r="AH67" s="372"/>
      <c r="AI67" s="203">
        <f t="shared" si="12"/>
        <v>0</v>
      </c>
      <c r="AJ67" s="372"/>
      <c r="AK67" s="372"/>
      <c r="AL67" s="372">
        <f>Roles!$D$7</f>
        <v>0.12</v>
      </c>
      <c r="AM67" s="372"/>
      <c r="AN67" s="203">
        <f t="shared" si="13"/>
        <v>0</v>
      </c>
      <c r="AO67" s="372"/>
      <c r="AP67" s="372"/>
      <c r="AQ67" s="372">
        <f>Roles!$D$7</f>
        <v>0.12</v>
      </c>
      <c r="AR67" s="372"/>
      <c r="AS67" s="203">
        <f t="shared" si="14"/>
        <v>0</v>
      </c>
      <c r="AT67" s="372"/>
      <c r="AU67" s="372"/>
      <c r="AV67" s="372">
        <f>Roles!$D$7</f>
        <v>0.12</v>
      </c>
      <c r="AW67" s="372"/>
      <c r="AX67" s="203">
        <f t="shared" si="15"/>
        <v>0</v>
      </c>
      <c r="AY67" s="372"/>
      <c r="AZ67" s="372"/>
      <c r="BA67" s="372">
        <f>Roles!$D$7</f>
        <v>0.12</v>
      </c>
      <c r="BB67" s="372"/>
      <c r="BC67" s="203">
        <f t="shared" si="16"/>
        <v>0</v>
      </c>
      <c r="BD67" s="372"/>
      <c r="BE67" s="372"/>
      <c r="BF67" s="372">
        <f>Roles!$D$7</f>
        <v>0.12</v>
      </c>
      <c r="BG67" s="372"/>
      <c r="BH67" s="203">
        <f t="shared" si="17"/>
        <v>0</v>
      </c>
      <c r="BI67" s="372"/>
      <c r="BJ67" s="372"/>
      <c r="BK67" s="372">
        <f>Roles!$D$7</f>
        <v>0.12</v>
      </c>
      <c r="BL67" s="372"/>
      <c r="BM67" s="203">
        <f t="shared" si="18"/>
        <v>0</v>
      </c>
      <c r="BN67" s="372"/>
      <c r="BO67" s="372"/>
      <c r="BP67" s="372">
        <f>Roles!$D$7</f>
        <v>0.12</v>
      </c>
      <c r="BQ67" s="372"/>
      <c r="BR67" s="203">
        <f t="shared" si="19"/>
        <v>0</v>
      </c>
      <c r="BS67" s="372"/>
      <c r="BT67" s="372"/>
      <c r="BU67" s="372">
        <f>Roles!$D$7</f>
        <v>0.12</v>
      </c>
      <c r="BV67" s="372"/>
      <c r="BW67" s="203">
        <f t="shared" si="20"/>
        <v>0</v>
      </c>
      <c r="BX67" s="372"/>
      <c r="BY67" s="372"/>
      <c r="BZ67" s="372">
        <f>Roles!$D$7</f>
        <v>0.12</v>
      </c>
      <c r="CA67" s="372"/>
      <c r="CB67" s="203">
        <f t="shared" si="21"/>
        <v>0</v>
      </c>
      <c r="CC67" s="372"/>
      <c r="CD67" s="372"/>
      <c r="CE67" s="372">
        <f>Roles!$D$7</f>
        <v>0.12</v>
      </c>
      <c r="CF67" s="372"/>
      <c r="CG67" s="203">
        <f t="shared" si="22"/>
        <v>0</v>
      </c>
      <c r="CH67" s="372"/>
      <c r="CI67" s="372"/>
      <c r="CJ67" s="372">
        <f>Roles!$D$7</f>
        <v>0.12</v>
      </c>
      <c r="CK67" s="372"/>
      <c r="CL67" s="203">
        <f t="shared" si="23"/>
        <v>0</v>
      </c>
      <c r="CM67" s="372"/>
      <c r="CN67" s="372"/>
      <c r="CO67" s="372">
        <f>Roles!$D$7</f>
        <v>0.12</v>
      </c>
      <c r="CP67" s="372"/>
      <c r="CQ67" s="203">
        <f t="shared" si="24"/>
        <v>0</v>
      </c>
      <c r="CR67" s="372"/>
      <c r="CS67" s="372"/>
      <c r="CT67" s="372">
        <f>Roles!$D$7</f>
        <v>0.12</v>
      </c>
      <c r="CU67" s="372"/>
      <c r="CV67" s="203">
        <f t="shared" si="25"/>
        <v>0</v>
      </c>
      <c r="CW67" s="372"/>
      <c r="CX67" s="372"/>
      <c r="CY67" s="372">
        <f>Roles!$D$7</f>
        <v>0.12</v>
      </c>
      <c r="CZ67" s="372"/>
      <c r="DA67" s="203">
        <f t="shared" si="26"/>
        <v>0</v>
      </c>
      <c r="DB67" s="372"/>
      <c r="DC67" s="372"/>
      <c r="DD67" s="372">
        <f>Roles!$D$7</f>
        <v>0.12</v>
      </c>
      <c r="DE67" s="372"/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 t="shared" si="1"/>
        <v>2</v>
      </c>
      <c r="F68" s="80">
        <v>10.0</v>
      </c>
      <c r="G68" s="105">
        <f t="shared" si="2"/>
        <v>0.008613264427</v>
      </c>
      <c r="H68" s="47">
        <f t="shared" ref="H68:H69" si="72">H67+G68</f>
        <v>0.1877691645</v>
      </c>
      <c r="I68" s="231">
        <f t="shared" si="70"/>
        <v>0</v>
      </c>
      <c r="J68" s="172">
        <f t="shared" ref="J68:J69" si="73">J67+I68</f>
        <v>462</v>
      </c>
      <c r="K68" s="115">
        <f t="shared" si="3"/>
        <v>0.4059753954</v>
      </c>
      <c r="L68" s="232">
        <f t="shared" si="71"/>
        <v>0</v>
      </c>
      <c r="M68" s="172">
        <f t="shared" ref="M68:M69" si="74">M67+L68</f>
        <v>203.28</v>
      </c>
      <c r="N68" s="282" t="str">
        <f t="shared" si="6"/>
        <v>#REF!</v>
      </c>
      <c r="O68" s="203">
        <f t="shared" si="7"/>
        <v>0</v>
      </c>
      <c r="P68" s="378">
        <v>0.0</v>
      </c>
      <c r="Q68" s="372"/>
      <c r="R68" s="372">
        <f>Roles!$D$5</f>
        <v>0.44</v>
      </c>
      <c r="S68" s="372">
        <f t="shared" si="8"/>
        <v>0</v>
      </c>
      <c r="T68" s="203">
        <f t="shared" si="9"/>
        <v>0</v>
      </c>
      <c r="U68" s="372"/>
      <c r="V68" s="372"/>
      <c r="W68" s="372">
        <f>Roles!$D$7</f>
        <v>0.12</v>
      </c>
      <c r="X68" s="372"/>
      <c r="Y68" s="203">
        <f t="shared" si="10"/>
        <v>0</v>
      </c>
      <c r="Z68" s="372"/>
      <c r="AA68" s="372"/>
      <c r="AB68" s="372">
        <f>Roles!$D$7</f>
        <v>0.12</v>
      </c>
      <c r="AC68" s="372"/>
      <c r="AD68" s="203">
        <f t="shared" si="11"/>
        <v>0</v>
      </c>
      <c r="AE68" s="372"/>
      <c r="AF68" s="372"/>
      <c r="AG68" s="372">
        <f>Roles!$D$7</f>
        <v>0.12</v>
      </c>
      <c r="AH68" s="372"/>
      <c r="AI68" s="203">
        <f t="shared" si="12"/>
        <v>0</v>
      </c>
      <c r="AJ68" s="372"/>
      <c r="AK68" s="372"/>
      <c r="AL68" s="372">
        <f>Roles!$D$7</f>
        <v>0.12</v>
      </c>
      <c r="AM68" s="372"/>
      <c r="AN68" s="203">
        <f t="shared" si="13"/>
        <v>0</v>
      </c>
      <c r="AO68" s="372"/>
      <c r="AP68" s="372"/>
      <c r="AQ68" s="372">
        <f>Roles!$D$7</f>
        <v>0.12</v>
      </c>
      <c r="AR68" s="372"/>
      <c r="AS68" s="203">
        <f t="shared" si="14"/>
        <v>0</v>
      </c>
      <c r="AT68" s="372"/>
      <c r="AU68" s="372"/>
      <c r="AV68" s="372">
        <f>Roles!$D$7</f>
        <v>0.12</v>
      </c>
      <c r="AW68" s="372"/>
      <c r="AX68" s="203">
        <f t="shared" si="15"/>
        <v>0</v>
      </c>
      <c r="AY68" s="372"/>
      <c r="AZ68" s="372"/>
      <c r="BA68" s="372">
        <f>Roles!$D$7</f>
        <v>0.12</v>
      </c>
      <c r="BB68" s="372"/>
      <c r="BC68" s="203">
        <f t="shared" si="16"/>
        <v>0</v>
      </c>
      <c r="BD68" s="372"/>
      <c r="BE68" s="372"/>
      <c r="BF68" s="372">
        <f>Roles!$D$7</f>
        <v>0.12</v>
      </c>
      <c r="BG68" s="372"/>
      <c r="BH68" s="203">
        <f t="shared" si="17"/>
        <v>0</v>
      </c>
      <c r="BI68" s="372"/>
      <c r="BJ68" s="372"/>
      <c r="BK68" s="372">
        <f>Roles!$D$7</f>
        <v>0.12</v>
      </c>
      <c r="BL68" s="372"/>
      <c r="BM68" s="203">
        <f t="shared" si="18"/>
        <v>0</v>
      </c>
      <c r="BN68" s="372"/>
      <c r="BO68" s="372"/>
      <c r="BP68" s="372">
        <f>Roles!$D$7</f>
        <v>0.12</v>
      </c>
      <c r="BQ68" s="372"/>
      <c r="BR68" s="203">
        <f t="shared" si="19"/>
        <v>0</v>
      </c>
      <c r="BS68" s="372"/>
      <c r="BT68" s="372"/>
      <c r="BU68" s="372">
        <f>Roles!$D$7</f>
        <v>0.12</v>
      </c>
      <c r="BV68" s="372"/>
      <c r="BW68" s="203">
        <f t="shared" si="20"/>
        <v>0</v>
      </c>
      <c r="BX68" s="372"/>
      <c r="BY68" s="372"/>
      <c r="BZ68" s="372">
        <f>Roles!$D$7</f>
        <v>0.12</v>
      </c>
      <c r="CA68" s="372"/>
      <c r="CB68" s="203">
        <f t="shared" si="21"/>
        <v>0</v>
      </c>
      <c r="CC68" s="372"/>
      <c r="CD68" s="372"/>
      <c r="CE68" s="372">
        <f>Roles!$D$7</f>
        <v>0.12</v>
      </c>
      <c r="CF68" s="372"/>
      <c r="CG68" s="203">
        <f t="shared" si="22"/>
        <v>0</v>
      </c>
      <c r="CH68" s="372"/>
      <c r="CI68" s="372"/>
      <c r="CJ68" s="372">
        <f>Roles!$D$7</f>
        <v>0.12</v>
      </c>
      <c r="CK68" s="372"/>
      <c r="CL68" s="203">
        <f t="shared" si="23"/>
        <v>0</v>
      </c>
      <c r="CM68" s="372"/>
      <c r="CN68" s="372"/>
      <c r="CO68" s="372">
        <f>Roles!$D$7</f>
        <v>0.12</v>
      </c>
      <c r="CP68" s="372"/>
      <c r="CQ68" s="203">
        <f t="shared" si="24"/>
        <v>0</v>
      </c>
      <c r="CR68" s="372"/>
      <c r="CS68" s="372"/>
      <c r="CT68" s="372">
        <f>Roles!$D$7</f>
        <v>0.12</v>
      </c>
      <c r="CU68" s="372"/>
      <c r="CV68" s="203">
        <f t="shared" si="25"/>
        <v>0</v>
      </c>
      <c r="CW68" s="372"/>
      <c r="CX68" s="372"/>
      <c r="CY68" s="372">
        <f>Roles!$D$7</f>
        <v>0.12</v>
      </c>
      <c r="CZ68" s="372"/>
      <c r="DA68" s="203">
        <f t="shared" si="26"/>
        <v>0</v>
      </c>
      <c r="DB68" s="372"/>
      <c r="DC68" s="372"/>
      <c r="DD68" s="372">
        <f>Roles!$D$7</f>
        <v>0.12</v>
      </c>
      <c r="DE68" s="372"/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 t="shared" si="1"/>
        <v>2</v>
      </c>
      <c r="F69" s="80">
        <v>11.0</v>
      </c>
      <c r="G69" s="105">
        <f t="shared" si="2"/>
        <v>0.00947459087</v>
      </c>
      <c r="H69" s="47">
        <f t="shared" si="72"/>
        <v>0.1972437554</v>
      </c>
      <c r="I69" s="231">
        <f t="shared" si="70"/>
        <v>0</v>
      </c>
      <c r="J69" s="172">
        <f t="shared" si="73"/>
        <v>462</v>
      </c>
      <c r="K69" s="115">
        <f t="shared" si="3"/>
        <v>0.4059753954</v>
      </c>
      <c r="L69" s="232">
        <f t="shared" si="71"/>
        <v>0</v>
      </c>
      <c r="M69" s="172">
        <f t="shared" si="74"/>
        <v>203.28</v>
      </c>
      <c r="N69" s="226" t="str">
        <f t="shared" si="6"/>
        <v>#REF!</v>
      </c>
      <c r="O69" s="203">
        <f t="shared" si="7"/>
        <v>0</v>
      </c>
      <c r="P69" s="378">
        <v>0.0</v>
      </c>
      <c r="Q69" s="372"/>
      <c r="R69" s="372">
        <f>Roles!$D$5</f>
        <v>0.44</v>
      </c>
      <c r="S69" s="372">
        <f t="shared" si="8"/>
        <v>0</v>
      </c>
      <c r="T69" s="203">
        <f t="shared" si="9"/>
        <v>0</v>
      </c>
      <c r="U69" s="372"/>
      <c r="V69" s="372"/>
      <c r="W69" s="372">
        <f>Roles!$D$7</f>
        <v>0.12</v>
      </c>
      <c r="X69" s="372"/>
      <c r="Y69" s="203">
        <f t="shared" si="10"/>
        <v>0</v>
      </c>
      <c r="Z69" s="372"/>
      <c r="AA69" s="372"/>
      <c r="AB69" s="372">
        <f>Roles!$D$7</f>
        <v>0.12</v>
      </c>
      <c r="AC69" s="372"/>
      <c r="AD69" s="203">
        <f t="shared" si="11"/>
        <v>0</v>
      </c>
      <c r="AE69" s="372"/>
      <c r="AF69" s="372"/>
      <c r="AG69" s="372">
        <f>Roles!$D$7</f>
        <v>0.12</v>
      </c>
      <c r="AH69" s="372"/>
      <c r="AI69" s="203">
        <f t="shared" si="12"/>
        <v>0</v>
      </c>
      <c r="AJ69" s="372"/>
      <c r="AK69" s="372"/>
      <c r="AL69" s="372">
        <f>Roles!$D$7</f>
        <v>0.12</v>
      </c>
      <c r="AM69" s="372"/>
      <c r="AN69" s="203">
        <f t="shared" si="13"/>
        <v>0</v>
      </c>
      <c r="AO69" s="372"/>
      <c r="AP69" s="372"/>
      <c r="AQ69" s="372">
        <f>Roles!$D$7</f>
        <v>0.12</v>
      </c>
      <c r="AR69" s="372"/>
      <c r="AS69" s="203">
        <f t="shared" si="14"/>
        <v>0</v>
      </c>
      <c r="AT69" s="372"/>
      <c r="AU69" s="372"/>
      <c r="AV69" s="372">
        <f>Roles!$D$7</f>
        <v>0.12</v>
      </c>
      <c r="AW69" s="372"/>
      <c r="AX69" s="203">
        <f t="shared" si="15"/>
        <v>0</v>
      </c>
      <c r="AY69" s="372"/>
      <c r="AZ69" s="372"/>
      <c r="BA69" s="372">
        <f>Roles!$D$7</f>
        <v>0.12</v>
      </c>
      <c r="BB69" s="372"/>
      <c r="BC69" s="203">
        <f t="shared" si="16"/>
        <v>0</v>
      </c>
      <c r="BD69" s="372"/>
      <c r="BE69" s="372"/>
      <c r="BF69" s="372">
        <f>Roles!$D$7</f>
        <v>0.12</v>
      </c>
      <c r="BG69" s="372"/>
      <c r="BH69" s="203">
        <f t="shared" si="17"/>
        <v>0</v>
      </c>
      <c r="BI69" s="372"/>
      <c r="BJ69" s="372"/>
      <c r="BK69" s="372">
        <f>Roles!$D$7</f>
        <v>0.12</v>
      </c>
      <c r="BL69" s="372"/>
      <c r="BM69" s="203">
        <f t="shared" si="18"/>
        <v>0</v>
      </c>
      <c r="BN69" s="372"/>
      <c r="BO69" s="372"/>
      <c r="BP69" s="372">
        <f>Roles!$D$7</f>
        <v>0.12</v>
      </c>
      <c r="BQ69" s="372"/>
      <c r="BR69" s="203">
        <f t="shared" si="19"/>
        <v>0</v>
      </c>
      <c r="BS69" s="372"/>
      <c r="BT69" s="372"/>
      <c r="BU69" s="372">
        <f>Roles!$D$7</f>
        <v>0.12</v>
      </c>
      <c r="BV69" s="372"/>
      <c r="BW69" s="203">
        <f t="shared" si="20"/>
        <v>0</v>
      </c>
      <c r="BX69" s="372"/>
      <c r="BY69" s="372"/>
      <c r="BZ69" s="372">
        <f>Roles!$D$7</f>
        <v>0.12</v>
      </c>
      <c r="CA69" s="372"/>
      <c r="CB69" s="203">
        <f t="shared" si="21"/>
        <v>0</v>
      </c>
      <c r="CC69" s="372"/>
      <c r="CD69" s="372"/>
      <c r="CE69" s="372">
        <f>Roles!$D$7</f>
        <v>0.12</v>
      </c>
      <c r="CF69" s="372"/>
      <c r="CG69" s="203">
        <f t="shared" si="22"/>
        <v>0</v>
      </c>
      <c r="CH69" s="372"/>
      <c r="CI69" s="372"/>
      <c r="CJ69" s="372">
        <f>Roles!$D$7</f>
        <v>0.12</v>
      </c>
      <c r="CK69" s="372"/>
      <c r="CL69" s="203">
        <f t="shared" si="23"/>
        <v>0</v>
      </c>
      <c r="CM69" s="372"/>
      <c r="CN69" s="372"/>
      <c r="CO69" s="372">
        <f>Roles!$D$7</f>
        <v>0.12</v>
      </c>
      <c r="CP69" s="372"/>
      <c r="CQ69" s="203">
        <f t="shared" si="24"/>
        <v>0</v>
      </c>
      <c r="CR69" s="372"/>
      <c r="CS69" s="372"/>
      <c r="CT69" s="372">
        <f>Roles!$D$7</f>
        <v>0.12</v>
      </c>
      <c r="CU69" s="372"/>
      <c r="CV69" s="203">
        <f t="shared" si="25"/>
        <v>0</v>
      </c>
      <c r="CW69" s="372"/>
      <c r="CX69" s="372"/>
      <c r="CY69" s="372">
        <f>Roles!$D$7</f>
        <v>0.12</v>
      </c>
      <c r="CZ69" s="372"/>
      <c r="DA69" s="203">
        <f t="shared" si="26"/>
        <v>0</v>
      </c>
      <c r="DB69" s="372"/>
      <c r="DC69" s="372"/>
      <c r="DD69" s="372">
        <f>Roles!$D$7</f>
        <v>0.12</v>
      </c>
      <c r="DE69" s="372"/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 t="shared" si="1"/>
        <v>6</v>
      </c>
      <c r="F70" s="246">
        <f>SUM(F71:F73)</f>
        <v>40</v>
      </c>
      <c r="G70" s="105">
        <f t="shared" si="2"/>
        <v>0.03445305771</v>
      </c>
      <c r="H70" s="226">
        <f>H73</f>
        <v>0.2316968131</v>
      </c>
      <c r="I70" s="247">
        <f>SUM(I71:I73)</f>
        <v>0</v>
      </c>
      <c r="J70" s="247">
        <f>J73</f>
        <v>462</v>
      </c>
      <c r="K70" s="167">
        <f t="shared" si="3"/>
        <v>0.4059753954</v>
      </c>
      <c r="L70" s="247">
        <f>SUM(L71:L73)</f>
        <v>0</v>
      </c>
      <c r="M70" s="247">
        <f>M73</f>
        <v>203.28</v>
      </c>
      <c r="N70" s="47" t="str">
        <f t="shared" si="6"/>
        <v>#REF!</v>
      </c>
      <c r="O70" s="203">
        <f t="shared" si="7"/>
        <v>0</v>
      </c>
      <c r="P70" s="372"/>
      <c r="Q70" s="372"/>
      <c r="R70" s="372">
        <f>Roles!$D$5</f>
        <v>0.44</v>
      </c>
      <c r="S70" s="372">
        <f t="shared" si="8"/>
        <v>0</v>
      </c>
      <c r="T70" s="203">
        <f t="shared" si="9"/>
        <v>0</v>
      </c>
      <c r="U70" s="372"/>
      <c r="V70" s="372"/>
      <c r="W70" s="372">
        <f>Roles!$D$7</f>
        <v>0.12</v>
      </c>
      <c r="X70" s="372"/>
      <c r="Y70" s="203">
        <f t="shared" si="10"/>
        <v>0</v>
      </c>
      <c r="Z70" s="372"/>
      <c r="AA70" s="372"/>
      <c r="AB70" s="372">
        <f>Roles!$D$7</f>
        <v>0.12</v>
      </c>
      <c r="AC70" s="372"/>
      <c r="AD70" s="203">
        <f t="shared" si="11"/>
        <v>0</v>
      </c>
      <c r="AE70" s="372"/>
      <c r="AF70" s="372"/>
      <c r="AG70" s="372">
        <f>Roles!$D$7</f>
        <v>0.12</v>
      </c>
      <c r="AH70" s="372"/>
      <c r="AI70" s="203">
        <f t="shared" si="12"/>
        <v>0</v>
      </c>
      <c r="AJ70" s="372"/>
      <c r="AK70" s="372"/>
      <c r="AL70" s="372">
        <f>Roles!$D$7</f>
        <v>0.12</v>
      </c>
      <c r="AM70" s="372"/>
      <c r="AN70" s="203">
        <f t="shared" si="13"/>
        <v>0</v>
      </c>
      <c r="AO70" s="372"/>
      <c r="AP70" s="372"/>
      <c r="AQ70" s="372">
        <f>Roles!$D$7</f>
        <v>0.12</v>
      </c>
      <c r="AR70" s="372"/>
      <c r="AS70" s="203">
        <f t="shared" si="14"/>
        <v>0</v>
      </c>
      <c r="AT70" s="372"/>
      <c r="AU70" s="372"/>
      <c r="AV70" s="372">
        <f>Roles!$D$7</f>
        <v>0.12</v>
      </c>
      <c r="AW70" s="372"/>
      <c r="AX70" s="203">
        <f t="shared" si="15"/>
        <v>0</v>
      </c>
      <c r="AY70" s="372"/>
      <c r="AZ70" s="372"/>
      <c r="BA70" s="372">
        <f>Roles!$D$7</f>
        <v>0.12</v>
      </c>
      <c r="BB70" s="372"/>
      <c r="BC70" s="203">
        <f t="shared" si="16"/>
        <v>0</v>
      </c>
      <c r="BD70" s="372"/>
      <c r="BE70" s="372"/>
      <c r="BF70" s="372">
        <f>Roles!$D$7</f>
        <v>0.12</v>
      </c>
      <c r="BG70" s="372"/>
      <c r="BH70" s="203">
        <f t="shared" si="17"/>
        <v>0</v>
      </c>
      <c r="BI70" s="372"/>
      <c r="BJ70" s="372"/>
      <c r="BK70" s="372">
        <f>Roles!$D$7</f>
        <v>0.12</v>
      </c>
      <c r="BL70" s="372"/>
      <c r="BM70" s="203">
        <f t="shared" si="18"/>
        <v>0</v>
      </c>
      <c r="BN70" s="372"/>
      <c r="BO70" s="372"/>
      <c r="BP70" s="372">
        <f>Roles!$D$7</f>
        <v>0.12</v>
      </c>
      <c r="BQ70" s="372"/>
      <c r="BR70" s="203">
        <f t="shared" si="19"/>
        <v>0</v>
      </c>
      <c r="BS70" s="372"/>
      <c r="BT70" s="372"/>
      <c r="BU70" s="372">
        <f>Roles!$D$7</f>
        <v>0.12</v>
      </c>
      <c r="BV70" s="372"/>
      <c r="BW70" s="203">
        <f t="shared" si="20"/>
        <v>0</v>
      </c>
      <c r="BX70" s="372"/>
      <c r="BY70" s="372"/>
      <c r="BZ70" s="372">
        <f>Roles!$D$7</f>
        <v>0.12</v>
      </c>
      <c r="CA70" s="372"/>
      <c r="CB70" s="203">
        <f t="shared" si="21"/>
        <v>0</v>
      </c>
      <c r="CC70" s="372"/>
      <c r="CD70" s="372"/>
      <c r="CE70" s="372">
        <f>Roles!$D$7</f>
        <v>0.12</v>
      </c>
      <c r="CF70" s="372"/>
      <c r="CG70" s="203">
        <f t="shared" si="22"/>
        <v>0</v>
      </c>
      <c r="CH70" s="372"/>
      <c r="CI70" s="372"/>
      <c r="CJ70" s="372">
        <f>Roles!$D$7</f>
        <v>0.12</v>
      </c>
      <c r="CK70" s="372"/>
      <c r="CL70" s="203">
        <f t="shared" si="23"/>
        <v>0</v>
      </c>
      <c r="CM70" s="372"/>
      <c r="CN70" s="372"/>
      <c r="CO70" s="372">
        <f>Roles!$D$7</f>
        <v>0.12</v>
      </c>
      <c r="CP70" s="372"/>
      <c r="CQ70" s="203">
        <f t="shared" si="24"/>
        <v>0</v>
      </c>
      <c r="CR70" s="372"/>
      <c r="CS70" s="372"/>
      <c r="CT70" s="372">
        <f>Roles!$D$7</f>
        <v>0.12</v>
      </c>
      <c r="CU70" s="372"/>
      <c r="CV70" s="203">
        <f t="shared" si="25"/>
        <v>0</v>
      </c>
      <c r="CW70" s="372"/>
      <c r="CX70" s="372"/>
      <c r="CY70" s="372">
        <f>Roles!$D$7</f>
        <v>0.12</v>
      </c>
      <c r="CZ70" s="372"/>
      <c r="DA70" s="203">
        <f t="shared" si="26"/>
        <v>0</v>
      </c>
      <c r="DB70" s="372"/>
      <c r="DC70" s="372"/>
      <c r="DD70" s="372">
        <f>Roles!$D$7</f>
        <v>0.12</v>
      </c>
      <c r="DE70" s="372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 t="shared" si="1"/>
        <v>3</v>
      </c>
      <c r="F71" s="80">
        <v>15.0</v>
      </c>
      <c r="G71" s="105">
        <f t="shared" si="2"/>
        <v>0.01291989664</v>
      </c>
      <c r="H71" s="47">
        <f>H69+G71</f>
        <v>0.210163652</v>
      </c>
      <c r="I71" s="231">
        <f t="shared" ref="I71:I73" si="75">P71+U71+Z71+AE71+AJ71+AO71+AT71+AY71+BD71+BI71+BN71+BS71+BX71+CC71+CH71+CM71+CR71+CW71+DB71</f>
        <v>0</v>
      </c>
      <c r="J71" s="172">
        <f>J69+I71</f>
        <v>462</v>
      </c>
      <c r="K71" s="115">
        <f t="shared" si="3"/>
        <v>0.4059753954</v>
      </c>
      <c r="L71" s="232">
        <f t="shared" ref="L71:L73" si="76">S71+X71+AC71+AH71+AM71+AR71+AW71+BB71+BG71+BL71+BQ71+BV71+CA71+CF71+CK71+CP71+CU71+CZ71+DE71</f>
        <v>0</v>
      </c>
      <c r="M71" s="172">
        <f>M69+L71</f>
        <v>203.28</v>
      </c>
      <c r="N71" s="47" t="str">
        <f t="shared" si="6"/>
        <v>#REF!</v>
      </c>
      <c r="O71" s="203">
        <f t="shared" si="7"/>
        <v>0</v>
      </c>
      <c r="P71" s="378">
        <v>0.0</v>
      </c>
      <c r="Q71" s="372"/>
      <c r="R71" s="372">
        <f>Roles!$D$5</f>
        <v>0.44</v>
      </c>
      <c r="S71" s="372">
        <f t="shared" si="8"/>
        <v>0</v>
      </c>
      <c r="T71" s="203">
        <f t="shared" si="9"/>
        <v>0</v>
      </c>
      <c r="U71" s="372"/>
      <c r="V71" s="372"/>
      <c r="W71" s="372">
        <f>Roles!$D$7</f>
        <v>0.12</v>
      </c>
      <c r="X71" s="372"/>
      <c r="Y71" s="203">
        <f t="shared" si="10"/>
        <v>0</v>
      </c>
      <c r="Z71" s="372"/>
      <c r="AA71" s="372"/>
      <c r="AB71" s="372">
        <f>Roles!$D$7</f>
        <v>0.12</v>
      </c>
      <c r="AC71" s="372"/>
      <c r="AD71" s="203">
        <f t="shared" si="11"/>
        <v>0</v>
      </c>
      <c r="AE71" s="372"/>
      <c r="AF71" s="372"/>
      <c r="AG71" s="372">
        <f>Roles!$D$7</f>
        <v>0.12</v>
      </c>
      <c r="AH71" s="372"/>
      <c r="AI71" s="203">
        <f t="shared" si="12"/>
        <v>0</v>
      </c>
      <c r="AJ71" s="372"/>
      <c r="AK71" s="372"/>
      <c r="AL71" s="372">
        <f>Roles!$D$7</f>
        <v>0.12</v>
      </c>
      <c r="AM71" s="372"/>
      <c r="AN71" s="203">
        <f t="shared" si="13"/>
        <v>0</v>
      </c>
      <c r="AO71" s="372"/>
      <c r="AP71" s="372"/>
      <c r="AQ71" s="372">
        <f>Roles!$D$7</f>
        <v>0.12</v>
      </c>
      <c r="AR71" s="372"/>
      <c r="AS71" s="203">
        <f t="shared" si="14"/>
        <v>0</v>
      </c>
      <c r="AT71" s="372"/>
      <c r="AU71" s="372"/>
      <c r="AV71" s="372">
        <f>Roles!$D$7</f>
        <v>0.12</v>
      </c>
      <c r="AW71" s="372"/>
      <c r="AX71" s="203">
        <f t="shared" si="15"/>
        <v>0</v>
      </c>
      <c r="AY71" s="372"/>
      <c r="AZ71" s="372"/>
      <c r="BA71" s="372">
        <f>Roles!$D$7</f>
        <v>0.12</v>
      </c>
      <c r="BB71" s="372"/>
      <c r="BC71" s="203">
        <f t="shared" si="16"/>
        <v>0</v>
      </c>
      <c r="BD71" s="372"/>
      <c r="BE71" s="372"/>
      <c r="BF71" s="372">
        <f>Roles!$D$7</f>
        <v>0.12</v>
      </c>
      <c r="BG71" s="372"/>
      <c r="BH71" s="203">
        <f t="shared" si="17"/>
        <v>0</v>
      </c>
      <c r="BI71" s="372"/>
      <c r="BJ71" s="372"/>
      <c r="BK71" s="372">
        <f>Roles!$D$7</f>
        <v>0.12</v>
      </c>
      <c r="BL71" s="372"/>
      <c r="BM71" s="203">
        <f t="shared" si="18"/>
        <v>0</v>
      </c>
      <c r="BN71" s="372"/>
      <c r="BO71" s="372"/>
      <c r="BP71" s="372">
        <f>Roles!$D$7</f>
        <v>0.12</v>
      </c>
      <c r="BQ71" s="372"/>
      <c r="BR71" s="203">
        <f t="shared" si="19"/>
        <v>0</v>
      </c>
      <c r="BS71" s="372"/>
      <c r="BT71" s="372"/>
      <c r="BU71" s="372">
        <f>Roles!$D$7</f>
        <v>0.12</v>
      </c>
      <c r="BV71" s="372"/>
      <c r="BW71" s="203">
        <f t="shared" si="20"/>
        <v>0</v>
      </c>
      <c r="BX71" s="372"/>
      <c r="BY71" s="372"/>
      <c r="BZ71" s="372">
        <f>Roles!$D$7</f>
        <v>0.12</v>
      </c>
      <c r="CA71" s="372"/>
      <c r="CB71" s="203">
        <f t="shared" si="21"/>
        <v>0</v>
      </c>
      <c r="CC71" s="372"/>
      <c r="CD71" s="372"/>
      <c r="CE71" s="372">
        <f>Roles!$D$7</f>
        <v>0.12</v>
      </c>
      <c r="CF71" s="372"/>
      <c r="CG71" s="203">
        <f t="shared" si="22"/>
        <v>0</v>
      </c>
      <c r="CH71" s="372"/>
      <c r="CI71" s="372"/>
      <c r="CJ71" s="372">
        <f>Roles!$D$7</f>
        <v>0.12</v>
      </c>
      <c r="CK71" s="372"/>
      <c r="CL71" s="203">
        <f t="shared" si="23"/>
        <v>0</v>
      </c>
      <c r="CM71" s="372"/>
      <c r="CN71" s="372"/>
      <c r="CO71" s="372">
        <f>Roles!$D$7</f>
        <v>0.12</v>
      </c>
      <c r="CP71" s="372"/>
      <c r="CQ71" s="203">
        <f t="shared" si="24"/>
        <v>0</v>
      </c>
      <c r="CR71" s="372"/>
      <c r="CS71" s="372"/>
      <c r="CT71" s="372">
        <f>Roles!$D$7</f>
        <v>0.12</v>
      </c>
      <c r="CU71" s="372"/>
      <c r="CV71" s="203">
        <f t="shared" si="25"/>
        <v>0</v>
      </c>
      <c r="CW71" s="372"/>
      <c r="CX71" s="372"/>
      <c r="CY71" s="372">
        <f>Roles!$D$7</f>
        <v>0.12</v>
      </c>
      <c r="CZ71" s="372"/>
      <c r="DA71" s="203">
        <f t="shared" si="26"/>
        <v>0</v>
      </c>
      <c r="DB71" s="372"/>
      <c r="DC71" s="372"/>
      <c r="DD71" s="372">
        <f>Roles!$D$7</f>
        <v>0.12</v>
      </c>
      <c r="DE71" s="372"/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 t="shared" si="1"/>
        <v>2</v>
      </c>
      <c r="F72" s="80">
        <v>15.0</v>
      </c>
      <c r="G72" s="105">
        <f t="shared" si="2"/>
        <v>0.01291989664</v>
      </c>
      <c r="H72" s="47">
        <f t="shared" ref="H72:H73" si="77">H71+G72</f>
        <v>0.2230835487</v>
      </c>
      <c r="I72" s="231">
        <f t="shared" si="75"/>
        <v>0</v>
      </c>
      <c r="J72" s="172">
        <f t="shared" ref="J72:J73" si="78">J71+I72</f>
        <v>462</v>
      </c>
      <c r="K72" s="115">
        <f t="shared" si="3"/>
        <v>0.4059753954</v>
      </c>
      <c r="L72" s="232">
        <f t="shared" si="76"/>
        <v>0</v>
      </c>
      <c r="M72" s="172">
        <f t="shared" ref="M72:M73" si="79">M71+L72</f>
        <v>203.28</v>
      </c>
      <c r="N72" s="323" t="str">
        <f t="shared" si="6"/>
        <v>#REF!</v>
      </c>
      <c r="O72" s="203">
        <f t="shared" si="7"/>
        <v>0</v>
      </c>
      <c r="P72" s="378">
        <v>0.0</v>
      </c>
      <c r="Q72" s="372"/>
      <c r="R72" s="372">
        <f>Roles!$D$5</f>
        <v>0.44</v>
      </c>
      <c r="S72" s="372">
        <f t="shared" si="8"/>
        <v>0</v>
      </c>
      <c r="T72" s="203">
        <f t="shared" si="9"/>
        <v>0</v>
      </c>
      <c r="U72" s="372"/>
      <c r="V72" s="372"/>
      <c r="W72" s="372">
        <f>Roles!$D$7</f>
        <v>0.12</v>
      </c>
      <c r="X72" s="372"/>
      <c r="Y72" s="203">
        <f t="shared" si="10"/>
        <v>0</v>
      </c>
      <c r="Z72" s="372"/>
      <c r="AA72" s="372"/>
      <c r="AB72" s="372">
        <f>Roles!$D$7</f>
        <v>0.12</v>
      </c>
      <c r="AC72" s="372"/>
      <c r="AD72" s="203">
        <f t="shared" si="11"/>
        <v>0</v>
      </c>
      <c r="AE72" s="372"/>
      <c r="AF72" s="372"/>
      <c r="AG72" s="372">
        <f>Roles!$D$7</f>
        <v>0.12</v>
      </c>
      <c r="AH72" s="372"/>
      <c r="AI72" s="203">
        <f t="shared" si="12"/>
        <v>0</v>
      </c>
      <c r="AJ72" s="372"/>
      <c r="AK72" s="372"/>
      <c r="AL72" s="372">
        <f>Roles!$D$7</f>
        <v>0.12</v>
      </c>
      <c r="AM72" s="372"/>
      <c r="AN72" s="203">
        <f t="shared" si="13"/>
        <v>0</v>
      </c>
      <c r="AO72" s="372"/>
      <c r="AP72" s="372"/>
      <c r="AQ72" s="372">
        <f>Roles!$D$7</f>
        <v>0.12</v>
      </c>
      <c r="AR72" s="372"/>
      <c r="AS72" s="203">
        <f t="shared" si="14"/>
        <v>0</v>
      </c>
      <c r="AT72" s="372"/>
      <c r="AU72" s="372"/>
      <c r="AV72" s="372">
        <f>Roles!$D$7</f>
        <v>0.12</v>
      </c>
      <c r="AW72" s="372"/>
      <c r="AX72" s="203">
        <f t="shared" si="15"/>
        <v>0</v>
      </c>
      <c r="AY72" s="372"/>
      <c r="AZ72" s="372"/>
      <c r="BA72" s="372">
        <f>Roles!$D$7</f>
        <v>0.12</v>
      </c>
      <c r="BB72" s="372"/>
      <c r="BC72" s="203">
        <f t="shared" si="16"/>
        <v>0</v>
      </c>
      <c r="BD72" s="372"/>
      <c r="BE72" s="372"/>
      <c r="BF72" s="372">
        <f>Roles!$D$7</f>
        <v>0.12</v>
      </c>
      <c r="BG72" s="372"/>
      <c r="BH72" s="203">
        <f t="shared" si="17"/>
        <v>0</v>
      </c>
      <c r="BI72" s="372"/>
      <c r="BJ72" s="372"/>
      <c r="BK72" s="372">
        <f>Roles!$D$7</f>
        <v>0.12</v>
      </c>
      <c r="BL72" s="372"/>
      <c r="BM72" s="203">
        <f t="shared" si="18"/>
        <v>0</v>
      </c>
      <c r="BN72" s="372"/>
      <c r="BO72" s="372"/>
      <c r="BP72" s="372">
        <f>Roles!$D$7</f>
        <v>0.12</v>
      </c>
      <c r="BQ72" s="372"/>
      <c r="BR72" s="203">
        <f t="shared" si="19"/>
        <v>0</v>
      </c>
      <c r="BS72" s="372"/>
      <c r="BT72" s="372"/>
      <c r="BU72" s="372">
        <f>Roles!$D$7</f>
        <v>0.12</v>
      </c>
      <c r="BV72" s="372"/>
      <c r="BW72" s="203">
        <f t="shared" si="20"/>
        <v>0</v>
      </c>
      <c r="BX72" s="372"/>
      <c r="BY72" s="372"/>
      <c r="BZ72" s="372">
        <f>Roles!$D$7</f>
        <v>0.12</v>
      </c>
      <c r="CA72" s="372"/>
      <c r="CB72" s="203">
        <f t="shared" si="21"/>
        <v>0</v>
      </c>
      <c r="CC72" s="372"/>
      <c r="CD72" s="372"/>
      <c r="CE72" s="372">
        <f>Roles!$D$7</f>
        <v>0.12</v>
      </c>
      <c r="CF72" s="372"/>
      <c r="CG72" s="203">
        <f t="shared" si="22"/>
        <v>0</v>
      </c>
      <c r="CH72" s="372"/>
      <c r="CI72" s="372"/>
      <c r="CJ72" s="372">
        <f>Roles!$D$7</f>
        <v>0.12</v>
      </c>
      <c r="CK72" s="372"/>
      <c r="CL72" s="203">
        <f t="shared" si="23"/>
        <v>0</v>
      </c>
      <c r="CM72" s="372"/>
      <c r="CN72" s="372"/>
      <c r="CO72" s="372">
        <f>Roles!$D$7</f>
        <v>0.12</v>
      </c>
      <c r="CP72" s="372"/>
      <c r="CQ72" s="203">
        <f t="shared" si="24"/>
        <v>0</v>
      </c>
      <c r="CR72" s="372"/>
      <c r="CS72" s="372"/>
      <c r="CT72" s="372">
        <f>Roles!$D$7</f>
        <v>0.12</v>
      </c>
      <c r="CU72" s="372"/>
      <c r="CV72" s="203">
        <f t="shared" si="25"/>
        <v>0</v>
      </c>
      <c r="CW72" s="372"/>
      <c r="CX72" s="372"/>
      <c r="CY72" s="372">
        <f>Roles!$D$7</f>
        <v>0.12</v>
      </c>
      <c r="CZ72" s="372"/>
      <c r="DA72" s="203">
        <f t="shared" si="26"/>
        <v>0</v>
      </c>
      <c r="DB72" s="372"/>
      <c r="DC72" s="372"/>
      <c r="DD72" s="372">
        <f>Roles!$D$7</f>
        <v>0.12</v>
      </c>
      <c r="DE72" s="372"/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 t="shared" si="1"/>
        <v>1</v>
      </c>
      <c r="F73" s="80">
        <v>10.0</v>
      </c>
      <c r="G73" s="105">
        <f t="shared" si="2"/>
        <v>0.008613264427</v>
      </c>
      <c r="H73" s="47">
        <f t="shared" si="77"/>
        <v>0.2316968131</v>
      </c>
      <c r="I73" s="231">
        <f t="shared" si="75"/>
        <v>0</v>
      </c>
      <c r="J73" s="172">
        <f t="shared" si="78"/>
        <v>462</v>
      </c>
      <c r="K73" s="115">
        <f t="shared" si="3"/>
        <v>0.4059753954</v>
      </c>
      <c r="L73" s="232">
        <f t="shared" si="76"/>
        <v>0</v>
      </c>
      <c r="M73" s="172">
        <f t="shared" si="79"/>
        <v>203.28</v>
      </c>
      <c r="N73" s="167" t="str">
        <f t="shared" si="6"/>
        <v>#REF!</v>
      </c>
      <c r="O73" s="203">
        <f t="shared" si="7"/>
        <v>0</v>
      </c>
      <c r="P73" s="378">
        <v>0.0</v>
      </c>
      <c r="Q73" s="372"/>
      <c r="R73" s="372">
        <f>Roles!$D$5</f>
        <v>0.44</v>
      </c>
      <c r="S73" s="372">
        <f t="shared" si="8"/>
        <v>0</v>
      </c>
      <c r="T73" s="203">
        <f t="shared" si="9"/>
        <v>0</v>
      </c>
      <c r="U73" s="372"/>
      <c r="V73" s="372"/>
      <c r="W73" s="372">
        <f>Roles!$D$7</f>
        <v>0.12</v>
      </c>
      <c r="X73" s="372"/>
      <c r="Y73" s="203">
        <f t="shared" si="10"/>
        <v>0</v>
      </c>
      <c r="Z73" s="372"/>
      <c r="AA73" s="372"/>
      <c r="AB73" s="372">
        <f>Roles!$D$7</f>
        <v>0.12</v>
      </c>
      <c r="AC73" s="372"/>
      <c r="AD73" s="203">
        <f t="shared" si="11"/>
        <v>0</v>
      </c>
      <c r="AE73" s="372"/>
      <c r="AF73" s="372"/>
      <c r="AG73" s="372">
        <f>Roles!$D$7</f>
        <v>0.12</v>
      </c>
      <c r="AH73" s="372"/>
      <c r="AI73" s="203">
        <f t="shared" si="12"/>
        <v>0</v>
      </c>
      <c r="AJ73" s="372"/>
      <c r="AK73" s="372"/>
      <c r="AL73" s="372">
        <f>Roles!$D$7</f>
        <v>0.12</v>
      </c>
      <c r="AM73" s="372"/>
      <c r="AN73" s="203">
        <f t="shared" si="13"/>
        <v>0</v>
      </c>
      <c r="AO73" s="372"/>
      <c r="AP73" s="372"/>
      <c r="AQ73" s="372">
        <f>Roles!$D$7</f>
        <v>0.12</v>
      </c>
      <c r="AR73" s="372"/>
      <c r="AS73" s="203">
        <f t="shared" si="14"/>
        <v>0</v>
      </c>
      <c r="AT73" s="372"/>
      <c r="AU73" s="372"/>
      <c r="AV73" s="372">
        <f>Roles!$D$7</f>
        <v>0.12</v>
      </c>
      <c r="AW73" s="372"/>
      <c r="AX73" s="203">
        <f t="shared" si="15"/>
        <v>0</v>
      </c>
      <c r="AY73" s="372"/>
      <c r="AZ73" s="372"/>
      <c r="BA73" s="372">
        <f>Roles!$D$7</f>
        <v>0.12</v>
      </c>
      <c r="BB73" s="372"/>
      <c r="BC73" s="203">
        <f t="shared" si="16"/>
        <v>0</v>
      </c>
      <c r="BD73" s="372"/>
      <c r="BE73" s="372"/>
      <c r="BF73" s="372">
        <f>Roles!$D$7</f>
        <v>0.12</v>
      </c>
      <c r="BG73" s="372"/>
      <c r="BH73" s="203">
        <f t="shared" si="17"/>
        <v>0</v>
      </c>
      <c r="BI73" s="372"/>
      <c r="BJ73" s="372"/>
      <c r="BK73" s="372">
        <f>Roles!$D$7</f>
        <v>0.12</v>
      </c>
      <c r="BL73" s="372"/>
      <c r="BM73" s="203">
        <f t="shared" si="18"/>
        <v>0</v>
      </c>
      <c r="BN73" s="372"/>
      <c r="BO73" s="372"/>
      <c r="BP73" s="372">
        <f>Roles!$D$7</f>
        <v>0.12</v>
      </c>
      <c r="BQ73" s="372"/>
      <c r="BR73" s="203">
        <f t="shared" si="19"/>
        <v>0</v>
      </c>
      <c r="BS73" s="372"/>
      <c r="BT73" s="372"/>
      <c r="BU73" s="372">
        <f>Roles!$D$7</f>
        <v>0.12</v>
      </c>
      <c r="BV73" s="372"/>
      <c r="BW73" s="203">
        <f t="shared" si="20"/>
        <v>0</v>
      </c>
      <c r="BX73" s="372"/>
      <c r="BY73" s="372"/>
      <c r="BZ73" s="372">
        <f>Roles!$D$7</f>
        <v>0.12</v>
      </c>
      <c r="CA73" s="372"/>
      <c r="CB73" s="203">
        <f t="shared" si="21"/>
        <v>0</v>
      </c>
      <c r="CC73" s="372"/>
      <c r="CD73" s="372"/>
      <c r="CE73" s="372">
        <f>Roles!$D$7</f>
        <v>0.12</v>
      </c>
      <c r="CF73" s="372"/>
      <c r="CG73" s="203">
        <f t="shared" si="22"/>
        <v>0</v>
      </c>
      <c r="CH73" s="372"/>
      <c r="CI73" s="372"/>
      <c r="CJ73" s="372">
        <f>Roles!$D$7</f>
        <v>0.12</v>
      </c>
      <c r="CK73" s="372"/>
      <c r="CL73" s="203">
        <f t="shared" si="23"/>
        <v>0</v>
      </c>
      <c r="CM73" s="372"/>
      <c r="CN73" s="372"/>
      <c r="CO73" s="372">
        <f>Roles!$D$7</f>
        <v>0.12</v>
      </c>
      <c r="CP73" s="372"/>
      <c r="CQ73" s="203">
        <f t="shared" si="24"/>
        <v>0</v>
      </c>
      <c r="CR73" s="372"/>
      <c r="CS73" s="372"/>
      <c r="CT73" s="372">
        <f>Roles!$D$7</f>
        <v>0.12</v>
      </c>
      <c r="CU73" s="372"/>
      <c r="CV73" s="203">
        <f t="shared" si="25"/>
        <v>0</v>
      </c>
      <c r="CW73" s="372"/>
      <c r="CX73" s="372"/>
      <c r="CY73" s="372">
        <f>Roles!$D$7</f>
        <v>0.12</v>
      </c>
      <c r="CZ73" s="372"/>
      <c r="DA73" s="203">
        <f t="shared" si="26"/>
        <v>0</v>
      </c>
      <c r="DB73" s="372"/>
      <c r="DC73" s="372"/>
      <c r="DD73" s="372">
        <f>Roles!$D$7</f>
        <v>0.12</v>
      </c>
      <c r="DE73" s="372"/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 t="shared" si="1"/>
        <v>3</v>
      </c>
      <c r="F74" s="246">
        <f>SUM(F75:F78)</f>
        <v>32</v>
      </c>
      <c r="G74" s="105">
        <f t="shared" si="2"/>
        <v>0.02756244617</v>
      </c>
      <c r="H74" s="226">
        <f>H78</f>
        <v>0.2592592593</v>
      </c>
      <c r="I74" s="247">
        <f>SUM(I75:I78)</f>
        <v>2</v>
      </c>
      <c r="J74" s="247">
        <f>J78</f>
        <v>464</v>
      </c>
      <c r="K74" s="167">
        <f t="shared" si="3"/>
        <v>0.4077328647</v>
      </c>
      <c r="L74" s="247">
        <f>SUM(L75:L78)</f>
        <v>0.88</v>
      </c>
      <c r="M74" s="247">
        <f>M78</f>
        <v>204.16</v>
      </c>
      <c r="N74" s="167" t="str">
        <f t="shared" si="6"/>
        <v>#REF!</v>
      </c>
      <c r="O74" s="203">
        <f t="shared" si="7"/>
        <v>0</v>
      </c>
      <c r="P74" s="372"/>
      <c r="Q74" s="372"/>
      <c r="R74" s="372">
        <f>Roles!$D$5</f>
        <v>0.44</v>
      </c>
      <c r="S74" s="372">
        <f t="shared" si="8"/>
        <v>0</v>
      </c>
      <c r="T74" s="203">
        <f t="shared" si="9"/>
        <v>0</v>
      </c>
      <c r="U74" s="372"/>
      <c r="V74" s="372"/>
      <c r="W74" s="372">
        <f>Roles!$D$7</f>
        <v>0.12</v>
      </c>
      <c r="X74" s="372"/>
      <c r="Y74" s="203">
        <f t="shared" si="10"/>
        <v>0</v>
      </c>
      <c r="Z74" s="372"/>
      <c r="AA74" s="372"/>
      <c r="AB74" s="372">
        <f>Roles!$D$7</f>
        <v>0.12</v>
      </c>
      <c r="AC74" s="372"/>
      <c r="AD74" s="203">
        <f t="shared" si="11"/>
        <v>0</v>
      </c>
      <c r="AE74" s="372"/>
      <c r="AF74" s="372"/>
      <c r="AG74" s="372">
        <f>Roles!$D$7</f>
        <v>0.12</v>
      </c>
      <c r="AH74" s="372"/>
      <c r="AI74" s="203">
        <f t="shared" si="12"/>
        <v>0</v>
      </c>
      <c r="AJ74" s="372"/>
      <c r="AK74" s="372"/>
      <c r="AL74" s="372">
        <f>Roles!$D$7</f>
        <v>0.12</v>
      </c>
      <c r="AM74" s="372"/>
      <c r="AN74" s="203">
        <f t="shared" si="13"/>
        <v>0</v>
      </c>
      <c r="AO74" s="372"/>
      <c r="AP74" s="372"/>
      <c r="AQ74" s="372">
        <f>Roles!$D$7</f>
        <v>0.12</v>
      </c>
      <c r="AR74" s="372"/>
      <c r="AS74" s="203">
        <f t="shared" si="14"/>
        <v>0</v>
      </c>
      <c r="AT74" s="372"/>
      <c r="AU74" s="372"/>
      <c r="AV74" s="372">
        <f>Roles!$D$7</f>
        <v>0.12</v>
      </c>
      <c r="AW74" s="372"/>
      <c r="AX74" s="203">
        <f t="shared" si="15"/>
        <v>0</v>
      </c>
      <c r="AY74" s="372"/>
      <c r="AZ74" s="372"/>
      <c r="BA74" s="372">
        <f>Roles!$D$7</f>
        <v>0.12</v>
      </c>
      <c r="BB74" s="372"/>
      <c r="BC74" s="203">
        <f t="shared" si="16"/>
        <v>0</v>
      </c>
      <c r="BD74" s="372"/>
      <c r="BE74" s="372"/>
      <c r="BF74" s="372">
        <f>Roles!$D$7</f>
        <v>0.12</v>
      </c>
      <c r="BG74" s="372"/>
      <c r="BH74" s="203">
        <f t="shared" si="17"/>
        <v>0</v>
      </c>
      <c r="BI74" s="372"/>
      <c r="BJ74" s="372"/>
      <c r="BK74" s="372">
        <f>Roles!$D$7</f>
        <v>0.12</v>
      </c>
      <c r="BL74" s="372"/>
      <c r="BM74" s="203">
        <f t="shared" si="18"/>
        <v>0</v>
      </c>
      <c r="BN74" s="372"/>
      <c r="BO74" s="372"/>
      <c r="BP74" s="372">
        <f>Roles!$D$7</f>
        <v>0.12</v>
      </c>
      <c r="BQ74" s="372"/>
      <c r="BR74" s="203">
        <f t="shared" si="19"/>
        <v>0</v>
      </c>
      <c r="BS74" s="372"/>
      <c r="BT74" s="372"/>
      <c r="BU74" s="372">
        <f>Roles!$D$7</f>
        <v>0.12</v>
      </c>
      <c r="BV74" s="372"/>
      <c r="BW74" s="203">
        <f t="shared" si="20"/>
        <v>0</v>
      </c>
      <c r="BX74" s="372"/>
      <c r="BY74" s="372"/>
      <c r="BZ74" s="372">
        <f>Roles!$D$7</f>
        <v>0.12</v>
      </c>
      <c r="CA74" s="372"/>
      <c r="CB74" s="203">
        <f t="shared" si="21"/>
        <v>0</v>
      </c>
      <c r="CC74" s="372"/>
      <c r="CD74" s="372"/>
      <c r="CE74" s="372">
        <f>Roles!$D$7</f>
        <v>0.12</v>
      </c>
      <c r="CF74" s="372"/>
      <c r="CG74" s="203">
        <f t="shared" si="22"/>
        <v>0</v>
      </c>
      <c r="CH74" s="372"/>
      <c r="CI74" s="372"/>
      <c r="CJ74" s="372">
        <f>Roles!$D$7</f>
        <v>0.12</v>
      </c>
      <c r="CK74" s="372"/>
      <c r="CL74" s="203">
        <f t="shared" si="23"/>
        <v>0</v>
      </c>
      <c r="CM74" s="372"/>
      <c r="CN74" s="372"/>
      <c r="CO74" s="372">
        <f>Roles!$D$7</f>
        <v>0.12</v>
      </c>
      <c r="CP74" s="372"/>
      <c r="CQ74" s="203">
        <f t="shared" si="24"/>
        <v>0</v>
      </c>
      <c r="CR74" s="372"/>
      <c r="CS74" s="372"/>
      <c r="CT74" s="372">
        <f>Roles!$D$7</f>
        <v>0.12</v>
      </c>
      <c r="CU74" s="372"/>
      <c r="CV74" s="203">
        <f t="shared" si="25"/>
        <v>0</v>
      </c>
      <c r="CW74" s="372"/>
      <c r="CX74" s="372"/>
      <c r="CY74" s="372">
        <f>Roles!$D$7</f>
        <v>0.12</v>
      </c>
      <c r="CZ74" s="372"/>
      <c r="DA74" s="203">
        <f t="shared" si="26"/>
        <v>0</v>
      </c>
      <c r="DB74" s="372"/>
      <c r="DC74" s="372"/>
      <c r="DD74" s="372">
        <f>Roles!$D$7</f>
        <v>0.12</v>
      </c>
      <c r="DE74" s="372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 t="shared" si="1"/>
        <v>2</v>
      </c>
      <c r="F75" s="80">
        <v>4.0</v>
      </c>
      <c r="G75" s="105">
        <f t="shared" si="2"/>
        <v>0.003445305771</v>
      </c>
      <c r="H75" s="47">
        <f>H73+G75</f>
        <v>0.2351421189</v>
      </c>
      <c r="I75" s="231">
        <f t="shared" ref="I75:I78" si="80">P75+U75+Z75+AE75+AJ75+AO75+AT75+AY75+BD75+BI75+BN75+BS75+BX75+CC75+CH75+CM75+CR75+CW75+DB75</f>
        <v>2</v>
      </c>
      <c r="J75" s="172">
        <f>J73+I75</f>
        <v>464</v>
      </c>
      <c r="K75" s="115">
        <f t="shared" si="3"/>
        <v>0.4077328647</v>
      </c>
      <c r="L75" s="232">
        <f t="shared" ref="L75:L78" si="81">S75+X75+AC75+AH75+AM75+AR75+AW75+BB75+BG75+BL75+BQ75+BV75+CA75+CF75+CK75+CP75+CU75+CZ75+DE75</f>
        <v>0.88</v>
      </c>
      <c r="M75" s="172">
        <f>M73+L75</f>
        <v>204.16</v>
      </c>
      <c r="N75" s="323" t="str">
        <f t="shared" si="6"/>
        <v>#REF!</v>
      </c>
      <c r="O75" s="203">
        <f t="shared" si="7"/>
        <v>0.5</v>
      </c>
      <c r="P75" s="378">
        <v>2.0</v>
      </c>
      <c r="Q75" s="372"/>
      <c r="R75" s="372">
        <f>Roles!$D$5</f>
        <v>0.44</v>
      </c>
      <c r="S75" s="372">
        <f t="shared" si="8"/>
        <v>0.88</v>
      </c>
      <c r="T75" s="203">
        <f t="shared" si="9"/>
        <v>0</v>
      </c>
      <c r="U75" s="372"/>
      <c r="V75" s="372"/>
      <c r="W75" s="372">
        <f>Roles!$D$7</f>
        <v>0.12</v>
      </c>
      <c r="X75" s="372"/>
      <c r="Y75" s="203">
        <f t="shared" si="10"/>
        <v>0</v>
      </c>
      <c r="Z75" s="372"/>
      <c r="AA75" s="372"/>
      <c r="AB75" s="372">
        <f>Roles!$D$7</f>
        <v>0.12</v>
      </c>
      <c r="AC75" s="372"/>
      <c r="AD75" s="203">
        <f t="shared" si="11"/>
        <v>0</v>
      </c>
      <c r="AE75" s="372"/>
      <c r="AF75" s="372"/>
      <c r="AG75" s="372">
        <f>Roles!$D$7</f>
        <v>0.12</v>
      </c>
      <c r="AH75" s="372"/>
      <c r="AI75" s="203">
        <f t="shared" si="12"/>
        <v>0</v>
      </c>
      <c r="AJ75" s="372"/>
      <c r="AK75" s="372"/>
      <c r="AL75" s="372">
        <f>Roles!$D$7</f>
        <v>0.12</v>
      </c>
      <c r="AM75" s="372"/>
      <c r="AN75" s="203">
        <f t="shared" si="13"/>
        <v>0</v>
      </c>
      <c r="AO75" s="372"/>
      <c r="AP75" s="372"/>
      <c r="AQ75" s="372">
        <f>Roles!$D$7</f>
        <v>0.12</v>
      </c>
      <c r="AR75" s="372"/>
      <c r="AS75" s="203">
        <f t="shared" si="14"/>
        <v>0</v>
      </c>
      <c r="AT75" s="372"/>
      <c r="AU75" s="372"/>
      <c r="AV75" s="372">
        <f>Roles!$D$7</f>
        <v>0.12</v>
      </c>
      <c r="AW75" s="372"/>
      <c r="AX75" s="203">
        <f t="shared" si="15"/>
        <v>0</v>
      </c>
      <c r="AY75" s="372"/>
      <c r="AZ75" s="372"/>
      <c r="BA75" s="372">
        <f>Roles!$D$7</f>
        <v>0.12</v>
      </c>
      <c r="BB75" s="372"/>
      <c r="BC75" s="203">
        <f t="shared" si="16"/>
        <v>0</v>
      </c>
      <c r="BD75" s="372"/>
      <c r="BE75" s="372"/>
      <c r="BF75" s="372">
        <f>Roles!$D$7</f>
        <v>0.12</v>
      </c>
      <c r="BG75" s="372"/>
      <c r="BH75" s="203">
        <f t="shared" si="17"/>
        <v>0</v>
      </c>
      <c r="BI75" s="372"/>
      <c r="BJ75" s="372"/>
      <c r="BK75" s="372">
        <f>Roles!$D$7</f>
        <v>0.12</v>
      </c>
      <c r="BL75" s="372"/>
      <c r="BM75" s="203">
        <f t="shared" si="18"/>
        <v>0</v>
      </c>
      <c r="BN75" s="372"/>
      <c r="BO75" s="372"/>
      <c r="BP75" s="372">
        <f>Roles!$D$7</f>
        <v>0.12</v>
      </c>
      <c r="BQ75" s="372"/>
      <c r="BR75" s="203">
        <f t="shared" si="19"/>
        <v>0</v>
      </c>
      <c r="BS75" s="372"/>
      <c r="BT75" s="372"/>
      <c r="BU75" s="372">
        <f>Roles!$D$7</f>
        <v>0.12</v>
      </c>
      <c r="BV75" s="372"/>
      <c r="BW75" s="203">
        <f t="shared" si="20"/>
        <v>0</v>
      </c>
      <c r="BX75" s="372"/>
      <c r="BY75" s="372"/>
      <c r="BZ75" s="372">
        <f>Roles!$D$7</f>
        <v>0.12</v>
      </c>
      <c r="CA75" s="372"/>
      <c r="CB75" s="203">
        <f t="shared" si="21"/>
        <v>0</v>
      </c>
      <c r="CC75" s="372"/>
      <c r="CD75" s="372"/>
      <c r="CE75" s="372">
        <f>Roles!$D$7</f>
        <v>0.12</v>
      </c>
      <c r="CF75" s="372"/>
      <c r="CG75" s="203">
        <f t="shared" si="22"/>
        <v>0</v>
      </c>
      <c r="CH75" s="372"/>
      <c r="CI75" s="372"/>
      <c r="CJ75" s="372">
        <f>Roles!$D$7</f>
        <v>0.12</v>
      </c>
      <c r="CK75" s="372"/>
      <c r="CL75" s="203">
        <f t="shared" si="23"/>
        <v>0</v>
      </c>
      <c r="CM75" s="372"/>
      <c r="CN75" s="372"/>
      <c r="CO75" s="372">
        <f>Roles!$D$7</f>
        <v>0.12</v>
      </c>
      <c r="CP75" s="372"/>
      <c r="CQ75" s="203">
        <f t="shared" si="24"/>
        <v>0</v>
      </c>
      <c r="CR75" s="372"/>
      <c r="CS75" s="372"/>
      <c r="CT75" s="372">
        <f>Roles!$D$7</f>
        <v>0.12</v>
      </c>
      <c r="CU75" s="372"/>
      <c r="CV75" s="203">
        <f t="shared" si="25"/>
        <v>0</v>
      </c>
      <c r="CW75" s="372"/>
      <c r="CX75" s="372"/>
      <c r="CY75" s="372">
        <f>Roles!$D$7</f>
        <v>0.12</v>
      </c>
      <c r="CZ75" s="372"/>
      <c r="DA75" s="203">
        <f t="shared" si="26"/>
        <v>0</v>
      </c>
      <c r="DB75" s="372"/>
      <c r="DC75" s="372"/>
      <c r="DD75" s="372">
        <f>Roles!$D$7</f>
        <v>0.12</v>
      </c>
      <c r="DE75" s="372"/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 t="shared" si="1"/>
        <v>2</v>
      </c>
      <c r="F76" s="80">
        <v>15.0</v>
      </c>
      <c r="G76" s="105">
        <f t="shared" si="2"/>
        <v>0.01291989664</v>
      </c>
      <c r="H76" s="47">
        <f t="shared" ref="H76:H79" si="82">H75+G76</f>
        <v>0.2480620155</v>
      </c>
      <c r="I76" s="231">
        <f t="shared" si="80"/>
        <v>0</v>
      </c>
      <c r="J76" s="172">
        <f t="shared" ref="J76:J79" si="83">J75+I76</f>
        <v>464</v>
      </c>
      <c r="K76" s="115">
        <f t="shared" si="3"/>
        <v>0.4077328647</v>
      </c>
      <c r="L76" s="232">
        <f t="shared" si="81"/>
        <v>0</v>
      </c>
      <c r="M76" s="172">
        <f t="shared" ref="M76:M79" si="84">M75+L76</f>
        <v>204.16</v>
      </c>
      <c r="N76" s="323" t="str">
        <f t="shared" si="6"/>
        <v>#REF!</v>
      </c>
      <c r="O76" s="203">
        <f t="shared" si="7"/>
        <v>0</v>
      </c>
      <c r="P76" s="378">
        <v>0.0</v>
      </c>
      <c r="Q76" s="372"/>
      <c r="R76" s="372">
        <f>Roles!$D$5</f>
        <v>0.44</v>
      </c>
      <c r="S76" s="372">
        <f t="shared" si="8"/>
        <v>0</v>
      </c>
      <c r="T76" s="203">
        <f t="shared" si="9"/>
        <v>0</v>
      </c>
      <c r="U76" s="372"/>
      <c r="V76" s="372"/>
      <c r="W76" s="372">
        <f>Roles!$D$7</f>
        <v>0.12</v>
      </c>
      <c r="X76" s="372"/>
      <c r="Y76" s="203">
        <f t="shared" si="10"/>
        <v>0</v>
      </c>
      <c r="Z76" s="372"/>
      <c r="AA76" s="372"/>
      <c r="AB76" s="372">
        <f>Roles!$D$7</f>
        <v>0.12</v>
      </c>
      <c r="AC76" s="372"/>
      <c r="AD76" s="203">
        <f t="shared" si="11"/>
        <v>0</v>
      </c>
      <c r="AE76" s="372"/>
      <c r="AF76" s="372"/>
      <c r="AG76" s="372">
        <f>Roles!$D$7</f>
        <v>0.12</v>
      </c>
      <c r="AH76" s="372"/>
      <c r="AI76" s="203">
        <f t="shared" si="12"/>
        <v>0</v>
      </c>
      <c r="AJ76" s="372"/>
      <c r="AK76" s="372"/>
      <c r="AL76" s="372">
        <f>Roles!$D$7</f>
        <v>0.12</v>
      </c>
      <c r="AM76" s="372"/>
      <c r="AN76" s="203">
        <f t="shared" si="13"/>
        <v>0</v>
      </c>
      <c r="AO76" s="372"/>
      <c r="AP76" s="372"/>
      <c r="AQ76" s="372">
        <f>Roles!$D$7</f>
        <v>0.12</v>
      </c>
      <c r="AR76" s="372"/>
      <c r="AS76" s="203">
        <f t="shared" si="14"/>
        <v>0</v>
      </c>
      <c r="AT76" s="372"/>
      <c r="AU76" s="372"/>
      <c r="AV76" s="372">
        <f>Roles!$D$7</f>
        <v>0.12</v>
      </c>
      <c r="AW76" s="372"/>
      <c r="AX76" s="203">
        <f t="shared" si="15"/>
        <v>0</v>
      </c>
      <c r="AY76" s="372"/>
      <c r="AZ76" s="372"/>
      <c r="BA76" s="372">
        <f>Roles!$D$7</f>
        <v>0.12</v>
      </c>
      <c r="BB76" s="372"/>
      <c r="BC76" s="203">
        <f t="shared" si="16"/>
        <v>0</v>
      </c>
      <c r="BD76" s="372"/>
      <c r="BE76" s="372"/>
      <c r="BF76" s="372">
        <f>Roles!$D$7</f>
        <v>0.12</v>
      </c>
      <c r="BG76" s="372"/>
      <c r="BH76" s="203">
        <f t="shared" si="17"/>
        <v>0</v>
      </c>
      <c r="BI76" s="372"/>
      <c r="BJ76" s="372"/>
      <c r="BK76" s="372">
        <f>Roles!$D$7</f>
        <v>0.12</v>
      </c>
      <c r="BL76" s="372"/>
      <c r="BM76" s="203">
        <f t="shared" si="18"/>
        <v>0</v>
      </c>
      <c r="BN76" s="372"/>
      <c r="BO76" s="372"/>
      <c r="BP76" s="372">
        <f>Roles!$D$7</f>
        <v>0.12</v>
      </c>
      <c r="BQ76" s="372"/>
      <c r="BR76" s="203">
        <f t="shared" si="19"/>
        <v>0</v>
      </c>
      <c r="BS76" s="372"/>
      <c r="BT76" s="372"/>
      <c r="BU76" s="372">
        <f>Roles!$D$7</f>
        <v>0.12</v>
      </c>
      <c r="BV76" s="372"/>
      <c r="BW76" s="203">
        <f t="shared" si="20"/>
        <v>0</v>
      </c>
      <c r="BX76" s="372"/>
      <c r="BY76" s="372"/>
      <c r="BZ76" s="372">
        <f>Roles!$D$7</f>
        <v>0.12</v>
      </c>
      <c r="CA76" s="372"/>
      <c r="CB76" s="203">
        <f t="shared" si="21"/>
        <v>0</v>
      </c>
      <c r="CC76" s="372"/>
      <c r="CD76" s="372"/>
      <c r="CE76" s="372">
        <f>Roles!$D$7</f>
        <v>0.12</v>
      </c>
      <c r="CF76" s="372"/>
      <c r="CG76" s="203">
        <f t="shared" si="22"/>
        <v>0</v>
      </c>
      <c r="CH76" s="372"/>
      <c r="CI76" s="372"/>
      <c r="CJ76" s="372">
        <f>Roles!$D$7</f>
        <v>0.12</v>
      </c>
      <c r="CK76" s="372"/>
      <c r="CL76" s="203">
        <f t="shared" si="23"/>
        <v>0</v>
      </c>
      <c r="CM76" s="372"/>
      <c r="CN76" s="372"/>
      <c r="CO76" s="372">
        <f>Roles!$D$7</f>
        <v>0.12</v>
      </c>
      <c r="CP76" s="372"/>
      <c r="CQ76" s="203">
        <f t="shared" si="24"/>
        <v>0</v>
      </c>
      <c r="CR76" s="372"/>
      <c r="CS76" s="372"/>
      <c r="CT76" s="372">
        <f>Roles!$D$7</f>
        <v>0.12</v>
      </c>
      <c r="CU76" s="372"/>
      <c r="CV76" s="203">
        <f t="shared" si="25"/>
        <v>0</v>
      </c>
      <c r="CW76" s="372"/>
      <c r="CX76" s="372"/>
      <c r="CY76" s="372">
        <f>Roles!$D$7</f>
        <v>0.12</v>
      </c>
      <c r="CZ76" s="372"/>
      <c r="DA76" s="203">
        <f t="shared" si="26"/>
        <v>0</v>
      </c>
      <c r="DB76" s="372"/>
      <c r="DC76" s="372"/>
      <c r="DD76" s="372">
        <f>Roles!$D$7</f>
        <v>0.12</v>
      </c>
      <c r="DE76" s="372"/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 t="shared" si="1"/>
        <v>1</v>
      </c>
      <c r="F77" s="80">
        <v>3.0</v>
      </c>
      <c r="G77" s="105">
        <f t="shared" si="2"/>
        <v>0.002583979328</v>
      </c>
      <c r="H77" s="47">
        <f t="shared" si="82"/>
        <v>0.2506459948</v>
      </c>
      <c r="I77" s="231">
        <f t="shared" si="80"/>
        <v>0</v>
      </c>
      <c r="J77" s="172">
        <f t="shared" si="83"/>
        <v>464</v>
      </c>
      <c r="K77" s="115">
        <f t="shared" si="3"/>
        <v>0.4077328647</v>
      </c>
      <c r="L77" s="232">
        <f t="shared" si="81"/>
        <v>0</v>
      </c>
      <c r="M77" s="172">
        <f t="shared" si="84"/>
        <v>204.16</v>
      </c>
      <c r="N77" s="226" t="str">
        <f t="shared" si="6"/>
        <v>#REF!</v>
      </c>
      <c r="O77" s="203">
        <f t="shared" si="7"/>
        <v>0</v>
      </c>
      <c r="P77" s="378">
        <v>0.0</v>
      </c>
      <c r="Q77" s="372"/>
      <c r="R77" s="372">
        <f>Roles!$D$5</f>
        <v>0.44</v>
      </c>
      <c r="S77" s="372">
        <f t="shared" si="8"/>
        <v>0</v>
      </c>
      <c r="T77" s="203">
        <f t="shared" si="9"/>
        <v>0</v>
      </c>
      <c r="U77" s="372"/>
      <c r="V77" s="372"/>
      <c r="W77" s="372">
        <f>Roles!$D$7</f>
        <v>0.12</v>
      </c>
      <c r="X77" s="372"/>
      <c r="Y77" s="203">
        <f t="shared" si="10"/>
        <v>0</v>
      </c>
      <c r="Z77" s="372"/>
      <c r="AA77" s="372"/>
      <c r="AB77" s="372">
        <f>Roles!$D$7</f>
        <v>0.12</v>
      </c>
      <c r="AC77" s="372"/>
      <c r="AD77" s="203">
        <f t="shared" si="11"/>
        <v>0</v>
      </c>
      <c r="AE77" s="372"/>
      <c r="AF77" s="372"/>
      <c r="AG77" s="372">
        <f>Roles!$D$7</f>
        <v>0.12</v>
      </c>
      <c r="AH77" s="372"/>
      <c r="AI77" s="203">
        <f t="shared" si="12"/>
        <v>0</v>
      </c>
      <c r="AJ77" s="372"/>
      <c r="AK77" s="372"/>
      <c r="AL77" s="372">
        <f>Roles!$D$7</f>
        <v>0.12</v>
      </c>
      <c r="AM77" s="372"/>
      <c r="AN77" s="203">
        <f t="shared" si="13"/>
        <v>0</v>
      </c>
      <c r="AO77" s="372"/>
      <c r="AP77" s="372"/>
      <c r="AQ77" s="372">
        <f>Roles!$D$7</f>
        <v>0.12</v>
      </c>
      <c r="AR77" s="372"/>
      <c r="AS77" s="203">
        <f t="shared" si="14"/>
        <v>0</v>
      </c>
      <c r="AT77" s="372"/>
      <c r="AU77" s="372"/>
      <c r="AV77" s="372">
        <f>Roles!$D$7</f>
        <v>0.12</v>
      </c>
      <c r="AW77" s="372"/>
      <c r="AX77" s="203">
        <f t="shared" si="15"/>
        <v>0</v>
      </c>
      <c r="AY77" s="372"/>
      <c r="AZ77" s="372"/>
      <c r="BA77" s="372">
        <f>Roles!$D$7</f>
        <v>0.12</v>
      </c>
      <c r="BB77" s="372"/>
      <c r="BC77" s="203">
        <f t="shared" si="16"/>
        <v>0</v>
      </c>
      <c r="BD77" s="372"/>
      <c r="BE77" s="372"/>
      <c r="BF77" s="372">
        <f>Roles!$D$7</f>
        <v>0.12</v>
      </c>
      <c r="BG77" s="372"/>
      <c r="BH77" s="203">
        <f t="shared" si="17"/>
        <v>0</v>
      </c>
      <c r="BI77" s="372"/>
      <c r="BJ77" s="372"/>
      <c r="BK77" s="372">
        <f>Roles!$D$7</f>
        <v>0.12</v>
      </c>
      <c r="BL77" s="372"/>
      <c r="BM77" s="203">
        <f t="shared" si="18"/>
        <v>0</v>
      </c>
      <c r="BN77" s="372"/>
      <c r="BO77" s="372"/>
      <c r="BP77" s="372">
        <f>Roles!$D$7</f>
        <v>0.12</v>
      </c>
      <c r="BQ77" s="372"/>
      <c r="BR77" s="203">
        <f t="shared" si="19"/>
        <v>0</v>
      </c>
      <c r="BS77" s="372"/>
      <c r="BT77" s="372"/>
      <c r="BU77" s="372">
        <f>Roles!$D$7</f>
        <v>0.12</v>
      </c>
      <c r="BV77" s="372"/>
      <c r="BW77" s="203">
        <f t="shared" si="20"/>
        <v>0</v>
      </c>
      <c r="BX77" s="372"/>
      <c r="BY77" s="372"/>
      <c r="BZ77" s="372">
        <f>Roles!$D$7</f>
        <v>0.12</v>
      </c>
      <c r="CA77" s="372"/>
      <c r="CB77" s="203">
        <f t="shared" si="21"/>
        <v>0</v>
      </c>
      <c r="CC77" s="372"/>
      <c r="CD77" s="372"/>
      <c r="CE77" s="372">
        <f>Roles!$D$7</f>
        <v>0.12</v>
      </c>
      <c r="CF77" s="372"/>
      <c r="CG77" s="203">
        <f t="shared" si="22"/>
        <v>0</v>
      </c>
      <c r="CH77" s="372"/>
      <c r="CI77" s="372"/>
      <c r="CJ77" s="372">
        <f>Roles!$D$7</f>
        <v>0.12</v>
      </c>
      <c r="CK77" s="372"/>
      <c r="CL77" s="203">
        <f t="shared" si="23"/>
        <v>0</v>
      </c>
      <c r="CM77" s="372"/>
      <c r="CN77" s="372"/>
      <c r="CO77" s="372">
        <f>Roles!$D$7</f>
        <v>0.12</v>
      </c>
      <c r="CP77" s="372"/>
      <c r="CQ77" s="203">
        <f t="shared" si="24"/>
        <v>0</v>
      </c>
      <c r="CR77" s="372"/>
      <c r="CS77" s="372"/>
      <c r="CT77" s="372">
        <f>Roles!$D$7</f>
        <v>0.12</v>
      </c>
      <c r="CU77" s="372"/>
      <c r="CV77" s="203">
        <f t="shared" si="25"/>
        <v>0</v>
      </c>
      <c r="CW77" s="372"/>
      <c r="CX77" s="372"/>
      <c r="CY77" s="372">
        <f>Roles!$D$7</f>
        <v>0.12</v>
      </c>
      <c r="CZ77" s="372"/>
      <c r="DA77" s="203">
        <f t="shared" si="26"/>
        <v>0</v>
      </c>
      <c r="DB77" s="372"/>
      <c r="DC77" s="372"/>
      <c r="DD77" s="372">
        <f>Roles!$D$7</f>
        <v>0.12</v>
      </c>
      <c r="DE77" s="372"/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 t="shared" si="1"/>
        <v>1</v>
      </c>
      <c r="F78" s="80">
        <v>10.0</v>
      </c>
      <c r="G78" s="105">
        <f t="shared" si="2"/>
        <v>0.008613264427</v>
      </c>
      <c r="H78" s="47">
        <f t="shared" si="82"/>
        <v>0.2592592593</v>
      </c>
      <c r="I78" s="231">
        <f t="shared" si="80"/>
        <v>0</v>
      </c>
      <c r="J78" s="172">
        <f t="shared" si="83"/>
        <v>464</v>
      </c>
      <c r="K78" s="115">
        <f t="shared" si="3"/>
        <v>0.4077328647</v>
      </c>
      <c r="L78" s="232">
        <f t="shared" si="81"/>
        <v>0</v>
      </c>
      <c r="M78" s="172">
        <f t="shared" si="84"/>
        <v>204.16</v>
      </c>
      <c r="N78" s="47" t="str">
        <f t="shared" si="6"/>
        <v>#REF!</v>
      </c>
      <c r="O78" s="203">
        <f t="shared" si="7"/>
        <v>0</v>
      </c>
      <c r="P78" s="378">
        <v>0.0</v>
      </c>
      <c r="Q78" s="372"/>
      <c r="R78" s="372">
        <f>Roles!$D$5</f>
        <v>0.44</v>
      </c>
      <c r="S78" s="372">
        <f t="shared" si="8"/>
        <v>0</v>
      </c>
      <c r="T78" s="203">
        <f t="shared" si="9"/>
        <v>0</v>
      </c>
      <c r="U78" s="372"/>
      <c r="V78" s="372"/>
      <c r="W78" s="372">
        <f>Roles!$D$7</f>
        <v>0.12</v>
      </c>
      <c r="X78" s="372"/>
      <c r="Y78" s="203">
        <f t="shared" si="10"/>
        <v>0</v>
      </c>
      <c r="Z78" s="372"/>
      <c r="AA78" s="372"/>
      <c r="AB78" s="372">
        <f>Roles!$D$7</f>
        <v>0.12</v>
      </c>
      <c r="AC78" s="372"/>
      <c r="AD78" s="203">
        <f t="shared" si="11"/>
        <v>0</v>
      </c>
      <c r="AE78" s="372"/>
      <c r="AF78" s="372"/>
      <c r="AG78" s="372">
        <f>Roles!$D$7</f>
        <v>0.12</v>
      </c>
      <c r="AH78" s="372"/>
      <c r="AI78" s="203">
        <f t="shared" si="12"/>
        <v>0</v>
      </c>
      <c r="AJ78" s="372"/>
      <c r="AK78" s="372"/>
      <c r="AL78" s="372">
        <f>Roles!$D$7</f>
        <v>0.12</v>
      </c>
      <c r="AM78" s="372"/>
      <c r="AN78" s="203">
        <f t="shared" si="13"/>
        <v>0</v>
      </c>
      <c r="AO78" s="372"/>
      <c r="AP78" s="372"/>
      <c r="AQ78" s="372">
        <f>Roles!$D$7</f>
        <v>0.12</v>
      </c>
      <c r="AR78" s="372"/>
      <c r="AS78" s="203">
        <f t="shared" si="14"/>
        <v>0</v>
      </c>
      <c r="AT78" s="372"/>
      <c r="AU78" s="372"/>
      <c r="AV78" s="372">
        <f>Roles!$D$7</f>
        <v>0.12</v>
      </c>
      <c r="AW78" s="372"/>
      <c r="AX78" s="203">
        <f t="shared" si="15"/>
        <v>0</v>
      </c>
      <c r="AY78" s="372"/>
      <c r="AZ78" s="372"/>
      <c r="BA78" s="372">
        <f>Roles!$D$7</f>
        <v>0.12</v>
      </c>
      <c r="BB78" s="372"/>
      <c r="BC78" s="203">
        <f t="shared" si="16"/>
        <v>0</v>
      </c>
      <c r="BD78" s="372"/>
      <c r="BE78" s="372"/>
      <c r="BF78" s="372">
        <f>Roles!$D$7</f>
        <v>0.12</v>
      </c>
      <c r="BG78" s="372"/>
      <c r="BH78" s="203">
        <f t="shared" si="17"/>
        <v>0</v>
      </c>
      <c r="BI78" s="372"/>
      <c r="BJ78" s="372"/>
      <c r="BK78" s="372">
        <f>Roles!$D$7</f>
        <v>0.12</v>
      </c>
      <c r="BL78" s="372"/>
      <c r="BM78" s="203">
        <f t="shared" si="18"/>
        <v>0</v>
      </c>
      <c r="BN78" s="372"/>
      <c r="BO78" s="372"/>
      <c r="BP78" s="372">
        <f>Roles!$D$7</f>
        <v>0.12</v>
      </c>
      <c r="BQ78" s="372"/>
      <c r="BR78" s="203">
        <f t="shared" si="19"/>
        <v>0</v>
      </c>
      <c r="BS78" s="372"/>
      <c r="BT78" s="372"/>
      <c r="BU78" s="372">
        <f>Roles!$D$7</f>
        <v>0.12</v>
      </c>
      <c r="BV78" s="372"/>
      <c r="BW78" s="203">
        <f t="shared" si="20"/>
        <v>0</v>
      </c>
      <c r="BX78" s="372"/>
      <c r="BY78" s="372"/>
      <c r="BZ78" s="372">
        <f>Roles!$D$7</f>
        <v>0.12</v>
      </c>
      <c r="CA78" s="372"/>
      <c r="CB78" s="203">
        <f t="shared" si="21"/>
        <v>0</v>
      </c>
      <c r="CC78" s="372"/>
      <c r="CD78" s="372"/>
      <c r="CE78" s="372">
        <f>Roles!$D$7</f>
        <v>0.12</v>
      </c>
      <c r="CF78" s="372"/>
      <c r="CG78" s="203">
        <f t="shared" si="22"/>
        <v>0</v>
      </c>
      <c r="CH78" s="372"/>
      <c r="CI78" s="372"/>
      <c r="CJ78" s="372">
        <f>Roles!$D$7</f>
        <v>0.12</v>
      </c>
      <c r="CK78" s="372"/>
      <c r="CL78" s="203">
        <f t="shared" si="23"/>
        <v>0</v>
      </c>
      <c r="CM78" s="372"/>
      <c r="CN78" s="372"/>
      <c r="CO78" s="372">
        <f>Roles!$D$7</f>
        <v>0.12</v>
      </c>
      <c r="CP78" s="372"/>
      <c r="CQ78" s="203">
        <f t="shared" si="24"/>
        <v>0</v>
      </c>
      <c r="CR78" s="372"/>
      <c r="CS78" s="372"/>
      <c r="CT78" s="372">
        <f>Roles!$D$7</f>
        <v>0.12</v>
      </c>
      <c r="CU78" s="372"/>
      <c r="CV78" s="203">
        <f t="shared" si="25"/>
        <v>0</v>
      </c>
      <c r="CW78" s="372"/>
      <c r="CX78" s="372"/>
      <c r="CY78" s="372">
        <f>Roles!$D$7</f>
        <v>0.12</v>
      </c>
      <c r="CZ78" s="372"/>
      <c r="DA78" s="203">
        <f t="shared" si="26"/>
        <v>0</v>
      </c>
      <c r="DB78" s="372"/>
      <c r="DC78" s="372"/>
      <c r="DD78" s="372">
        <f>Roles!$D$7</f>
        <v>0.12</v>
      </c>
      <c r="DE78" s="372"/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 t="shared" si="1"/>
        <v>1</v>
      </c>
      <c r="F79" s="136">
        <v>0.0</v>
      </c>
      <c r="G79" s="105">
        <f t="shared" si="2"/>
        <v>0</v>
      </c>
      <c r="H79" s="115">
        <f t="shared" si="82"/>
        <v>0.2592592593</v>
      </c>
      <c r="I79" s="110">
        <f>F79</f>
        <v>0</v>
      </c>
      <c r="J79" s="110">
        <f t="shared" si="83"/>
        <v>464</v>
      </c>
      <c r="K79" s="115">
        <f t="shared" si="3"/>
        <v>0.4077328647</v>
      </c>
      <c r="L79" s="110">
        <v>0.0</v>
      </c>
      <c r="M79" s="110">
        <f t="shared" si="84"/>
        <v>204.16</v>
      </c>
      <c r="N79" s="47" t="str">
        <f t="shared" si="6"/>
        <v>#REF!</v>
      </c>
      <c r="O79" s="203" t="str">
        <f t="shared" si="7"/>
        <v>#DIV/0!</v>
      </c>
      <c r="P79" s="372"/>
      <c r="Q79" s="372"/>
      <c r="R79" s="372">
        <f>Roles!$D$5</f>
        <v>0.44</v>
      </c>
      <c r="S79" s="372">
        <f t="shared" si="8"/>
        <v>0</v>
      </c>
      <c r="T79" s="203" t="str">
        <f t="shared" si="9"/>
        <v>#DIV/0!</v>
      </c>
      <c r="U79" s="372"/>
      <c r="V79" s="372"/>
      <c r="W79" s="372">
        <f>Roles!$D$7</f>
        <v>0.12</v>
      </c>
      <c r="X79" s="372"/>
      <c r="Y79" s="203" t="str">
        <f t="shared" si="10"/>
        <v>#DIV/0!</v>
      </c>
      <c r="Z79" s="372"/>
      <c r="AA79" s="372"/>
      <c r="AB79" s="372">
        <f>Roles!$D$7</f>
        <v>0.12</v>
      </c>
      <c r="AC79" s="372"/>
      <c r="AD79" s="203" t="str">
        <f t="shared" si="11"/>
        <v>#DIV/0!</v>
      </c>
      <c r="AE79" s="372"/>
      <c r="AF79" s="372"/>
      <c r="AG79" s="372">
        <f>Roles!$D$7</f>
        <v>0.12</v>
      </c>
      <c r="AH79" s="372"/>
      <c r="AI79" s="203" t="str">
        <f t="shared" si="12"/>
        <v>#DIV/0!</v>
      </c>
      <c r="AJ79" s="372"/>
      <c r="AK79" s="372"/>
      <c r="AL79" s="372">
        <f>Roles!$D$7</f>
        <v>0.12</v>
      </c>
      <c r="AM79" s="372"/>
      <c r="AN79" s="203" t="str">
        <f t="shared" si="13"/>
        <v>#DIV/0!</v>
      </c>
      <c r="AO79" s="372"/>
      <c r="AP79" s="372"/>
      <c r="AQ79" s="372">
        <f>Roles!$D$7</f>
        <v>0.12</v>
      </c>
      <c r="AR79" s="372"/>
      <c r="AS79" s="203" t="str">
        <f t="shared" si="14"/>
        <v>#DIV/0!</v>
      </c>
      <c r="AT79" s="372"/>
      <c r="AU79" s="372"/>
      <c r="AV79" s="372">
        <f>Roles!$D$7</f>
        <v>0.12</v>
      </c>
      <c r="AW79" s="372"/>
      <c r="AX79" s="203" t="str">
        <f t="shared" si="15"/>
        <v>#DIV/0!</v>
      </c>
      <c r="AY79" s="372"/>
      <c r="AZ79" s="372"/>
      <c r="BA79" s="372">
        <f>Roles!$D$7</f>
        <v>0.12</v>
      </c>
      <c r="BB79" s="372"/>
      <c r="BC79" s="203" t="str">
        <f t="shared" si="16"/>
        <v>#DIV/0!</v>
      </c>
      <c r="BD79" s="372"/>
      <c r="BE79" s="372"/>
      <c r="BF79" s="372">
        <f>Roles!$D$7</f>
        <v>0.12</v>
      </c>
      <c r="BG79" s="372"/>
      <c r="BH79" s="203" t="str">
        <f t="shared" si="17"/>
        <v>#DIV/0!</v>
      </c>
      <c r="BI79" s="372"/>
      <c r="BJ79" s="372"/>
      <c r="BK79" s="372">
        <f>Roles!$D$7</f>
        <v>0.12</v>
      </c>
      <c r="BL79" s="372"/>
      <c r="BM79" s="203" t="str">
        <f t="shared" si="18"/>
        <v>#DIV/0!</v>
      </c>
      <c r="BN79" s="372"/>
      <c r="BO79" s="372"/>
      <c r="BP79" s="372">
        <f>Roles!$D$7</f>
        <v>0.12</v>
      </c>
      <c r="BQ79" s="372"/>
      <c r="BR79" s="203" t="str">
        <f t="shared" si="19"/>
        <v>#DIV/0!</v>
      </c>
      <c r="BS79" s="372"/>
      <c r="BT79" s="372"/>
      <c r="BU79" s="372">
        <f>Roles!$D$7</f>
        <v>0.12</v>
      </c>
      <c r="BV79" s="372"/>
      <c r="BW79" s="203" t="str">
        <f t="shared" si="20"/>
        <v>#DIV/0!</v>
      </c>
      <c r="BX79" s="372"/>
      <c r="BY79" s="372"/>
      <c r="BZ79" s="372">
        <f>Roles!$D$7</f>
        <v>0.12</v>
      </c>
      <c r="CA79" s="372"/>
      <c r="CB79" s="203" t="str">
        <f t="shared" si="21"/>
        <v>#DIV/0!</v>
      </c>
      <c r="CC79" s="372"/>
      <c r="CD79" s="372"/>
      <c r="CE79" s="372">
        <f>Roles!$D$7</f>
        <v>0.12</v>
      </c>
      <c r="CF79" s="372"/>
      <c r="CG79" s="203" t="str">
        <f t="shared" si="22"/>
        <v>#DIV/0!</v>
      </c>
      <c r="CH79" s="372"/>
      <c r="CI79" s="372"/>
      <c r="CJ79" s="372">
        <f>Roles!$D$7</f>
        <v>0.12</v>
      </c>
      <c r="CK79" s="372"/>
      <c r="CL79" s="203" t="str">
        <f t="shared" si="23"/>
        <v>#DIV/0!</v>
      </c>
      <c r="CM79" s="372"/>
      <c r="CN79" s="372"/>
      <c r="CO79" s="372">
        <f>Roles!$D$7</f>
        <v>0.12</v>
      </c>
      <c r="CP79" s="372"/>
      <c r="CQ79" s="203" t="str">
        <f t="shared" si="24"/>
        <v>#DIV/0!</v>
      </c>
      <c r="CR79" s="372"/>
      <c r="CS79" s="372"/>
      <c r="CT79" s="372">
        <f>Roles!$D$7</f>
        <v>0.12</v>
      </c>
      <c r="CU79" s="372"/>
      <c r="CV79" s="203" t="str">
        <f t="shared" si="25"/>
        <v>#DIV/0!</v>
      </c>
      <c r="CW79" s="372"/>
      <c r="CX79" s="372"/>
      <c r="CY79" s="372">
        <f>Roles!$D$7</f>
        <v>0.12</v>
      </c>
      <c r="CZ79" s="372"/>
      <c r="DA79" s="203" t="str">
        <f t="shared" si="26"/>
        <v>#DIV/0!</v>
      </c>
      <c r="DB79" s="372"/>
      <c r="DC79" s="372"/>
      <c r="DD79" s="372">
        <f>Roles!$D$7</f>
        <v>0.12</v>
      </c>
      <c r="DE79" s="372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 t="shared" si="1"/>
        <v>21</v>
      </c>
      <c r="F80" s="240">
        <f>F81+F86+F97+F102+F110+F117+F122+F127+F131+F135+F139</f>
        <v>313</v>
      </c>
      <c r="G80" s="105">
        <f t="shared" si="2"/>
        <v>0.2695951766</v>
      </c>
      <c r="H80" s="224">
        <f>H144</f>
        <v>0.5288544358</v>
      </c>
      <c r="I80" s="241">
        <f>I81+I86+I97+I102+I110+I117+I122+I127+I131+I135+I139</f>
        <v>467</v>
      </c>
      <c r="J80" s="241">
        <f>J144</f>
        <v>931</v>
      </c>
      <c r="K80" s="138">
        <f t="shared" si="3"/>
        <v>0.8181019332</v>
      </c>
      <c r="L80" s="241">
        <f>L81+L86+L97+L102+L110+L117+L122+L127+L131+L135+L139</f>
        <v>205.48</v>
      </c>
      <c r="M80" s="241">
        <f>M144</f>
        <v>409.64</v>
      </c>
      <c r="N80" s="323" t="str">
        <f t="shared" si="6"/>
        <v>#REF!</v>
      </c>
      <c r="O80" s="203">
        <f t="shared" si="7"/>
        <v>0</v>
      </c>
      <c r="P80" s="372"/>
      <c r="Q80" s="372"/>
      <c r="R80" s="372">
        <f>Roles!$D$5</f>
        <v>0.44</v>
      </c>
      <c r="S80" s="372">
        <f t="shared" si="8"/>
        <v>0</v>
      </c>
      <c r="T80" s="203">
        <f t="shared" si="9"/>
        <v>0</v>
      </c>
      <c r="U80" s="372"/>
      <c r="V80" s="372"/>
      <c r="W80" s="372">
        <f>Roles!$D$7</f>
        <v>0.12</v>
      </c>
      <c r="X80" s="372"/>
      <c r="Y80" s="203">
        <f t="shared" si="10"/>
        <v>0</v>
      </c>
      <c r="Z80" s="372"/>
      <c r="AA80" s="372"/>
      <c r="AB80" s="372">
        <f>Roles!$D$7</f>
        <v>0.12</v>
      </c>
      <c r="AC80" s="372"/>
      <c r="AD80" s="203">
        <f t="shared" si="11"/>
        <v>0</v>
      </c>
      <c r="AE80" s="372"/>
      <c r="AF80" s="372"/>
      <c r="AG80" s="372">
        <f>Roles!$D$7</f>
        <v>0.12</v>
      </c>
      <c r="AH80" s="372"/>
      <c r="AI80" s="203">
        <f t="shared" si="12"/>
        <v>0</v>
      </c>
      <c r="AJ80" s="372"/>
      <c r="AK80" s="372"/>
      <c r="AL80" s="372">
        <f>Roles!$D$7</f>
        <v>0.12</v>
      </c>
      <c r="AM80" s="372"/>
      <c r="AN80" s="203">
        <f t="shared" si="13"/>
        <v>0</v>
      </c>
      <c r="AO80" s="372"/>
      <c r="AP80" s="372"/>
      <c r="AQ80" s="372">
        <f>Roles!$D$7</f>
        <v>0.12</v>
      </c>
      <c r="AR80" s="372"/>
      <c r="AS80" s="203">
        <f t="shared" si="14"/>
        <v>0</v>
      </c>
      <c r="AT80" s="372"/>
      <c r="AU80" s="372"/>
      <c r="AV80" s="372">
        <f>Roles!$D$7</f>
        <v>0.12</v>
      </c>
      <c r="AW80" s="372"/>
      <c r="AX80" s="203">
        <f t="shared" si="15"/>
        <v>0</v>
      </c>
      <c r="AY80" s="372"/>
      <c r="AZ80" s="372"/>
      <c r="BA80" s="372">
        <f>Roles!$D$7</f>
        <v>0.12</v>
      </c>
      <c r="BB80" s="372"/>
      <c r="BC80" s="203">
        <f t="shared" si="16"/>
        <v>0</v>
      </c>
      <c r="BD80" s="372"/>
      <c r="BE80" s="372"/>
      <c r="BF80" s="372">
        <f>Roles!$D$7</f>
        <v>0.12</v>
      </c>
      <c r="BG80" s="372"/>
      <c r="BH80" s="203">
        <f t="shared" si="17"/>
        <v>0</v>
      </c>
      <c r="BI80" s="372"/>
      <c r="BJ80" s="372"/>
      <c r="BK80" s="372">
        <f>Roles!$D$7</f>
        <v>0.12</v>
      </c>
      <c r="BL80" s="372"/>
      <c r="BM80" s="203">
        <f t="shared" si="18"/>
        <v>0</v>
      </c>
      <c r="BN80" s="372"/>
      <c r="BO80" s="372"/>
      <c r="BP80" s="372">
        <f>Roles!$D$7</f>
        <v>0.12</v>
      </c>
      <c r="BQ80" s="372"/>
      <c r="BR80" s="203">
        <f t="shared" si="19"/>
        <v>0</v>
      </c>
      <c r="BS80" s="372"/>
      <c r="BT80" s="372"/>
      <c r="BU80" s="372">
        <f>Roles!$D$7</f>
        <v>0.12</v>
      </c>
      <c r="BV80" s="372"/>
      <c r="BW80" s="203">
        <f t="shared" si="20"/>
        <v>0</v>
      </c>
      <c r="BX80" s="372"/>
      <c r="BY80" s="372"/>
      <c r="BZ80" s="372">
        <f>Roles!$D$7</f>
        <v>0.12</v>
      </c>
      <c r="CA80" s="372"/>
      <c r="CB80" s="203">
        <f t="shared" si="21"/>
        <v>0</v>
      </c>
      <c r="CC80" s="372"/>
      <c r="CD80" s="372"/>
      <c r="CE80" s="372">
        <f>Roles!$D$7</f>
        <v>0.12</v>
      </c>
      <c r="CF80" s="372"/>
      <c r="CG80" s="203">
        <f t="shared" si="22"/>
        <v>0</v>
      </c>
      <c r="CH80" s="372"/>
      <c r="CI80" s="372"/>
      <c r="CJ80" s="372">
        <f>Roles!$D$7</f>
        <v>0.12</v>
      </c>
      <c r="CK80" s="372"/>
      <c r="CL80" s="203">
        <f t="shared" si="23"/>
        <v>0</v>
      </c>
      <c r="CM80" s="372"/>
      <c r="CN80" s="372"/>
      <c r="CO80" s="372">
        <f>Roles!$D$7</f>
        <v>0.12</v>
      </c>
      <c r="CP80" s="372"/>
      <c r="CQ80" s="203">
        <f t="shared" si="24"/>
        <v>0</v>
      </c>
      <c r="CR80" s="372"/>
      <c r="CS80" s="372"/>
      <c r="CT80" s="372">
        <f>Roles!$D$7</f>
        <v>0.12</v>
      </c>
      <c r="CU80" s="372"/>
      <c r="CV80" s="203">
        <f t="shared" si="25"/>
        <v>0</v>
      </c>
      <c r="CW80" s="372"/>
      <c r="CX80" s="372"/>
      <c r="CY80" s="372">
        <f>Roles!$D$7</f>
        <v>0.12</v>
      </c>
      <c r="CZ80" s="372"/>
      <c r="DA80" s="203">
        <f t="shared" si="26"/>
        <v>0</v>
      </c>
      <c r="DB80" s="372"/>
      <c r="DC80" s="372"/>
      <c r="DD80" s="372">
        <f>Roles!$D$7</f>
        <v>0.12</v>
      </c>
      <c r="DE80" s="372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 t="shared" si="1"/>
        <v>6</v>
      </c>
      <c r="F81" s="246">
        <f>SUM(F82:F85)</f>
        <v>12</v>
      </c>
      <c r="G81" s="105">
        <f t="shared" si="2"/>
        <v>0.01033591731</v>
      </c>
      <c r="H81" s="226">
        <f>H85</f>
        <v>0.2695951766</v>
      </c>
      <c r="I81" s="247">
        <f>SUM(I82:I85)</f>
        <v>52</v>
      </c>
      <c r="J81" s="247">
        <f>J85</f>
        <v>516</v>
      </c>
      <c r="K81" s="167">
        <f t="shared" si="3"/>
        <v>0.453427065</v>
      </c>
      <c r="L81" s="247">
        <f>SUM(L82:L85)</f>
        <v>22.88</v>
      </c>
      <c r="M81" s="247">
        <f>M85</f>
        <v>227.04</v>
      </c>
      <c r="N81" s="224" t="str">
        <f t="shared" si="6"/>
        <v>#REF!</v>
      </c>
      <c r="O81" s="203">
        <f t="shared" si="7"/>
        <v>0</v>
      </c>
      <c r="P81" s="372"/>
      <c r="Q81" s="372"/>
      <c r="R81" s="372">
        <f>Roles!$D$5</f>
        <v>0.44</v>
      </c>
      <c r="S81" s="372">
        <f t="shared" si="8"/>
        <v>0</v>
      </c>
      <c r="T81" s="203">
        <f t="shared" si="9"/>
        <v>0</v>
      </c>
      <c r="U81" s="372"/>
      <c r="V81" s="372"/>
      <c r="W81" s="372">
        <f>Roles!$D$7</f>
        <v>0.12</v>
      </c>
      <c r="X81" s="372"/>
      <c r="Y81" s="203">
        <f t="shared" si="10"/>
        <v>0</v>
      </c>
      <c r="Z81" s="372"/>
      <c r="AA81" s="372"/>
      <c r="AB81" s="372">
        <f>Roles!$D$7</f>
        <v>0.12</v>
      </c>
      <c r="AC81" s="372"/>
      <c r="AD81" s="203">
        <f t="shared" si="11"/>
        <v>0</v>
      </c>
      <c r="AE81" s="372"/>
      <c r="AF81" s="372"/>
      <c r="AG81" s="372">
        <f>Roles!$D$7</f>
        <v>0.12</v>
      </c>
      <c r="AH81" s="372"/>
      <c r="AI81" s="203">
        <f t="shared" si="12"/>
        <v>0</v>
      </c>
      <c r="AJ81" s="372"/>
      <c r="AK81" s="372"/>
      <c r="AL81" s="372">
        <f>Roles!$D$7</f>
        <v>0.12</v>
      </c>
      <c r="AM81" s="372"/>
      <c r="AN81" s="203">
        <f t="shared" si="13"/>
        <v>0</v>
      </c>
      <c r="AO81" s="372"/>
      <c r="AP81" s="372"/>
      <c r="AQ81" s="372">
        <f>Roles!$D$7</f>
        <v>0.12</v>
      </c>
      <c r="AR81" s="372"/>
      <c r="AS81" s="203">
        <f t="shared" si="14"/>
        <v>0</v>
      </c>
      <c r="AT81" s="372"/>
      <c r="AU81" s="372"/>
      <c r="AV81" s="372">
        <f>Roles!$D$7</f>
        <v>0.12</v>
      </c>
      <c r="AW81" s="372"/>
      <c r="AX81" s="203">
        <f t="shared" si="15"/>
        <v>0</v>
      </c>
      <c r="AY81" s="372"/>
      <c r="AZ81" s="372"/>
      <c r="BA81" s="372">
        <f>Roles!$D$7</f>
        <v>0.12</v>
      </c>
      <c r="BB81" s="372"/>
      <c r="BC81" s="203">
        <f t="shared" si="16"/>
        <v>0</v>
      </c>
      <c r="BD81" s="372"/>
      <c r="BE81" s="372"/>
      <c r="BF81" s="372">
        <f>Roles!$D$7</f>
        <v>0.12</v>
      </c>
      <c r="BG81" s="372"/>
      <c r="BH81" s="203">
        <f t="shared" si="17"/>
        <v>0</v>
      </c>
      <c r="BI81" s="372"/>
      <c r="BJ81" s="372"/>
      <c r="BK81" s="372">
        <f>Roles!$D$7</f>
        <v>0.12</v>
      </c>
      <c r="BL81" s="372"/>
      <c r="BM81" s="203">
        <f t="shared" si="18"/>
        <v>0</v>
      </c>
      <c r="BN81" s="372"/>
      <c r="BO81" s="372"/>
      <c r="BP81" s="372">
        <f>Roles!$D$7</f>
        <v>0.12</v>
      </c>
      <c r="BQ81" s="372"/>
      <c r="BR81" s="203">
        <f t="shared" si="19"/>
        <v>0</v>
      </c>
      <c r="BS81" s="372"/>
      <c r="BT81" s="372"/>
      <c r="BU81" s="372">
        <f>Roles!$D$7</f>
        <v>0.12</v>
      </c>
      <c r="BV81" s="372"/>
      <c r="BW81" s="203">
        <f t="shared" si="20"/>
        <v>0</v>
      </c>
      <c r="BX81" s="372"/>
      <c r="BY81" s="372"/>
      <c r="BZ81" s="372">
        <f>Roles!$D$7</f>
        <v>0.12</v>
      </c>
      <c r="CA81" s="372"/>
      <c r="CB81" s="203">
        <f t="shared" si="21"/>
        <v>0</v>
      </c>
      <c r="CC81" s="372"/>
      <c r="CD81" s="372"/>
      <c r="CE81" s="372">
        <f>Roles!$D$7</f>
        <v>0.12</v>
      </c>
      <c r="CF81" s="372"/>
      <c r="CG81" s="203">
        <f t="shared" si="22"/>
        <v>0</v>
      </c>
      <c r="CH81" s="372"/>
      <c r="CI81" s="372"/>
      <c r="CJ81" s="372">
        <f>Roles!$D$7</f>
        <v>0.12</v>
      </c>
      <c r="CK81" s="372"/>
      <c r="CL81" s="203">
        <f t="shared" si="23"/>
        <v>0</v>
      </c>
      <c r="CM81" s="372"/>
      <c r="CN81" s="372"/>
      <c r="CO81" s="372">
        <f>Roles!$D$7</f>
        <v>0.12</v>
      </c>
      <c r="CP81" s="372"/>
      <c r="CQ81" s="203">
        <f t="shared" si="24"/>
        <v>0</v>
      </c>
      <c r="CR81" s="372"/>
      <c r="CS81" s="372"/>
      <c r="CT81" s="372">
        <f>Roles!$D$7</f>
        <v>0.12</v>
      </c>
      <c r="CU81" s="372"/>
      <c r="CV81" s="203">
        <f t="shared" si="25"/>
        <v>0</v>
      </c>
      <c r="CW81" s="372"/>
      <c r="CX81" s="372"/>
      <c r="CY81" s="372">
        <f>Roles!$D$7</f>
        <v>0.12</v>
      </c>
      <c r="CZ81" s="372"/>
      <c r="DA81" s="203">
        <f t="shared" si="26"/>
        <v>0</v>
      </c>
      <c r="DB81" s="372"/>
      <c r="DC81" s="372"/>
      <c r="DD81" s="372">
        <f>Roles!$D$7</f>
        <v>0.12</v>
      </c>
      <c r="DE81" s="372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 t="shared" si="1"/>
        <v>2</v>
      </c>
      <c r="F82" s="80">
        <v>3.0</v>
      </c>
      <c r="G82" s="105">
        <f t="shared" si="2"/>
        <v>0.002583979328</v>
      </c>
      <c r="H82" s="47">
        <f>H79+G82</f>
        <v>0.2618432386</v>
      </c>
      <c r="I82" s="231">
        <f t="shared" ref="I82:I85" si="85">P82+U82+Z82+AE82+AJ82+AO82+AT82+AY82+BD82+BI82+BN82+BS82+BX82+CC82+CH82+CM82+CR82+CW82+DB82</f>
        <v>3</v>
      </c>
      <c r="J82" s="172">
        <f>J79+I82</f>
        <v>467</v>
      </c>
      <c r="K82" s="115">
        <f t="shared" si="3"/>
        <v>0.4103690685</v>
      </c>
      <c r="L82" s="232">
        <f t="shared" ref="L82:L85" si="86">S82+X82+AC82+AH82+AM82+AR82+AW82+BB82+BG82+BL82+BQ82+BV82+CA82+CF82+CK82+CP82+CU82+CZ82+DE82</f>
        <v>1.32</v>
      </c>
      <c r="M82" s="172">
        <f>M79+L82</f>
        <v>205.48</v>
      </c>
      <c r="N82" s="226" t="str">
        <f t="shared" si="6"/>
        <v>#REF!</v>
      </c>
      <c r="O82" s="203">
        <f t="shared" si="7"/>
        <v>1</v>
      </c>
      <c r="P82" s="378">
        <v>3.0</v>
      </c>
      <c r="Q82" s="372"/>
      <c r="R82" s="372">
        <f>Roles!$D$5</f>
        <v>0.44</v>
      </c>
      <c r="S82" s="372">
        <f t="shared" si="8"/>
        <v>1.32</v>
      </c>
      <c r="T82" s="203">
        <f t="shared" si="9"/>
        <v>0</v>
      </c>
      <c r="U82" s="372"/>
      <c r="V82" s="372"/>
      <c r="W82" s="372">
        <f>Roles!$D$7</f>
        <v>0.12</v>
      </c>
      <c r="X82" s="372"/>
      <c r="Y82" s="203">
        <f t="shared" si="10"/>
        <v>0</v>
      </c>
      <c r="Z82" s="372"/>
      <c r="AA82" s="372"/>
      <c r="AB82" s="372">
        <f>Roles!$D$7</f>
        <v>0.12</v>
      </c>
      <c r="AC82" s="372"/>
      <c r="AD82" s="203">
        <f t="shared" si="11"/>
        <v>0</v>
      </c>
      <c r="AE82" s="372"/>
      <c r="AF82" s="372"/>
      <c r="AG82" s="372">
        <f>Roles!$D$7</f>
        <v>0.12</v>
      </c>
      <c r="AH82" s="372"/>
      <c r="AI82" s="203">
        <f t="shared" si="12"/>
        <v>0</v>
      </c>
      <c r="AJ82" s="372"/>
      <c r="AK82" s="372"/>
      <c r="AL82" s="372">
        <f>Roles!$D$7</f>
        <v>0.12</v>
      </c>
      <c r="AM82" s="372"/>
      <c r="AN82" s="203">
        <f t="shared" si="13"/>
        <v>0</v>
      </c>
      <c r="AO82" s="372"/>
      <c r="AP82" s="372"/>
      <c r="AQ82" s="372">
        <f>Roles!$D$7</f>
        <v>0.12</v>
      </c>
      <c r="AR82" s="372"/>
      <c r="AS82" s="203">
        <f t="shared" si="14"/>
        <v>0</v>
      </c>
      <c r="AT82" s="372"/>
      <c r="AU82" s="372"/>
      <c r="AV82" s="372">
        <f>Roles!$D$7</f>
        <v>0.12</v>
      </c>
      <c r="AW82" s="372"/>
      <c r="AX82" s="203">
        <f t="shared" si="15"/>
        <v>0</v>
      </c>
      <c r="AY82" s="372"/>
      <c r="AZ82" s="372"/>
      <c r="BA82" s="372">
        <f>Roles!$D$7</f>
        <v>0.12</v>
      </c>
      <c r="BB82" s="372"/>
      <c r="BC82" s="203">
        <f t="shared" si="16"/>
        <v>0</v>
      </c>
      <c r="BD82" s="372"/>
      <c r="BE82" s="372"/>
      <c r="BF82" s="372">
        <f>Roles!$D$7</f>
        <v>0.12</v>
      </c>
      <c r="BG82" s="372"/>
      <c r="BH82" s="203">
        <f t="shared" si="17"/>
        <v>0</v>
      </c>
      <c r="BI82" s="372"/>
      <c r="BJ82" s="372"/>
      <c r="BK82" s="372">
        <f>Roles!$D$7</f>
        <v>0.12</v>
      </c>
      <c r="BL82" s="372"/>
      <c r="BM82" s="203">
        <f t="shared" si="18"/>
        <v>0</v>
      </c>
      <c r="BN82" s="372"/>
      <c r="BO82" s="372"/>
      <c r="BP82" s="372">
        <f>Roles!$D$7</f>
        <v>0.12</v>
      </c>
      <c r="BQ82" s="372"/>
      <c r="BR82" s="203">
        <f t="shared" si="19"/>
        <v>0</v>
      </c>
      <c r="BS82" s="372"/>
      <c r="BT82" s="372"/>
      <c r="BU82" s="372">
        <f>Roles!$D$7</f>
        <v>0.12</v>
      </c>
      <c r="BV82" s="372"/>
      <c r="BW82" s="203">
        <f t="shared" si="20"/>
        <v>0</v>
      </c>
      <c r="BX82" s="372"/>
      <c r="BY82" s="372"/>
      <c r="BZ82" s="372">
        <f>Roles!$D$7</f>
        <v>0.12</v>
      </c>
      <c r="CA82" s="372"/>
      <c r="CB82" s="203">
        <f t="shared" si="21"/>
        <v>0</v>
      </c>
      <c r="CC82" s="372"/>
      <c r="CD82" s="372"/>
      <c r="CE82" s="372">
        <f>Roles!$D$7</f>
        <v>0.12</v>
      </c>
      <c r="CF82" s="372"/>
      <c r="CG82" s="203">
        <f t="shared" si="22"/>
        <v>0</v>
      </c>
      <c r="CH82" s="372"/>
      <c r="CI82" s="372"/>
      <c r="CJ82" s="372">
        <f>Roles!$D$7</f>
        <v>0.12</v>
      </c>
      <c r="CK82" s="372"/>
      <c r="CL82" s="203">
        <f t="shared" si="23"/>
        <v>0</v>
      </c>
      <c r="CM82" s="372"/>
      <c r="CN82" s="372"/>
      <c r="CO82" s="372">
        <f>Roles!$D$7</f>
        <v>0.12</v>
      </c>
      <c r="CP82" s="372"/>
      <c r="CQ82" s="203">
        <f t="shared" si="24"/>
        <v>0</v>
      </c>
      <c r="CR82" s="372"/>
      <c r="CS82" s="372"/>
      <c r="CT82" s="372">
        <f>Roles!$D$7</f>
        <v>0.12</v>
      </c>
      <c r="CU82" s="372"/>
      <c r="CV82" s="203">
        <f t="shared" si="25"/>
        <v>0</v>
      </c>
      <c r="CW82" s="372"/>
      <c r="CX82" s="372"/>
      <c r="CY82" s="372">
        <f>Roles!$D$7</f>
        <v>0.12</v>
      </c>
      <c r="CZ82" s="372"/>
      <c r="DA82" s="203">
        <f t="shared" si="26"/>
        <v>0</v>
      </c>
      <c r="DB82" s="372"/>
      <c r="DC82" s="372"/>
      <c r="DD82" s="372">
        <f>Roles!$D$7</f>
        <v>0.12</v>
      </c>
      <c r="DE82" s="372"/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 t="shared" si="1"/>
        <v>2</v>
      </c>
      <c r="F83" s="80">
        <v>4.0</v>
      </c>
      <c r="G83" s="105">
        <f t="shared" si="2"/>
        <v>0.003445305771</v>
      </c>
      <c r="H83" s="47">
        <f t="shared" ref="H83:H85" si="87">H82+G83</f>
        <v>0.2652885444</v>
      </c>
      <c r="I83" s="231">
        <f t="shared" si="85"/>
        <v>8</v>
      </c>
      <c r="J83" s="172">
        <f t="shared" ref="J83:J85" si="88">J82+I83</f>
        <v>475</v>
      </c>
      <c r="K83" s="115">
        <f t="shared" si="3"/>
        <v>0.4173989455</v>
      </c>
      <c r="L83" s="232">
        <f t="shared" si="86"/>
        <v>3.52</v>
      </c>
      <c r="M83" s="172">
        <f t="shared" ref="M83:M85" si="89">M82+L83</f>
        <v>209</v>
      </c>
      <c r="N83" s="167" t="str">
        <f t="shared" si="6"/>
        <v>#REF!</v>
      </c>
      <c r="O83" s="203">
        <f t="shared" si="7"/>
        <v>2</v>
      </c>
      <c r="P83" s="378">
        <v>8.0</v>
      </c>
      <c r="Q83" s="372"/>
      <c r="R83" s="372">
        <f>Roles!$D$5</f>
        <v>0.44</v>
      </c>
      <c r="S83" s="372">
        <f t="shared" si="8"/>
        <v>3.52</v>
      </c>
      <c r="T83" s="203">
        <f t="shared" si="9"/>
        <v>0</v>
      </c>
      <c r="U83" s="372"/>
      <c r="V83" s="372"/>
      <c r="W83" s="372">
        <f>Roles!$D$7</f>
        <v>0.12</v>
      </c>
      <c r="X83" s="372"/>
      <c r="Y83" s="203">
        <f t="shared" si="10"/>
        <v>0</v>
      </c>
      <c r="Z83" s="372"/>
      <c r="AA83" s="372"/>
      <c r="AB83" s="372">
        <f>Roles!$D$7</f>
        <v>0.12</v>
      </c>
      <c r="AC83" s="372"/>
      <c r="AD83" s="203">
        <f t="shared" si="11"/>
        <v>0</v>
      </c>
      <c r="AE83" s="372"/>
      <c r="AF83" s="372"/>
      <c r="AG83" s="372">
        <f>Roles!$D$7</f>
        <v>0.12</v>
      </c>
      <c r="AH83" s="372"/>
      <c r="AI83" s="203">
        <f t="shared" si="12"/>
        <v>0</v>
      </c>
      <c r="AJ83" s="372"/>
      <c r="AK83" s="372"/>
      <c r="AL83" s="372">
        <f>Roles!$D$7</f>
        <v>0.12</v>
      </c>
      <c r="AM83" s="372"/>
      <c r="AN83" s="203">
        <f t="shared" si="13"/>
        <v>0</v>
      </c>
      <c r="AO83" s="372"/>
      <c r="AP83" s="372"/>
      <c r="AQ83" s="372">
        <f>Roles!$D$7</f>
        <v>0.12</v>
      </c>
      <c r="AR83" s="372"/>
      <c r="AS83" s="203">
        <f t="shared" si="14"/>
        <v>0</v>
      </c>
      <c r="AT83" s="372"/>
      <c r="AU83" s="372"/>
      <c r="AV83" s="372">
        <f>Roles!$D$7</f>
        <v>0.12</v>
      </c>
      <c r="AW83" s="372"/>
      <c r="AX83" s="203">
        <f t="shared" si="15"/>
        <v>0</v>
      </c>
      <c r="AY83" s="372"/>
      <c r="AZ83" s="372"/>
      <c r="BA83" s="372">
        <f>Roles!$D$7</f>
        <v>0.12</v>
      </c>
      <c r="BB83" s="372"/>
      <c r="BC83" s="203">
        <f t="shared" si="16"/>
        <v>0</v>
      </c>
      <c r="BD83" s="372"/>
      <c r="BE83" s="372"/>
      <c r="BF83" s="372">
        <f>Roles!$D$7</f>
        <v>0.12</v>
      </c>
      <c r="BG83" s="372"/>
      <c r="BH83" s="203">
        <f t="shared" si="17"/>
        <v>0</v>
      </c>
      <c r="BI83" s="372"/>
      <c r="BJ83" s="372"/>
      <c r="BK83" s="372">
        <f>Roles!$D$7</f>
        <v>0.12</v>
      </c>
      <c r="BL83" s="372"/>
      <c r="BM83" s="203">
        <f t="shared" si="18"/>
        <v>0</v>
      </c>
      <c r="BN83" s="372"/>
      <c r="BO83" s="372"/>
      <c r="BP83" s="372">
        <f>Roles!$D$7</f>
        <v>0.12</v>
      </c>
      <c r="BQ83" s="372"/>
      <c r="BR83" s="203">
        <f t="shared" si="19"/>
        <v>0</v>
      </c>
      <c r="BS83" s="372"/>
      <c r="BT83" s="372"/>
      <c r="BU83" s="372">
        <f>Roles!$D$7</f>
        <v>0.12</v>
      </c>
      <c r="BV83" s="372"/>
      <c r="BW83" s="203">
        <f t="shared" si="20"/>
        <v>0</v>
      </c>
      <c r="BX83" s="372"/>
      <c r="BY83" s="372"/>
      <c r="BZ83" s="372">
        <f>Roles!$D$7</f>
        <v>0.12</v>
      </c>
      <c r="CA83" s="372"/>
      <c r="CB83" s="203">
        <f t="shared" si="21"/>
        <v>0</v>
      </c>
      <c r="CC83" s="372"/>
      <c r="CD83" s="372"/>
      <c r="CE83" s="372">
        <f>Roles!$D$7</f>
        <v>0.12</v>
      </c>
      <c r="CF83" s="372"/>
      <c r="CG83" s="203">
        <f t="shared" si="22"/>
        <v>0</v>
      </c>
      <c r="CH83" s="372"/>
      <c r="CI83" s="372"/>
      <c r="CJ83" s="372">
        <f>Roles!$D$7</f>
        <v>0.12</v>
      </c>
      <c r="CK83" s="372"/>
      <c r="CL83" s="203">
        <f t="shared" si="23"/>
        <v>0</v>
      </c>
      <c r="CM83" s="372"/>
      <c r="CN83" s="372"/>
      <c r="CO83" s="372">
        <f>Roles!$D$7</f>
        <v>0.12</v>
      </c>
      <c r="CP83" s="372"/>
      <c r="CQ83" s="203">
        <f t="shared" si="24"/>
        <v>0</v>
      </c>
      <c r="CR83" s="372"/>
      <c r="CS83" s="372"/>
      <c r="CT83" s="372">
        <f>Roles!$D$7</f>
        <v>0.12</v>
      </c>
      <c r="CU83" s="372"/>
      <c r="CV83" s="203">
        <f t="shared" si="25"/>
        <v>0</v>
      </c>
      <c r="CW83" s="372"/>
      <c r="CX83" s="372"/>
      <c r="CY83" s="372">
        <f>Roles!$D$7</f>
        <v>0.12</v>
      </c>
      <c r="CZ83" s="372"/>
      <c r="DA83" s="203">
        <f t="shared" si="26"/>
        <v>0</v>
      </c>
      <c r="DB83" s="372"/>
      <c r="DC83" s="372"/>
      <c r="DD83" s="372">
        <f>Roles!$D$7</f>
        <v>0.12</v>
      </c>
      <c r="DE83" s="372"/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 t="shared" si="1"/>
        <v>2</v>
      </c>
      <c r="F84" s="80">
        <v>3.0</v>
      </c>
      <c r="G84" s="105">
        <f t="shared" si="2"/>
        <v>0.002583979328</v>
      </c>
      <c r="H84" s="47">
        <f t="shared" si="87"/>
        <v>0.2678725237</v>
      </c>
      <c r="I84" s="231">
        <f t="shared" si="85"/>
        <v>3</v>
      </c>
      <c r="J84" s="172">
        <f t="shared" si="88"/>
        <v>478</v>
      </c>
      <c r="K84" s="115">
        <f t="shared" si="3"/>
        <v>0.4200351494</v>
      </c>
      <c r="L84" s="232">
        <f t="shared" si="86"/>
        <v>1.32</v>
      </c>
      <c r="M84" s="172">
        <f t="shared" si="89"/>
        <v>210.32</v>
      </c>
      <c r="N84" s="282" t="str">
        <f t="shared" si="6"/>
        <v>#REF!</v>
      </c>
      <c r="O84" s="203">
        <f t="shared" si="7"/>
        <v>1</v>
      </c>
      <c r="P84" s="378">
        <v>3.0</v>
      </c>
      <c r="Q84" s="372"/>
      <c r="R84" s="372">
        <f>Roles!$D$5</f>
        <v>0.44</v>
      </c>
      <c r="S84" s="372">
        <f t="shared" si="8"/>
        <v>1.32</v>
      </c>
      <c r="T84" s="203">
        <f t="shared" si="9"/>
        <v>0</v>
      </c>
      <c r="U84" s="372"/>
      <c r="V84" s="372"/>
      <c r="W84" s="372">
        <f>Roles!$D$7</f>
        <v>0.12</v>
      </c>
      <c r="X84" s="372"/>
      <c r="Y84" s="203">
        <f t="shared" si="10"/>
        <v>0</v>
      </c>
      <c r="Z84" s="372"/>
      <c r="AA84" s="372"/>
      <c r="AB84" s="372">
        <f>Roles!$D$7</f>
        <v>0.12</v>
      </c>
      <c r="AC84" s="372"/>
      <c r="AD84" s="203">
        <f t="shared" si="11"/>
        <v>0</v>
      </c>
      <c r="AE84" s="372"/>
      <c r="AF84" s="372"/>
      <c r="AG84" s="372">
        <f>Roles!$D$7</f>
        <v>0.12</v>
      </c>
      <c r="AH84" s="372"/>
      <c r="AI84" s="203">
        <f t="shared" si="12"/>
        <v>0</v>
      </c>
      <c r="AJ84" s="372"/>
      <c r="AK84" s="372"/>
      <c r="AL84" s="372">
        <f>Roles!$D$7</f>
        <v>0.12</v>
      </c>
      <c r="AM84" s="372"/>
      <c r="AN84" s="203">
        <f t="shared" si="13"/>
        <v>0</v>
      </c>
      <c r="AO84" s="372"/>
      <c r="AP84" s="372"/>
      <c r="AQ84" s="372">
        <f>Roles!$D$7</f>
        <v>0.12</v>
      </c>
      <c r="AR84" s="372"/>
      <c r="AS84" s="203">
        <f t="shared" si="14"/>
        <v>0</v>
      </c>
      <c r="AT84" s="372"/>
      <c r="AU84" s="372"/>
      <c r="AV84" s="372">
        <f>Roles!$D$7</f>
        <v>0.12</v>
      </c>
      <c r="AW84" s="372"/>
      <c r="AX84" s="203">
        <f t="shared" si="15"/>
        <v>0</v>
      </c>
      <c r="AY84" s="372"/>
      <c r="AZ84" s="372"/>
      <c r="BA84" s="372">
        <f>Roles!$D$7</f>
        <v>0.12</v>
      </c>
      <c r="BB84" s="372"/>
      <c r="BC84" s="203">
        <f t="shared" si="16"/>
        <v>0</v>
      </c>
      <c r="BD84" s="372"/>
      <c r="BE84" s="372"/>
      <c r="BF84" s="372">
        <f>Roles!$D$7</f>
        <v>0.12</v>
      </c>
      <c r="BG84" s="372"/>
      <c r="BH84" s="203">
        <f t="shared" si="17"/>
        <v>0</v>
      </c>
      <c r="BI84" s="372"/>
      <c r="BJ84" s="372"/>
      <c r="BK84" s="372">
        <f>Roles!$D$7</f>
        <v>0.12</v>
      </c>
      <c r="BL84" s="372"/>
      <c r="BM84" s="203">
        <f t="shared" si="18"/>
        <v>0</v>
      </c>
      <c r="BN84" s="372"/>
      <c r="BO84" s="372"/>
      <c r="BP84" s="372">
        <f>Roles!$D$7</f>
        <v>0.12</v>
      </c>
      <c r="BQ84" s="372"/>
      <c r="BR84" s="203">
        <f t="shared" si="19"/>
        <v>0</v>
      </c>
      <c r="BS84" s="372"/>
      <c r="BT84" s="372"/>
      <c r="BU84" s="372">
        <f>Roles!$D$7</f>
        <v>0.12</v>
      </c>
      <c r="BV84" s="372"/>
      <c r="BW84" s="203">
        <f t="shared" si="20"/>
        <v>0</v>
      </c>
      <c r="BX84" s="372"/>
      <c r="BY84" s="372"/>
      <c r="BZ84" s="372">
        <f>Roles!$D$7</f>
        <v>0.12</v>
      </c>
      <c r="CA84" s="372"/>
      <c r="CB84" s="203">
        <f t="shared" si="21"/>
        <v>0</v>
      </c>
      <c r="CC84" s="372"/>
      <c r="CD84" s="372"/>
      <c r="CE84" s="372">
        <f>Roles!$D$7</f>
        <v>0.12</v>
      </c>
      <c r="CF84" s="372"/>
      <c r="CG84" s="203">
        <f t="shared" si="22"/>
        <v>0</v>
      </c>
      <c r="CH84" s="372"/>
      <c r="CI84" s="372"/>
      <c r="CJ84" s="372">
        <f>Roles!$D$7</f>
        <v>0.12</v>
      </c>
      <c r="CK84" s="372"/>
      <c r="CL84" s="203">
        <f t="shared" si="23"/>
        <v>0</v>
      </c>
      <c r="CM84" s="372"/>
      <c r="CN84" s="372"/>
      <c r="CO84" s="372">
        <f>Roles!$D$7</f>
        <v>0.12</v>
      </c>
      <c r="CP84" s="372"/>
      <c r="CQ84" s="203">
        <f t="shared" si="24"/>
        <v>0</v>
      </c>
      <c r="CR84" s="372"/>
      <c r="CS84" s="372"/>
      <c r="CT84" s="372">
        <f>Roles!$D$7</f>
        <v>0.12</v>
      </c>
      <c r="CU84" s="372"/>
      <c r="CV84" s="203">
        <f t="shared" si="25"/>
        <v>0</v>
      </c>
      <c r="CW84" s="372"/>
      <c r="CX84" s="372"/>
      <c r="CY84" s="372">
        <f>Roles!$D$7</f>
        <v>0.12</v>
      </c>
      <c r="CZ84" s="372"/>
      <c r="DA84" s="203">
        <f t="shared" si="26"/>
        <v>0</v>
      </c>
      <c r="DB84" s="372"/>
      <c r="DC84" s="372"/>
      <c r="DD84" s="372">
        <f>Roles!$D$7</f>
        <v>0.12</v>
      </c>
      <c r="DE84" s="372"/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 t="shared" si="1"/>
        <v>1</v>
      </c>
      <c r="F85" s="80">
        <v>2.0</v>
      </c>
      <c r="G85" s="105">
        <f t="shared" si="2"/>
        <v>0.001722652885</v>
      </c>
      <c r="H85" s="47">
        <f t="shared" si="87"/>
        <v>0.2695951766</v>
      </c>
      <c r="I85" s="231">
        <f t="shared" si="85"/>
        <v>38</v>
      </c>
      <c r="J85" s="172">
        <f t="shared" si="88"/>
        <v>516</v>
      </c>
      <c r="K85" s="115">
        <f t="shared" si="3"/>
        <v>0.453427065</v>
      </c>
      <c r="L85" s="232">
        <f t="shared" si="86"/>
        <v>16.72</v>
      </c>
      <c r="M85" s="172">
        <f t="shared" si="89"/>
        <v>227.04</v>
      </c>
      <c r="N85" s="111" t="str">
        <f t="shared" si="6"/>
        <v>#REF!</v>
      </c>
      <c r="O85" s="203">
        <f t="shared" si="7"/>
        <v>19</v>
      </c>
      <c r="P85" s="378">
        <v>38.0</v>
      </c>
      <c r="Q85" s="372"/>
      <c r="R85" s="372">
        <f>Roles!$D$5</f>
        <v>0.44</v>
      </c>
      <c r="S85" s="372">
        <f t="shared" si="8"/>
        <v>16.72</v>
      </c>
      <c r="T85" s="203">
        <f t="shared" si="9"/>
        <v>0</v>
      </c>
      <c r="U85" s="372"/>
      <c r="V85" s="372"/>
      <c r="W85" s="372">
        <f>Roles!$D$7</f>
        <v>0.12</v>
      </c>
      <c r="X85" s="372"/>
      <c r="Y85" s="203">
        <f t="shared" si="10"/>
        <v>0</v>
      </c>
      <c r="Z85" s="372"/>
      <c r="AA85" s="372"/>
      <c r="AB85" s="372">
        <f>Roles!$D$7</f>
        <v>0.12</v>
      </c>
      <c r="AC85" s="372"/>
      <c r="AD85" s="203">
        <f t="shared" si="11"/>
        <v>0</v>
      </c>
      <c r="AE85" s="372"/>
      <c r="AF85" s="372"/>
      <c r="AG85" s="372">
        <f>Roles!$D$7</f>
        <v>0.12</v>
      </c>
      <c r="AH85" s="372"/>
      <c r="AI85" s="203">
        <f t="shared" si="12"/>
        <v>0</v>
      </c>
      <c r="AJ85" s="372"/>
      <c r="AK85" s="372"/>
      <c r="AL85" s="372">
        <f>Roles!$D$7</f>
        <v>0.12</v>
      </c>
      <c r="AM85" s="372"/>
      <c r="AN85" s="203">
        <f t="shared" si="13"/>
        <v>0</v>
      </c>
      <c r="AO85" s="372"/>
      <c r="AP85" s="372"/>
      <c r="AQ85" s="372">
        <f>Roles!$D$7</f>
        <v>0.12</v>
      </c>
      <c r="AR85" s="372"/>
      <c r="AS85" s="203">
        <f t="shared" si="14"/>
        <v>0</v>
      </c>
      <c r="AT85" s="372"/>
      <c r="AU85" s="372"/>
      <c r="AV85" s="372">
        <f>Roles!$D$7</f>
        <v>0.12</v>
      </c>
      <c r="AW85" s="372"/>
      <c r="AX85" s="203">
        <f t="shared" si="15"/>
        <v>0</v>
      </c>
      <c r="AY85" s="372"/>
      <c r="AZ85" s="372"/>
      <c r="BA85" s="372">
        <f>Roles!$D$7</f>
        <v>0.12</v>
      </c>
      <c r="BB85" s="372"/>
      <c r="BC85" s="203">
        <f t="shared" si="16"/>
        <v>0</v>
      </c>
      <c r="BD85" s="372"/>
      <c r="BE85" s="372"/>
      <c r="BF85" s="372">
        <f>Roles!$D$7</f>
        <v>0.12</v>
      </c>
      <c r="BG85" s="372"/>
      <c r="BH85" s="203">
        <f t="shared" si="17"/>
        <v>0</v>
      </c>
      <c r="BI85" s="372"/>
      <c r="BJ85" s="372"/>
      <c r="BK85" s="372">
        <f>Roles!$D$7</f>
        <v>0.12</v>
      </c>
      <c r="BL85" s="372"/>
      <c r="BM85" s="203">
        <f t="shared" si="18"/>
        <v>0</v>
      </c>
      <c r="BN85" s="372"/>
      <c r="BO85" s="372"/>
      <c r="BP85" s="372">
        <f>Roles!$D$7</f>
        <v>0.12</v>
      </c>
      <c r="BQ85" s="372"/>
      <c r="BR85" s="203">
        <f t="shared" si="19"/>
        <v>0</v>
      </c>
      <c r="BS85" s="372"/>
      <c r="BT85" s="372"/>
      <c r="BU85" s="372">
        <f>Roles!$D$7</f>
        <v>0.12</v>
      </c>
      <c r="BV85" s="372"/>
      <c r="BW85" s="203">
        <f t="shared" si="20"/>
        <v>0</v>
      </c>
      <c r="BX85" s="372"/>
      <c r="BY85" s="372"/>
      <c r="BZ85" s="372">
        <f>Roles!$D$7</f>
        <v>0.12</v>
      </c>
      <c r="CA85" s="372"/>
      <c r="CB85" s="203">
        <f t="shared" si="21"/>
        <v>0</v>
      </c>
      <c r="CC85" s="372"/>
      <c r="CD85" s="372"/>
      <c r="CE85" s="372">
        <f>Roles!$D$7</f>
        <v>0.12</v>
      </c>
      <c r="CF85" s="372"/>
      <c r="CG85" s="203">
        <f t="shared" si="22"/>
        <v>0</v>
      </c>
      <c r="CH85" s="372"/>
      <c r="CI85" s="372"/>
      <c r="CJ85" s="372">
        <f>Roles!$D$7</f>
        <v>0.12</v>
      </c>
      <c r="CK85" s="372"/>
      <c r="CL85" s="203">
        <f t="shared" si="23"/>
        <v>0</v>
      </c>
      <c r="CM85" s="372"/>
      <c r="CN85" s="372"/>
      <c r="CO85" s="372">
        <f>Roles!$D$7</f>
        <v>0.12</v>
      </c>
      <c r="CP85" s="372"/>
      <c r="CQ85" s="203">
        <f t="shared" si="24"/>
        <v>0</v>
      </c>
      <c r="CR85" s="372"/>
      <c r="CS85" s="372"/>
      <c r="CT85" s="372">
        <f>Roles!$D$7</f>
        <v>0.12</v>
      </c>
      <c r="CU85" s="372"/>
      <c r="CV85" s="203">
        <f t="shared" si="25"/>
        <v>0</v>
      </c>
      <c r="CW85" s="372"/>
      <c r="CX85" s="372"/>
      <c r="CY85" s="372">
        <f>Roles!$D$7</f>
        <v>0.12</v>
      </c>
      <c r="CZ85" s="372"/>
      <c r="DA85" s="203">
        <f t="shared" si="26"/>
        <v>0</v>
      </c>
      <c r="DB85" s="372"/>
      <c r="DC85" s="372"/>
      <c r="DD85" s="372">
        <f>Roles!$D$7</f>
        <v>0.12</v>
      </c>
      <c r="DE85" s="372"/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 t="shared" si="1"/>
        <v>2</v>
      </c>
      <c r="F86" s="246">
        <f>SUM(F87:F96)</f>
        <v>42</v>
      </c>
      <c r="G86" s="105">
        <f t="shared" si="2"/>
        <v>0.03617571059</v>
      </c>
      <c r="H86" s="226">
        <f>H96</f>
        <v>0.3057708872</v>
      </c>
      <c r="I86" s="247">
        <f>SUM(I87:I96)</f>
        <v>99</v>
      </c>
      <c r="J86" s="247">
        <f>J96</f>
        <v>615</v>
      </c>
      <c r="K86" s="167">
        <f t="shared" si="3"/>
        <v>0.5404217926</v>
      </c>
      <c r="L86" s="247">
        <f>SUM(L87:L96)</f>
        <v>43.56</v>
      </c>
      <c r="M86" s="247">
        <f>M96</f>
        <v>270.6</v>
      </c>
      <c r="N86" s="466" t="str">
        <f t="shared" si="6"/>
        <v>#REF!</v>
      </c>
      <c r="O86" s="203">
        <f t="shared" si="7"/>
        <v>0</v>
      </c>
      <c r="P86" s="372"/>
      <c r="Q86" s="372"/>
      <c r="R86" s="372">
        <f>Roles!$D$5</f>
        <v>0.44</v>
      </c>
      <c r="S86" s="372">
        <f t="shared" si="8"/>
        <v>0</v>
      </c>
      <c r="T86" s="203">
        <f t="shared" si="9"/>
        <v>0</v>
      </c>
      <c r="U86" s="372"/>
      <c r="V86" s="372"/>
      <c r="W86" s="372">
        <f>Roles!$D$7</f>
        <v>0.12</v>
      </c>
      <c r="X86" s="372"/>
      <c r="Y86" s="203">
        <f t="shared" si="10"/>
        <v>0</v>
      </c>
      <c r="Z86" s="372"/>
      <c r="AA86" s="372"/>
      <c r="AB86" s="372">
        <f>Roles!$D$7</f>
        <v>0.12</v>
      </c>
      <c r="AC86" s="372"/>
      <c r="AD86" s="203">
        <f t="shared" si="11"/>
        <v>0</v>
      </c>
      <c r="AE86" s="372"/>
      <c r="AF86" s="372"/>
      <c r="AG86" s="372">
        <f>Roles!$D$7</f>
        <v>0.12</v>
      </c>
      <c r="AH86" s="372"/>
      <c r="AI86" s="203">
        <f t="shared" si="12"/>
        <v>0</v>
      </c>
      <c r="AJ86" s="372"/>
      <c r="AK86" s="372"/>
      <c r="AL86" s="372">
        <f>Roles!$D$7</f>
        <v>0.12</v>
      </c>
      <c r="AM86" s="372"/>
      <c r="AN86" s="203">
        <f t="shared" si="13"/>
        <v>0</v>
      </c>
      <c r="AO86" s="372"/>
      <c r="AP86" s="372"/>
      <c r="AQ86" s="372">
        <f>Roles!$D$7</f>
        <v>0.12</v>
      </c>
      <c r="AR86" s="372"/>
      <c r="AS86" s="203">
        <f t="shared" si="14"/>
        <v>0</v>
      </c>
      <c r="AT86" s="372"/>
      <c r="AU86" s="372"/>
      <c r="AV86" s="372">
        <f>Roles!$D$7</f>
        <v>0.12</v>
      </c>
      <c r="AW86" s="372"/>
      <c r="AX86" s="203">
        <f t="shared" si="15"/>
        <v>0</v>
      </c>
      <c r="AY86" s="372"/>
      <c r="AZ86" s="372"/>
      <c r="BA86" s="372">
        <f>Roles!$D$7</f>
        <v>0.12</v>
      </c>
      <c r="BB86" s="372"/>
      <c r="BC86" s="203">
        <f t="shared" si="16"/>
        <v>0</v>
      </c>
      <c r="BD86" s="372"/>
      <c r="BE86" s="372"/>
      <c r="BF86" s="372">
        <f>Roles!$D$7</f>
        <v>0.12</v>
      </c>
      <c r="BG86" s="372"/>
      <c r="BH86" s="203">
        <f t="shared" si="17"/>
        <v>0</v>
      </c>
      <c r="BI86" s="372"/>
      <c r="BJ86" s="372"/>
      <c r="BK86" s="372">
        <f>Roles!$D$7</f>
        <v>0.12</v>
      </c>
      <c r="BL86" s="372"/>
      <c r="BM86" s="203">
        <f t="shared" si="18"/>
        <v>0</v>
      </c>
      <c r="BN86" s="372"/>
      <c r="BO86" s="372"/>
      <c r="BP86" s="372">
        <f>Roles!$D$7</f>
        <v>0.12</v>
      </c>
      <c r="BQ86" s="372"/>
      <c r="BR86" s="203">
        <f t="shared" si="19"/>
        <v>0</v>
      </c>
      <c r="BS86" s="372"/>
      <c r="BT86" s="372"/>
      <c r="BU86" s="372">
        <f>Roles!$D$7</f>
        <v>0.12</v>
      </c>
      <c r="BV86" s="372"/>
      <c r="BW86" s="203">
        <f t="shared" si="20"/>
        <v>0</v>
      </c>
      <c r="BX86" s="372"/>
      <c r="BY86" s="372"/>
      <c r="BZ86" s="372">
        <f>Roles!$D$7</f>
        <v>0.12</v>
      </c>
      <c r="CA86" s="372"/>
      <c r="CB86" s="203">
        <f t="shared" si="21"/>
        <v>0</v>
      </c>
      <c r="CC86" s="372"/>
      <c r="CD86" s="372"/>
      <c r="CE86" s="372">
        <f>Roles!$D$7</f>
        <v>0.12</v>
      </c>
      <c r="CF86" s="372"/>
      <c r="CG86" s="203">
        <f t="shared" si="22"/>
        <v>0</v>
      </c>
      <c r="CH86" s="372"/>
      <c r="CI86" s="372"/>
      <c r="CJ86" s="372">
        <f>Roles!$D$7</f>
        <v>0.12</v>
      </c>
      <c r="CK86" s="372"/>
      <c r="CL86" s="203">
        <f t="shared" si="23"/>
        <v>0</v>
      </c>
      <c r="CM86" s="372"/>
      <c r="CN86" s="372"/>
      <c r="CO86" s="372">
        <f>Roles!$D$7</f>
        <v>0.12</v>
      </c>
      <c r="CP86" s="372"/>
      <c r="CQ86" s="203">
        <f t="shared" si="24"/>
        <v>0</v>
      </c>
      <c r="CR86" s="372"/>
      <c r="CS86" s="372"/>
      <c r="CT86" s="372">
        <f>Roles!$D$7</f>
        <v>0.12</v>
      </c>
      <c r="CU86" s="372"/>
      <c r="CV86" s="203">
        <f t="shared" si="25"/>
        <v>0</v>
      </c>
      <c r="CW86" s="372"/>
      <c r="CX86" s="372"/>
      <c r="CY86" s="372">
        <f>Roles!$D$7</f>
        <v>0.12</v>
      </c>
      <c r="CZ86" s="372"/>
      <c r="DA86" s="203">
        <f t="shared" si="26"/>
        <v>0</v>
      </c>
      <c r="DB86" s="372"/>
      <c r="DC86" s="372"/>
      <c r="DD86" s="372">
        <f>Roles!$D$7</f>
        <v>0.12</v>
      </c>
      <c r="DE86" s="372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 t="shared" si="1"/>
        <v>1</v>
      </c>
      <c r="F87" s="80">
        <v>4.0</v>
      </c>
      <c r="G87" s="105">
        <f t="shared" si="2"/>
        <v>0.003445305771</v>
      </c>
      <c r="H87" s="47">
        <f>H85+G87</f>
        <v>0.2730404823</v>
      </c>
      <c r="I87" s="231">
        <f t="shared" ref="I87:I96" si="90">P87+U87+Z87+AE87+AJ87+AO87+AT87+AY87+BD87+BI87+BN87+BS87+BX87+CC87+CH87+CM87+CR87+CW87+DB87</f>
        <v>12</v>
      </c>
      <c r="J87" s="172">
        <f>J85+I87</f>
        <v>528</v>
      </c>
      <c r="K87" s="115">
        <f t="shared" si="3"/>
        <v>0.4639718805</v>
      </c>
      <c r="L87" s="232">
        <f t="shared" ref="L87:L96" si="91">S87+X87+AC87+AH87+AM87+AR87+AW87+BB87+BG87+BL87+BQ87+BV87+CA87+CF87+CK87+CP87+CU87+CZ87+DE87</f>
        <v>5.28</v>
      </c>
      <c r="M87" s="172">
        <f>M85+L87</f>
        <v>232.32</v>
      </c>
      <c r="N87" s="442"/>
      <c r="O87" s="203">
        <f t="shared" si="7"/>
        <v>3</v>
      </c>
      <c r="P87" s="378">
        <v>12.0</v>
      </c>
      <c r="Q87" s="372"/>
      <c r="R87" s="372">
        <f>Roles!$D$5</f>
        <v>0.44</v>
      </c>
      <c r="S87" s="372">
        <f t="shared" si="8"/>
        <v>5.28</v>
      </c>
      <c r="T87" s="203">
        <f t="shared" si="9"/>
        <v>0</v>
      </c>
      <c r="U87" s="372"/>
      <c r="V87" s="372"/>
      <c r="W87" s="372">
        <f>Roles!$D$7</f>
        <v>0.12</v>
      </c>
      <c r="X87" s="372"/>
      <c r="Y87" s="203">
        <f t="shared" si="10"/>
        <v>0</v>
      </c>
      <c r="Z87" s="372"/>
      <c r="AA87" s="372"/>
      <c r="AB87" s="372">
        <f>Roles!$D$7</f>
        <v>0.12</v>
      </c>
      <c r="AC87" s="372"/>
      <c r="AD87" s="203">
        <f t="shared" si="11"/>
        <v>0</v>
      </c>
      <c r="AE87" s="372"/>
      <c r="AF87" s="372"/>
      <c r="AG87" s="372">
        <f>Roles!$D$7</f>
        <v>0.12</v>
      </c>
      <c r="AH87" s="372"/>
      <c r="AI87" s="203">
        <f t="shared" si="12"/>
        <v>0</v>
      </c>
      <c r="AJ87" s="372"/>
      <c r="AK87" s="372"/>
      <c r="AL87" s="372">
        <f>Roles!$D$7</f>
        <v>0.12</v>
      </c>
      <c r="AM87" s="372"/>
      <c r="AN87" s="203">
        <f t="shared" si="13"/>
        <v>0</v>
      </c>
      <c r="AO87" s="372"/>
      <c r="AP87" s="372"/>
      <c r="AQ87" s="372">
        <f>Roles!$D$7</f>
        <v>0.12</v>
      </c>
      <c r="AR87" s="372"/>
      <c r="AS87" s="203">
        <f t="shared" si="14"/>
        <v>0</v>
      </c>
      <c r="AT87" s="372"/>
      <c r="AU87" s="372"/>
      <c r="AV87" s="372">
        <f>Roles!$D$7</f>
        <v>0.12</v>
      </c>
      <c r="AW87" s="372"/>
      <c r="AX87" s="203">
        <f t="shared" si="15"/>
        <v>0</v>
      </c>
      <c r="AY87" s="372"/>
      <c r="AZ87" s="372"/>
      <c r="BA87" s="372">
        <f>Roles!$D$7</f>
        <v>0.12</v>
      </c>
      <c r="BB87" s="372"/>
      <c r="BC87" s="203">
        <f t="shared" si="16"/>
        <v>0</v>
      </c>
      <c r="BD87" s="372"/>
      <c r="BE87" s="372"/>
      <c r="BF87" s="372">
        <f>Roles!$D$7</f>
        <v>0.12</v>
      </c>
      <c r="BG87" s="372"/>
      <c r="BH87" s="203">
        <f t="shared" si="17"/>
        <v>0</v>
      </c>
      <c r="BI87" s="372"/>
      <c r="BJ87" s="372"/>
      <c r="BK87" s="372">
        <f>Roles!$D$7</f>
        <v>0.12</v>
      </c>
      <c r="BL87" s="372"/>
      <c r="BM87" s="203">
        <f t="shared" si="18"/>
        <v>0</v>
      </c>
      <c r="BN87" s="372"/>
      <c r="BO87" s="372"/>
      <c r="BP87" s="372">
        <f>Roles!$D$7</f>
        <v>0.12</v>
      </c>
      <c r="BQ87" s="372"/>
      <c r="BR87" s="203">
        <f t="shared" si="19"/>
        <v>0</v>
      </c>
      <c r="BS87" s="372"/>
      <c r="BT87" s="372"/>
      <c r="BU87" s="372">
        <f>Roles!$D$7</f>
        <v>0.12</v>
      </c>
      <c r="BV87" s="372"/>
      <c r="BW87" s="203">
        <f t="shared" si="20"/>
        <v>0</v>
      </c>
      <c r="BX87" s="372"/>
      <c r="BY87" s="372"/>
      <c r="BZ87" s="372">
        <f>Roles!$D$7</f>
        <v>0.12</v>
      </c>
      <c r="CA87" s="372"/>
      <c r="CB87" s="203">
        <f t="shared" si="21"/>
        <v>0</v>
      </c>
      <c r="CC87" s="372"/>
      <c r="CD87" s="372"/>
      <c r="CE87" s="372">
        <f>Roles!$D$7</f>
        <v>0.12</v>
      </c>
      <c r="CF87" s="372"/>
      <c r="CG87" s="203">
        <f t="shared" si="22"/>
        <v>0</v>
      </c>
      <c r="CH87" s="372"/>
      <c r="CI87" s="372"/>
      <c r="CJ87" s="372">
        <f>Roles!$D$7</f>
        <v>0.12</v>
      </c>
      <c r="CK87" s="372"/>
      <c r="CL87" s="203">
        <f t="shared" si="23"/>
        <v>0</v>
      </c>
      <c r="CM87" s="372"/>
      <c r="CN87" s="372"/>
      <c r="CO87" s="372">
        <f>Roles!$D$7</f>
        <v>0.12</v>
      </c>
      <c r="CP87" s="372"/>
      <c r="CQ87" s="203">
        <f t="shared" si="24"/>
        <v>0</v>
      </c>
      <c r="CR87" s="372"/>
      <c r="CS87" s="372"/>
      <c r="CT87" s="372">
        <f>Roles!$D$7</f>
        <v>0.12</v>
      </c>
      <c r="CU87" s="372"/>
      <c r="CV87" s="203">
        <f t="shared" si="25"/>
        <v>0</v>
      </c>
      <c r="CW87" s="372"/>
      <c r="CX87" s="372"/>
      <c r="CY87" s="372">
        <f>Roles!$D$7</f>
        <v>0.12</v>
      </c>
      <c r="CZ87" s="372"/>
      <c r="DA87" s="203">
        <f t="shared" si="26"/>
        <v>0</v>
      </c>
      <c r="DB87" s="372"/>
      <c r="DC87" s="372"/>
      <c r="DD87" s="372">
        <f>Roles!$D$7</f>
        <v>0.12</v>
      </c>
      <c r="DE87" s="372"/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 t="shared" si="1"/>
        <v>1</v>
      </c>
      <c r="F88" s="80">
        <v>4.0</v>
      </c>
      <c r="G88" s="105">
        <f t="shared" si="2"/>
        <v>0.003445305771</v>
      </c>
      <c r="H88" s="47">
        <f t="shared" ref="H88:H96" si="92">H87+G88</f>
        <v>0.2764857881</v>
      </c>
      <c r="I88" s="231">
        <f t="shared" si="90"/>
        <v>4</v>
      </c>
      <c r="J88" s="172">
        <f t="shared" ref="J88:J96" si="93">J87+I88</f>
        <v>532</v>
      </c>
      <c r="K88" s="115">
        <f t="shared" si="3"/>
        <v>0.467486819</v>
      </c>
      <c r="L88" s="232">
        <f t="shared" si="91"/>
        <v>1.76</v>
      </c>
      <c r="M88" s="172">
        <f t="shared" ref="M88:M96" si="94">M87+L88</f>
        <v>234.08</v>
      </c>
      <c r="N88" s="7"/>
      <c r="O88" s="203">
        <f t="shared" si="7"/>
        <v>1</v>
      </c>
      <c r="P88" s="378">
        <v>4.0</v>
      </c>
      <c r="Q88" s="372"/>
      <c r="R88" s="372">
        <f>Roles!$D$5</f>
        <v>0.44</v>
      </c>
      <c r="S88" s="372">
        <f t="shared" si="8"/>
        <v>1.76</v>
      </c>
      <c r="T88" s="203">
        <f t="shared" si="9"/>
        <v>0</v>
      </c>
      <c r="U88" s="372"/>
      <c r="V88" s="372"/>
      <c r="W88" s="372">
        <f>Roles!$D$7</f>
        <v>0.12</v>
      </c>
      <c r="X88" s="372"/>
      <c r="Y88" s="203">
        <f t="shared" si="10"/>
        <v>0</v>
      </c>
      <c r="Z88" s="372"/>
      <c r="AA88" s="372"/>
      <c r="AB88" s="372">
        <f>Roles!$D$7</f>
        <v>0.12</v>
      </c>
      <c r="AC88" s="372"/>
      <c r="AD88" s="203">
        <f t="shared" si="11"/>
        <v>0</v>
      </c>
      <c r="AE88" s="372"/>
      <c r="AF88" s="372"/>
      <c r="AG88" s="372">
        <f>Roles!$D$7</f>
        <v>0.12</v>
      </c>
      <c r="AH88" s="372"/>
      <c r="AI88" s="203">
        <f t="shared" si="12"/>
        <v>0</v>
      </c>
      <c r="AJ88" s="372"/>
      <c r="AK88" s="372"/>
      <c r="AL88" s="372">
        <f>Roles!$D$7</f>
        <v>0.12</v>
      </c>
      <c r="AM88" s="372"/>
      <c r="AN88" s="203">
        <f t="shared" si="13"/>
        <v>0</v>
      </c>
      <c r="AO88" s="372"/>
      <c r="AP88" s="372"/>
      <c r="AQ88" s="372">
        <f>Roles!$D$7</f>
        <v>0.12</v>
      </c>
      <c r="AR88" s="372"/>
      <c r="AS88" s="203">
        <f t="shared" si="14"/>
        <v>0</v>
      </c>
      <c r="AT88" s="372"/>
      <c r="AU88" s="372"/>
      <c r="AV88" s="372">
        <f>Roles!$D$7</f>
        <v>0.12</v>
      </c>
      <c r="AW88" s="372"/>
      <c r="AX88" s="203">
        <f t="shared" si="15"/>
        <v>0</v>
      </c>
      <c r="AY88" s="372"/>
      <c r="AZ88" s="372"/>
      <c r="BA88" s="372">
        <f>Roles!$D$7</f>
        <v>0.12</v>
      </c>
      <c r="BB88" s="372"/>
      <c r="BC88" s="203">
        <f t="shared" si="16"/>
        <v>0</v>
      </c>
      <c r="BD88" s="372"/>
      <c r="BE88" s="372"/>
      <c r="BF88" s="372">
        <f>Roles!$D$7</f>
        <v>0.12</v>
      </c>
      <c r="BG88" s="372"/>
      <c r="BH88" s="203">
        <f t="shared" si="17"/>
        <v>0</v>
      </c>
      <c r="BI88" s="372"/>
      <c r="BJ88" s="372"/>
      <c r="BK88" s="372">
        <f>Roles!$D$7</f>
        <v>0.12</v>
      </c>
      <c r="BL88" s="372"/>
      <c r="BM88" s="203">
        <f t="shared" si="18"/>
        <v>0</v>
      </c>
      <c r="BN88" s="372"/>
      <c r="BO88" s="372"/>
      <c r="BP88" s="372">
        <f>Roles!$D$7</f>
        <v>0.12</v>
      </c>
      <c r="BQ88" s="372"/>
      <c r="BR88" s="203">
        <f t="shared" si="19"/>
        <v>0</v>
      </c>
      <c r="BS88" s="372"/>
      <c r="BT88" s="372"/>
      <c r="BU88" s="372">
        <f>Roles!$D$7</f>
        <v>0.12</v>
      </c>
      <c r="BV88" s="372"/>
      <c r="BW88" s="203">
        <f t="shared" si="20"/>
        <v>0</v>
      </c>
      <c r="BX88" s="372"/>
      <c r="BY88" s="372"/>
      <c r="BZ88" s="372">
        <f>Roles!$D$7</f>
        <v>0.12</v>
      </c>
      <c r="CA88" s="372"/>
      <c r="CB88" s="203">
        <f t="shared" si="21"/>
        <v>0</v>
      </c>
      <c r="CC88" s="372"/>
      <c r="CD88" s="372"/>
      <c r="CE88" s="372">
        <f>Roles!$D$7</f>
        <v>0.12</v>
      </c>
      <c r="CF88" s="372"/>
      <c r="CG88" s="203">
        <f t="shared" si="22"/>
        <v>0</v>
      </c>
      <c r="CH88" s="372"/>
      <c r="CI88" s="372"/>
      <c r="CJ88" s="372">
        <f>Roles!$D$7</f>
        <v>0.12</v>
      </c>
      <c r="CK88" s="372"/>
      <c r="CL88" s="203">
        <f t="shared" si="23"/>
        <v>0</v>
      </c>
      <c r="CM88" s="372"/>
      <c r="CN88" s="372"/>
      <c r="CO88" s="372">
        <f>Roles!$D$7</f>
        <v>0.12</v>
      </c>
      <c r="CP88" s="372"/>
      <c r="CQ88" s="203">
        <f t="shared" si="24"/>
        <v>0</v>
      </c>
      <c r="CR88" s="372"/>
      <c r="CS88" s="372"/>
      <c r="CT88" s="372">
        <f>Roles!$D$7</f>
        <v>0.12</v>
      </c>
      <c r="CU88" s="372"/>
      <c r="CV88" s="203">
        <f t="shared" si="25"/>
        <v>0</v>
      </c>
      <c r="CW88" s="372"/>
      <c r="CX88" s="372"/>
      <c r="CY88" s="372">
        <f>Roles!$D$7</f>
        <v>0.12</v>
      </c>
      <c r="CZ88" s="372"/>
      <c r="DA88" s="203">
        <f t="shared" si="26"/>
        <v>0</v>
      </c>
      <c r="DB88" s="372"/>
      <c r="DC88" s="372"/>
      <c r="DD88" s="372">
        <f>Roles!$D$7</f>
        <v>0.12</v>
      </c>
      <c r="DE88" s="372"/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 t="shared" si="1"/>
        <v>1</v>
      </c>
      <c r="F89" s="80">
        <v>4.0</v>
      </c>
      <c r="G89" s="105">
        <f t="shared" si="2"/>
        <v>0.003445305771</v>
      </c>
      <c r="H89" s="47">
        <f t="shared" si="92"/>
        <v>0.2799310939</v>
      </c>
      <c r="I89" s="231">
        <f t="shared" si="90"/>
        <v>12</v>
      </c>
      <c r="J89" s="172">
        <f t="shared" si="93"/>
        <v>544</v>
      </c>
      <c r="K89" s="115">
        <f t="shared" si="3"/>
        <v>0.4780316344</v>
      </c>
      <c r="L89" s="232">
        <f t="shared" si="91"/>
        <v>5.28</v>
      </c>
      <c r="M89" s="172">
        <f t="shared" si="94"/>
        <v>239.36</v>
      </c>
      <c r="N89" s="7"/>
      <c r="O89" s="203">
        <f t="shared" si="7"/>
        <v>3</v>
      </c>
      <c r="P89" s="378">
        <v>12.0</v>
      </c>
      <c r="Q89" s="372"/>
      <c r="R89" s="372">
        <f>Roles!$D$5</f>
        <v>0.44</v>
      </c>
      <c r="S89" s="372">
        <f t="shared" si="8"/>
        <v>5.28</v>
      </c>
      <c r="T89" s="203">
        <f t="shared" si="9"/>
        <v>0</v>
      </c>
      <c r="U89" s="372"/>
      <c r="V89" s="372"/>
      <c r="W89" s="372">
        <f>Roles!$D$7</f>
        <v>0.12</v>
      </c>
      <c r="X89" s="372"/>
      <c r="Y89" s="203">
        <f t="shared" si="10"/>
        <v>0</v>
      </c>
      <c r="Z89" s="372"/>
      <c r="AA89" s="372"/>
      <c r="AB89" s="372">
        <f>Roles!$D$7</f>
        <v>0.12</v>
      </c>
      <c r="AC89" s="372"/>
      <c r="AD89" s="203">
        <f t="shared" si="11"/>
        <v>0</v>
      </c>
      <c r="AE89" s="372"/>
      <c r="AF89" s="372"/>
      <c r="AG89" s="372">
        <f>Roles!$D$7</f>
        <v>0.12</v>
      </c>
      <c r="AH89" s="372"/>
      <c r="AI89" s="203">
        <f t="shared" si="12"/>
        <v>0</v>
      </c>
      <c r="AJ89" s="372"/>
      <c r="AK89" s="372"/>
      <c r="AL89" s="372">
        <f>Roles!$D$7</f>
        <v>0.12</v>
      </c>
      <c r="AM89" s="372"/>
      <c r="AN89" s="203">
        <f t="shared" si="13"/>
        <v>0</v>
      </c>
      <c r="AO89" s="372"/>
      <c r="AP89" s="372"/>
      <c r="AQ89" s="372">
        <f>Roles!$D$7</f>
        <v>0.12</v>
      </c>
      <c r="AR89" s="372"/>
      <c r="AS89" s="203">
        <f t="shared" si="14"/>
        <v>0</v>
      </c>
      <c r="AT89" s="372"/>
      <c r="AU89" s="372"/>
      <c r="AV89" s="372">
        <f>Roles!$D$7</f>
        <v>0.12</v>
      </c>
      <c r="AW89" s="372"/>
      <c r="AX89" s="203">
        <f t="shared" si="15"/>
        <v>0</v>
      </c>
      <c r="AY89" s="372"/>
      <c r="AZ89" s="372"/>
      <c r="BA89" s="372">
        <f>Roles!$D$7</f>
        <v>0.12</v>
      </c>
      <c r="BB89" s="372"/>
      <c r="BC89" s="203">
        <f t="shared" si="16"/>
        <v>0</v>
      </c>
      <c r="BD89" s="372"/>
      <c r="BE89" s="372"/>
      <c r="BF89" s="372">
        <f>Roles!$D$7</f>
        <v>0.12</v>
      </c>
      <c r="BG89" s="372"/>
      <c r="BH89" s="203">
        <f t="shared" si="17"/>
        <v>0</v>
      </c>
      <c r="BI89" s="372"/>
      <c r="BJ89" s="372"/>
      <c r="BK89" s="372">
        <f>Roles!$D$7</f>
        <v>0.12</v>
      </c>
      <c r="BL89" s="372"/>
      <c r="BM89" s="203">
        <f t="shared" si="18"/>
        <v>0</v>
      </c>
      <c r="BN89" s="372"/>
      <c r="BO89" s="372"/>
      <c r="BP89" s="372">
        <f>Roles!$D$7</f>
        <v>0.12</v>
      </c>
      <c r="BQ89" s="372"/>
      <c r="BR89" s="203">
        <f t="shared" si="19"/>
        <v>0</v>
      </c>
      <c r="BS89" s="372"/>
      <c r="BT89" s="372"/>
      <c r="BU89" s="372">
        <f>Roles!$D$7</f>
        <v>0.12</v>
      </c>
      <c r="BV89" s="372"/>
      <c r="BW89" s="203">
        <f t="shared" si="20"/>
        <v>0</v>
      </c>
      <c r="BX89" s="372"/>
      <c r="BY89" s="372"/>
      <c r="BZ89" s="372">
        <f>Roles!$D$7</f>
        <v>0.12</v>
      </c>
      <c r="CA89" s="372"/>
      <c r="CB89" s="203">
        <f t="shared" si="21"/>
        <v>0</v>
      </c>
      <c r="CC89" s="372"/>
      <c r="CD89" s="372"/>
      <c r="CE89" s="372">
        <f>Roles!$D$7</f>
        <v>0.12</v>
      </c>
      <c r="CF89" s="372"/>
      <c r="CG89" s="203">
        <f t="shared" si="22"/>
        <v>0</v>
      </c>
      <c r="CH89" s="372"/>
      <c r="CI89" s="372"/>
      <c r="CJ89" s="372">
        <f>Roles!$D$7</f>
        <v>0.12</v>
      </c>
      <c r="CK89" s="372"/>
      <c r="CL89" s="203">
        <f t="shared" si="23"/>
        <v>0</v>
      </c>
      <c r="CM89" s="372"/>
      <c r="CN89" s="372"/>
      <c r="CO89" s="372">
        <f>Roles!$D$7</f>
        <v>0.12</v>
      </c>
      <c r="CP89" s="372"/>
      <c r="CQ89" s="203">
        <f t="shared" si="24"/>
        <v>0</v>
      </c>
      <c r="CR89" s="372"/>
      <c r="CS89" s="372"/>
      <c r="CT89" s="372">
        <f>Roles!$D$7</f>
        <v>0.12</v>
      </c>
      <c r="CU89" s="372"/>
      <c r="CV89" s="203">
        <f t="shared" si="25"/>
        <v>0</v>
      </c>
      <c r="CW89" s="372"/>
      <c r="CX89" s="372"/>
      <c r="CY89" s="372">
        <f>Roles!$D$7</f>
        <v>0.12</v>
      </c>
      <c r="CZ89" s="372"/>
      <c r="DA89" s="203">
        <f t="shared" si="26"/>
        <v>0</v>
      </c>
      <c r="DB89" s="372"/>
      <c r="DC89" s="372"/>
      <c r="DD89" s="372">
        <f>Roles!$D$7</f>
        <v>0.12</v>
      </c>
      <c r="DE89" s="372"/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 t="shared" si="1"/>
        <v>1</v>
      </c>
      <c r="F90" s="80">
        <v>4.0</v>
      </c>
      <c r="G90" s="105">
        <f t="shared" si="2"/>
        <v>0.003445305771</v>
      </c>
      <c r="H90" s="47">
        <f t="shared" si="92"/>
        <v>0.2833763997</v>
      </c>
      <c r="I90" s="231">
        <f t="shared" si="90"/>
        <v>12</v>
      </c>
      <c r="J90" s="172">
        <f t="shared" si="93"/>
        <v>556</v>
      </c>
      <c r="K90" s="115">
        <f t="shared" si="3"/>
        <v>0.4885764499</v>
      </c>
      <c r="L90" s="232">
        <f t="shared" si="91"/>
        <v>5.28</v>
      </c>
      <c r="M90" s="172">
        <f t="shared" si="94"/>
        <v>244.64</v>
      </c>
      <c r="N90" s="350"/>
      <c r="O90" s="203">
        <f t="shared" si="7"/>
        <v>3</v>
      </c>
      <c r="P90" s="378">
        <v>12.0</v>
      </c>
      <c r="Q90" s="372"/>
      <c r="R90" s="372">
        <f>Roles!$D$5</f>
        <v>0.44</v>
      </c>
      <c r="S90" s="372">
        <f t="shared" si="8"/>
        <v>5.28</v>
      </c>
      <c r="T90" s="203">
        <f t="shared" si="9"/>
        <v>0</v>
      </c>
      <c r="U90" s="372"/>
      <c r="V90" s="372"/>
      <c r="W90" s="372">
        <f>Roles!$D$7</f>
        <v>0.12</v>
      </c>
      <c r="X90" s="372"/>
      <c r="Y90" s="203">
        <f t="shared" si="10"/>
        <v>0</v>
      </c>
      <c r="Z90" s="372"/>
      <c r="AA90" s="372"/>
      <c r="AB90" s="372">
        <f>Roles!$D$7</f>
        <v>0.12</v>
      </c>
      <c r="AC90" s="372"/>
      <c r="AD90" s="203">
        <f t="shared" si="11"/>
        <v>0</v>
      </c>
      <c r="AE90" s="372"/>
      <c r="AF90" s="372"/>
      <c r="AG90" s="372">
        <f>Roles!$D$7</f>
        <v>0.12</v>
      </c>
      <c r="AH90" s="372"/>
      <c r="AI90" s="203">
        <f t="shared" si="12"/>
        <v>0</v>
      </c>
      <c r="AJ90" s="372"/>
      <c r="AK90" s="372"/>
      <c r="AL90" s="372">
        <f>Roles!$D$7</f>
        <v>0.12</v>
      </c>
      <c r="AM90" s="372"/>
      <c r="AN90" s="203">
        <f t="shared" si="13"/>
        <v>0</v>
      </c>
      <c r="AO90" s="372"/>
      <c r="AP90" s="372"/>
      <c r="AQ90" s="372">
        <f>Roles!$D$7</f>
        <v>0.12</v>
      </c>
      <c r="AR90" s="372"/>
      <c r="AS90" s="203">
        <f t="shared" si="14"/>
        <v>0</v>
      </c>
      <c r="AT90" s="372"/>
      <c r="AU90" s="372"/>
      <c r="AV90" s="372">
        <f>Roles!$D$7</f>
        <v>0.12</v>
      </c>
      <c r="AW90" s="372"/>
      <c r="AX90" s="203">
        <f t="shared" si="15"/>
        <v>0</v>
      </c>
      <c r="AY90" s="372"/>
      <c r="AZ90" s="372"/>
      <c r="BA90" s="372">
        <f>Roles!$D$7</f>
        <v>0.12</v>
      </c>
      <c r="BB90" s="372"/>
      <c r="BC90" s="203">
        <f t="shared" si="16"/>
        <v>0</v>
      </c>
      <c r="BD90" s="372"/>
      <c r="BE90" s="372"/>
      <c r="BF90" s="372">
        <f>Roles!$D$7</f>
        <v>0.12</v>
      </c>
      <c r="BG90" s="372"/>
      <c r="BH90" s="203">
        <f t="shared" si="17"/>
        <v>0</v>
      </c>
      <c r="BI90" s="372"/>
      <c r="BJ90" s="372"/>
      <c r="BK90" s="372">
        <f>Roles!$D$7</f>
        <v>0.12</v>
      </c>
      <c r="BL90" s="372"/>
      <c r="BM90" s="203">
        <f t="shared" si="18"/>
        <v>0</v>
      </c>
      <c r="BN90" s="372"/>
      <c r="BO90" s="372"/>
      <c r="BP90" s="372">
        <f>Roles!$D$7</f>
        <v>0.12</v>
      </c>
      <c r="BQ90" s="372"/>
      <c r="BR90" s="203">
        <f t="shared" si="19"/>
        <v>0</v>
      </c>
      <c r="BS90" s="372"/>
      <c r="BT90" s="372"/>
      <c r="BU90" s="372">
        <f>Roles!$D$7</f>
        <v>0.12</v>
      </c>
      <c r="BV90" s="372"/>
      <c r="BW90" s="203">
        <f t="shared" si="20"/>
        <v>0</v>
      </c>
      <c r="BX90" s="372"/>
      <c r="BY90" s="372"/>
      <c r="BZ90" s="372">
        <f>Roles!$D$7</f>
        <v>0.12</v>
      </c>
      <c r="CA90" s="372"/>
      <c r="CB90" s="203">
        <f t="shared" si="21"/>
        <v>0</v>
      </c>
      <c r="CC90" s="372"/>
      <c r="CD90" s="372"/>
      <c r="CE90" s="372">
        <f>Roles!$D$7</f>
        <v>0.12</v>
      </c>
      <c r="CF90" s="372"/>
      <c r="CG90" s="203">
        <f t="shared" si="22"/>
        <v>0</v>
      </c>
      <c r="CH90" s="372"/>
      <c r="CI90" s="372"/>
      <c r="CJ90" s="372">
        <f>Roles!$D$7</f>
        <v>0.12</v>
      </c>
      <c r="CK90" s="372"/>
      <c r="CL90" s="203">
        <f t="shared" si="23"/>
        <v>0</v>
      </c>
      <c r="CM90" s="372"/>
      <c r="CN90" s="372"/>
      <c r="CO90" s="372">
        <f>Roles!$D$7</f>
        <v>0.12</v>
      </c>
      <c r="CP90" s="372"/>
      <c r="CQ90" s="203">
        <f t="shared" si="24"/>
        <v>0</v>
      </c>
      <c r="CR90" s="372"/>
      <c r="CS90" s="372"/>
      <c r="CT90" s="372">
        <f>Roles!$D$7</f>
        <v>0.12</v>
      </c>
      <c r="CU90" s="372"/>
      <c r="CV90" s="203">
        <f t="shared" si="25"/>
        <v>0</v>
      </c>
      <c r="CW90" s="372"/>
      <c r="CX90" s="372"/>
      <c r="CY90" s="372">
        <f>Roles!$D$7</f>
        <v>0.12</v>
      </c>
      <c r="CZ90" s="372"/>
      <c r="DA90" s="203">
        <f t="shared" si="26"/>
        <v>0</v>
      </c>
      <c r="DB90" s="372"/>
      <c r="DC90" s="372"/>
      <c r="DD90" s="372">
        <f>Roles!$D$7</f>
        <v>0.12</v>
      </c>
      <c r="DE90" s="372"/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 t="shared" si="1"/>
        <v>2</v>
      </c>
      <c r="F91" s="80">
        <v>6.0</v>
      </c>
      <c r="G91" s="105">
        <f t="shared" si="2"/>
        <v>0.005167958656</v>
      </c>
      <c r="H91" s="47">
        <f t="shared" si="92"/>
        <v>0.2885443583</v>
      </c>
      <c r="I91" s="231">
        <f t="shared" si="90"/>
        <v>18</v>
      </c>
      <c r="J91" s="172">
        <f t="shared" si="93"/>
        <v>574</v>
      </c>
      <c r="K91" s="115">
        <f t="shared" si="3"/>
        <v>0.5043936731</v>
      </c>
      <c r="L91" s="232">
        <f t="shared" si="91"/>
        <v>7.92</v>
      </c>
      <c r="M91" s="172">
        <f t="shared" si="94"/>
        <v>252.56</v>
      </c>
      <c r="N91" s="7"/>
      <c r="O91" s="203">
        <f t="shared" si="7"/>
        <v>3</v>
      </c>
      <c r="P91" s="378">
        <v>18.0</v>
      </c>
      <c r="Q91" s="372"/>
      <c r="R91" s="372">
        <f>Roles!$D$5</f>
        <v>0.44</v>
      </c>
      <c r="S91" s="372">
        <f t="shared" si="8"/>
        <v>7.92</v>
      </c>
      <c r="T91" s="203">
        <f t="shared" si="9"/>
        <v>0</v>
      </c>
      <c r="U91" s="372"/>
      <c r="V91" s="372"/>
      <c r="W91" s="372">
        <f>Roles!$D$7</f>
        <v>0.12</v>
      </c>
      <c r="X91" s="372"/>
      <c r="Y91" s="203">
        <f t="shared" si="10"/>
        <v>0</v>
      </c>
      <c r="Z91" s="372"/>
      <c r="AA91" s="372"/>
      <c r="AB91" s="372">
        <f>Roles!$D$7</f>
        <v>0.12</v>
      </c>
      <c r="AC91" s="372"/>
      <c r="AD91" s="203">
        <f t="shared" si="11"/>
        <v>0</v>
      </c>
      <c r="AE91" s="372"/>
      <c r="AF91" s="372"/>
      <c r="AG91" s="372">
        <f>Roles!$D$7</f>
        <v>0.12</v>
      </c>
      <c r="AH91" s="372"/>
      <c r="AI91" s="203">
        <f t="shared" si="12"/>
        <v>0</v>
      </c>
      <c r="AJ91" s="372"/>
      <c r="AK91" s="372"/>
      <c r="AL91" s="372">
        <f>Roles!$D$7</f>
        <v>0.12</v>
      </c>
      <c r="AM91" s="372"/>
      <c r="AN91" s="203">
        <f t="shared" si="13"/>
        <v>0</v>
      </c>
      <c r="AO91" s="372"/>
      <c r="AP91" s="372"/>
      <c r="AQ91" s="372">
        <f>Roles!$D$7</f>
        <v>0.12</v>
      </c>
      <c r="AR91" s="372"/>
      <c r="AS91" s="203">
        <f t="shared" si="14"/>
        <v>0</v>
      </c>
      <c r="AT91" s="372"/>
      <c r="AU91" s="372"/>
      <c r="AV91" s="372">
        <f>Roles!$D$7</f>
        <v>0.12</v>
      </c>
      <c r="AW91" s="372"/>
      <c r="AX91" s="203">
        <f t="shared" si="15"/>
        <v>0</v>
      </c>
      <c r="AY91" s="372"/>
      <c r="AZ91" s="372"/>
      <c r="BA91" s="372">
        <f>Roles!$D$7</f>
        <v>0.12</v>
      </c>
      <c r="BB91" s="372"/>
      <c r="BC91" s="203">
        <f t="shared" si="16"/>
        <v>0</v>
      </c>
      <c r="BD91" s="372"/>
      <c r="BE91" s="372"/>
      <c r="BF91" s="372">
        <f>Roles!$D$7</f>
        <v>0.12</v>
      </c>
      <c r="BG91" s="372"/>
      <c r="BH91" s="203">
        <f t="shared" si="17"/>
        <v>0</v>
      </c>
      <c r="BI91" s="372"/>
      <c r="BJ91" s="372"/>
      <c r="BK91" s="372">
        <f>Roles!$D$7</f>
        <v>0.12</v>
      </c>
      <c r="BL91" s="372"/>
      <c r="BM91" s="203">
        <f t="shared" si="18"/>
        <v>0</v>
      </c>
      <c r="BN91" s="372"/>
      <c r="BO91" s="372"/>
      <c r="BP91" s="372">
        <f>Roles!$D$7</f>
        <v>0.12</v>
      </c>
      <c r="BQ91" s="372"/>
      <c r="BR91" s="203">
        <f t="shared" si="19"/>
        <v>0</v>
      </c>
      <c r="BS91" s="372"/>
      <c r="BT91" s="372"/>
      <c r="BU91" s="372">
        <f>Roles!$D$7</f>
        <v>0.12</v>
      </c>
      <c r="BV91" s="372"/>
      <c r="BW91" s="203">
        <f t="shared" si="20"/>
        <v>0</v>
      </c>
      <c r="BX91" s="372"/>
      <c r="BY91" s="372"/>
      <c r="BZ91" s="372">
        <f>Roles!$D$7</f>
        <v>0.12</v>
      </c>
      <c r="CA91" s="372"/>
      <c r="CB91" s="203">
        <f t="shared" si="21"/>
        <v>0</v>
      </c>
      <c r="CC91" s="372"/>
      <c r="CD91" s="372"/>
      <c r="CE91" s="372">
        <f>Roles!$D$7</f>
        <v>0.12</v>
      </c>
      <c r="CF91" s="372"/>
      <c r="CG91" s="203">
        <f t="shared" si="22"/>
        <v>0</v>
      </c>
      <c r="CH91" s="372"/>
      <c r="CI91" s="372"/>
      <c r="CJ91" s="372">
        <f>Roles!$D$7</f>
        <v>0.12</v>
      </c>
      <c r="CK91" s="372"/>
      <c r="CL91" s="203">
        <f t="shared" si="23"/>
        <v>0</v>
      </c>
      <c r="CM91" s="372"/>
      <c r="CN91" s="372"/>
      <c r="CO91" s="372">
        <f>Roles!$D$7</f>
        <v>0.12</v>
      </c>
      <c r="CP91" s="372"/>
      <c r="CQ91" s="203">
        <f t="shared" si="24"/>
        <v>0</v>
      </c>
      <c r="CR91" s="372"/>
      <c r="CS91" s="372"/>
      <c r="CT91" s="372">
        <f>Roles!$D$7</f>
        <v>0.12</v>
      </c>
      <c r="CU91" s="372"/>
      <c r="CV91" s="203">
        <f t="shared" si="25"/>
        <v>0</v>
      </c>
      <c r="CW91" s="372"/>
      <c r="CX91" s="372"/>
      <c r="CY91" s="372">
        <f>Roles!$D$7</f>
        <v>0.12</v>
      </c>
      <c r="CZ91" s="372"/>
      <c r="DA91" s="203">
        <f t="shared" si="26"/>
        <v>0</v>
      </c>
      <c r="DB91" s="372"/>
      <c r="DC91" s="372"/>
      <c r="DD91" s="372">
        <f>Roles!$D$7</f>
        <v>0.12</v>
      </c>
      <c r="DE91" s="372"/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 t="shared" si="1"/>
        <v>2</v>
      </c>
      <c r="F92" s="80">
        <v>4.0</v>
      </c>
      <c r="G92" s="105">
        <f t="shared" si="2"/>
        <v>0.003445305771</v>
      </c>
      <c r="H92" s="47">
        <f t="shared" si="92"/>
        <v>0.2919896641</v>
      </c>
      <c r="I92" s="231">
        <f t="shared" si="90"/>
        <v>4</v>
      </c>
      <c r="J92" s="172">
        <f t="shared" si="93"/>
        <v>578</v>
      </c>
      <c r="K92" s="115">
        <f t="shared" si="3"/>
        <v>0.5079086116</v>
      </c>
      <c r="L92" s="232">
        <f t="shared" si="91"/>
        <v>1.76</v>
      </c>
      <c r="M92" s="172">
        <f t="shared" si="94"/>
        <v>254.32</v>
      </c>
      <c r="N92" s="7"/>
      <c r="O92" s="203">
        <f t="shared" si="7"/>
        <v>1</v>
      </c>
      <c r="P92" s="378">
        <v>4.0</v>
      </c>
      <c r="Q92" s="372"/>
      <c r="R92" s="372">
        <f>Roles!$D$5</f>
        <v>0.44</v>
      </c>
      <c r="S92" s="372">
        <f t="shared" si="8"/>
        <v>1.76</v>
      </c>
      <c r="T92" s="203">
        <f t="shared" si="9"/>
        <v>0</v>
      </c>
      <c r="U92" s="372"/>
      <c r="V92" s="372"/>
      <c r="W92" s="372">
        <f>Roles!$D$7</f>
        <v>0.12</v>
      </c>
      <c r="X92" s="372"/>
      <c r="Y92" s="203">
        <f t="shared" si="10"/>
        <v>0</v>
      </c>
      <c r="Z92" s="372"/>
      <c r="AA92" s="372"/>
      <c r="AB92" s="372">
        <f>Roles!$D$7</f>
        <v>0.12</v>
      </c>
      <c r="AC92" s="372"/>
      <c r="AD92" s="203">
        <f t="shared" si="11"/>
        <v>0</v>
      </c>
      <c r="AE92" s="372"/>
      <c r="AF92" s="372"/>
      <c r="AG92" s="372">
        <f>Roles!$D$7</f>
        <v>0.12</v>
      </c>
      <c r="AH92" s="372"/>
      <c r="AI92" s="203">
        <f t="shared" si="12"/>
        <v>0</v>
      </c>
      <c r="AJ92" s="372"/>
      <c r="AK92" s="372"/>
      <c r="AL92" s="372">
        <f>Roles!$D$7</f>
        <v>0.12</v>
      </c>
      <c r="AM92" s="372"/>
      <c r="AN92" s="203">
        <f t="shared" si="13"/>
        <v>0</v>
      </c>
      <c r="AO92" s="372"/>
      <c r="AP92" s="372"/>
      <c r="AQ92" s="372">
        <f>Roles!$D$7</f>
        <v>0.12</v>
      </c>
      <c r="AR92" s="372"/>
      <c r="AS92" s="203">
        <f t="shared" si="14"/>
        <v>0</v>
      </c>
      <c r="AT92" s="372"/>
      <c r="AU92" s="372"/>
      <c r="AV92" s="372">
        <f>Roles!$D$7</f>
        <v>0.12</v>
      </c>
      <c r="AW92" s="372"/>
      <c r="AX92" s="203">
        <f t="shared" si="15"/>
        <v>0</v>
      </c>
      <c r="AY92" s="372"/>
      <c r="AZ92" s="372"/>
      <c r="BA92" s="372">
        <f>Roles!$D$7</f>
        <v>0.12</v>
      </c>
      <c r="BB92" s="372"/>
      <c r="BC92" s="203">
        <f t="shared" si="16"/>
        <v>0</v>
      </c>
      <c r="BD92" s="372"/>
      <c r="BE92" s="372"/>
      <c r="BF92" s="372">
        <f>Roles!$D$7</f>
        <v>0.12</v>
      </c>
      <c r="BG92" s="372"/>
      <c r="BH92" s="203">
        <f t="shared" si="17"/>
        <v>0</v>
      </c>
      <c r="BI92" s="372"/>
      <c r="BJ92" s="372"/>
      <c r="BK92" s="372">
        <f>Roles!$D$7</f>
        <v>0.12</v>
      </c>
      <c r="BL92" s="372"/>
      <c r="BM92" s="203">
        <f t="shared" si="18"/>
        <v>0</v>
      </c>
      <c r="BN92" s="372"/>
      <c r="BO92" s="372"/>
      <c r="BP92" s="372">
        <f>Roles!$D$7</f>
        <v>0.12</v>
      </c>
      <c r="BQ92" s="372"/>
      <c r="BR92" s="203">
        <f t="shared" si="19"/>
        <v>0</v>
      </c>
      <c r="BS92" s="372"/>
      <c r="BT92" s="372"/>
      <c r="BU92" s="372">
        <f>Roles!$D$7</f>
        <v>0.12</v>
      </c>
      <c r="BV92" s="372"/>
      <c r="BW92" s="203">
        <f t="shared" si="20"/>
        <v>0</v>
      </c>
      <c r="BX92" s="372"/>
      <c r="BY92" s="372"/>
      <c r="BZ92" s="372">
        <f>Roles!$D$7</f>
        <v>0.12</v>
      </c>
      <c r="CA92" s="372"/>
      <c r="CB92" s="203">
        <f t="shared" si="21"/>
        <v>0</v>
      </c>
      <c r="CC92" s="372"/>
      <c r="CD92" s="372"/>
      <c r="CE92" s="372">
        <f>Roles!$D$7</f>
        <v>0.12</v>
      </c>
      <c r="CF92" s="372"/>
      <c r="CG92" s="203">
        <f t="shared" si="22"/>
        <v>0</v>
      </c>
      <c r="CH92" s="372"/>
      <c r="CI92" s="372"/>
      <c r="CJ92" s="372">
        <f>Roles!$D$7</f>
        <v>0.12</v>
      </c>
      <c r="CK92" s="372"/>
      <c r="CL92" s="203">
        <f t="shared" si="23"/>
        <v>0</v>
      </c>
      <c r="CM92" s="372"/>
      <c r="CN92" s="372"/>
      <c r="CO92" s="372">
        <f>Roles!$D$7</f>
        <v>0.12</v>
      </c>
      <c r="CP92" s="372"/>
      <c r="CQ92" s="203">
        <f t="shared" si="24"/>
        <v>0</v>
      </c>
      <c r="CR92" s="372"/>
      <c r="CS92" s="372"/>
      <c r="CT92" s="372">
        <f>Roles!$D$7</f>
        <v>0.12</v>
      </c>
      <c r="CU92" s="372"/>
      <c r="CV92" s="203">
        <f t="shared" si="25"/>
        <v>0</v>
      </c>
      <c r="CW92" s="372"/>
      <c r="CX92" s="372"/>
      <c r="CY92" s="372">
        <f>Roles!$D$7</f>
        <v>0.12</v>
      </c>
      <c r="CZ92" s="372"/>
      <c r="DA92" s="203">
        <f t="shared" si="26"/>
        <v>0</v>
      </c>
      <c r="DB92" s="372"/>
      <c r="DC92" s="372"/>
      <c r="DD92" s="372">
        <f>Roles!$D$7</f>
        <v>0.12</v>
      </c>
      <c r="DE92" s="372"/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 t="shared" si="1"/>
        <v>2</v>
      </c>
      <c r="F93" s="80">
        <v>3.0</v>
      </c>
      <c r="G93" s="105">
        <f t="shared" si="2"/>
        <v>0.002583979328</v>
      </c>
      <c r="H93" s="47">
        <f t="shared" si="92"/>
        <v>0.2945736434</v>
      </c>
      <c r="I93" s="231">
        <f t="shared" si="90"/>
        <v>3</v>
      </c>
      <c r="J93" s="172">
        <f t="shared" si="93"/>
        <v>581</v>
      </c>
      <c r="K93" s="115">
        <f t="shared" si="3"/>
        <v>0.5105448155</v>
      </c>
      <c r="L93" s="232">
        <f t="shared" si="91"/>
        <v>1.32</v>
      </c>
      <c r="M93" s="172">
        <f t="shared" si="94"/>
        <v>255.64</v>
      </c>
      <c r="N93" s="7"/>
      <c r="O93" s="203">
        <f t="shared" si="7"/>
        <v>1</v>
      </c>
      <c r="P93" s="378">
        <v>3.0</v>
      </c>
      <c r="Q93" s="372"/>
      <c r="R93" s="372">
        <f>Roles!$D$5</f>
        <v>0.44</v>
      </c>
      <c r="S93" s="372">
        <f t="shared" si="8"/>
        <v>1.32</v>
      </c>
      <c r="T93" s="203">
        <f t="shared" si="9"/>
        <v>0</v>
      </c>
      <c r="U93" s="372"/>
      <c r="V93" s="372"/>
      <c r="W93" s="372">
        <f>Roles!$D$7</f>
        <v>0.12</v>
      </c>
      <c r="X93" s="372"/>
      <c r="Y93" s="203">
        <f t="shared" si="10"/>
        <v>0</v>
      </c>
      <c r="Z93" s="372"/>
      <c r="AA93" s="372"/>
      <c r="AB93" s="372">
        <f>Roles!$D$7</f>
        <v>0.12</v>
      </c>
      <c r="AC93" s="372"/>
      <c r="AD93" s="203">
        <f t="shared" si="11"/>
        <v>0</v>
      </c>
      <c r="AE93" s="372"/>
      <c r="AF93" s="372"/>
      <c r="AG93" s="372">
        <f>Roles!$D$7</f>
        <v>0.12</v>
      </c>
      <c r="AH93" s="372"/>
      <c r="AI93" s="203">
        <f t="shared" si="12"/>
        <v>0</v>
      </c>
      <c r="AJ93" s="372"/>
      <c r="AK93" s="372"/>
      <c r="AL93" s="372">
        <f>Roles!$D$7</f>
        <v>0.12</v>
      </c>
      <c r="AM93" s="372"/>
      <c r="AN93" s="203">
        <f t="shared" si="13"/>
        <v>0</v>
      </c>
      <c r="AO93" s="372"/>
      <c r="AP93" s="372"/>
      <c r="AQ93" s="372">
        <f>Roles!$D$7</f>
        <v>0.12</v>
      </c>
      <c r="AR93" s="372"/>
      <c r="AS93" s="203">
        <f t="shared" si="14"/>
        <v>0</v>
      </c>
      <c r="AT93" s="372"/>
      <c r="AU93" s="372"/>
      <c r="AV93" s="372">
        <f>Roles!$D$7</f>
        <v>0.12</v>
      </c>
      <c r="AW93" s="372"/>
      <c r="AX93" s="203">
        <f t="shared" si="15"/>
        <v>0</v>
      </c>
      <c r="AY93" s="372"/>
      <c r="AZ93" s="372"/>
      <c r="BA93" s="372">
        <f>Roles!$D$7</f>
        <v>0.12</v>
      </c>
      <c r="BB93" s="372"/>
      <c r="BC93" s="203">
        <f t="shared" si="16"/>
        <v>0</v>
      </c>
      <c r="BD93" s="372"/>
      <c r="BE93" s="372"/>
      <c r="BF93" s="372">
        <f>Roles!$D$7</f>
        <v>0.12</v>
      </c>
      <c r="BG93" s="372"/>
      <c r="BH93" s="203">
        <f t="shared" si="17"/>
        <v>0</v>
      </c>
      <c r="BI93" s="372"/>
      <c r="BJ93" s="372"/>
      <c r="BK93" s="372">
        <f>Roles!$D$7</f>
        <v>0.12</v>
      </c>
      <c r="BL93" s="372"/>
      <c r="BM93" s="203">
        <f t="shared" si="18"/>
        <v>0</v>
      </c>
      <c r="BN93" s="372"/>
      <c r="BO93" s="372"/>
      <c r="BP93" s="372">
        <f>Roles!$D$7</f>
        <v>0.12</v>
      </c>
      <c r="BQ93" s="372"/>
      <c r="BR93" s="203">
        <f t="shared" si="19"/>
        <v>0</v>
      </c>
      <c r="BS93" s="372"/>
      <c r="BT93" s="372"/>
      <c r="BU93" s="372">
        <f>Roles!$D$7</f>
        <v>0.12</v>
      </c>
      <c r="BV93" s="372"/>
      <c r="BW93" s="203">
        <f t="shared" si="20"/>
        <v>0</v>
      </c>
      <c r="BX93" s="372"/>
      <c r="BY93" s="372"/>
      <c r="BZ93" s="372">
        <f>Roles!$D$7</f>
        <v>0.12</v>
      </c>
      <c r="CA93" s="372"/>
      <c r="CB93" s="203">
        <f t="shared" si="21"/>
        <v>0</v>
      </c>
      <c r="CC93" s="372"/>
      <c r="CD93" s="372"/>
      <c r="CE93" s="372">
        <f>Roles!$D$7</f>
        <v>0.12</v>
      </c>
      <c r="CF93" s="372"/>
      <c r="CG93" s="203">
        <f t="shared" si="22"/>
        <v>0</v>
      </c>
      <c r="CH93" s="372"/>
      <c r="CI93" s="372"/>
      <c r="CJ93" s="372">
        <f>Roles!$D$7</f>
        <v>0.12</v>
      </c>
      <c r="CK93" s="372"/>
      <c r="CL93" s="203">
        <f t="shared" si="23"/>
        <v>0</v>
      </c>
      <c r="CM93" s="372"/>
      <c r="CN93" s="372"/>
      <c r="CO93" s="372">
        <f>Roles!$D$7</f>
        <v>0.12</v>
      </c>
      <c r="CP93" s="372"/>
      <c r="CQ93" s="203">
        <f t="shared" si="24"/>
        <v>0</v>
      </c>
      <c r="CR93" s="372"/>
      <c r="CS93" s="372"/>
      <c r="CT93" s="372">
        <f>Roles!$D$7</f>
        <v>0.12</v>
      </c>
      <c r="CU93" s="372"/>
      <c r="CV93" s="203">
        <f t="shared" si="25"/>
        <v>0</v>
      </c>
      <c r="CW93" s="372"/>
      <c r="CX93" s="372"/>
      <c r="CY93" s="372">
        <f>Roles!$D$7</f>
        <v>0.12</v>
      </c>
      <c r="CZ93" s="372"/>
      <c r="DA93" s="203">
        <f t="shared" si="26"/>
        <v>0</v>
      </c>
      <c r="DB93" s="372"/>
      <c r="DC93" s="372"/>
      <c r="DD93" s="372">
        <f>Roles!$D$7</f>
        <v>0.12</v>
      </c>
      <c r="DE93" s="372"/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 t="shared" si="1"/>
        <v>1</v>
      </c>
      <c r="F94" s="80">
        <v>4.0</v>
      </c>
      <c r="G94" s="105">
        <f t="shared" si="2"/>
        <v>0.003445305771</v>
      </c>
      <c r="H94" s="47">
        <f t="shared" si="92"/>
        <v>0.2980189492</v>
      </c>
      <c r="I94" s="231">
        <f t="shared" si="90"/>
        <v>12</v>
      </c>
      <c r="J94" s="172">
        <f t="shared" si="93"/>
        <v>593</v>
      </c>
      <c r="K94" s="115">
        <f t="shared" si="3"/>
        <v>0.5210896309</v>
      </c>
      <c r="L94" s="232">
        <f t="shared" si="91"/>
        <v>5.28</v>
      </c>
      <c r="M94" s="172">
        <f t="shared" si="94"/>
        <v>260.92</v>
      </c>
      <c r="N94" s="350"/>
      <c r="O94" s="203">
        <f t="shared" si="7"/>
        <v>3</v>
      </c>
      <c r="P94" s="378">
        <v>12.0</v>
      </c>
      <c r="Q94" s="372"/>
      <c r="R94" s="372">
        <f>Roles!$D$5</f>
        <v>0.44</v>
      </c>
      <c r="S94" s="372">
        <f t="shared" si="8"/>
        <v>5.28</v>
      </c>
      <c r="T94" s="203">
        <f t="shared" si="9"/>
        <v>0</v>
      </c>
      <c r="U94" s="372"/>
      <c r="V94" s="372"/>
      <c r="W94" s="372">
        <f>Roles!$D$7</f>
        <v>0.12</v>
      </c>
      <c r="X94" s="372"/>
      <c r="Y94" s="203">
        <f t="shared" si="10"/>
        <v>0</v>
      </c>
      <c r="Z94" s="372"/>
      <c r="AA94" s="372"/>
      <c r="AB94" s="372">
        <f>Roles!$D$7</f>
        <v>0.12</v>
      </c>
      <c r="AC94" s="372"/>
      <c r="AD94" s="203">
        <f t="shared" si="11"/>
        <v>0</v>
      </c>
      <c r="AE94" s="372"/>
      <c r="AF94" s="372"/>
      <c r="AG94" s="372">
        <f>Roles!$D$7</f>
        <v>0.12</v>
      </c>
      <c r="AH94" s="372"/>
      <c r="AI94" s="203">
        <f t="shared" si="12"/>
        <v>0</v>
      </c>
      <c r="AJ94" s="372"/>
      <c r="AK94" s="372"/>
      <c r="AL94" s="372">
        <f>Roles!$D$7</f>
        <v>0.12</v>
      </c>
      <c r="AM94" s="372"/>
      <c r="AN94" s="203">
        <f t="shared" si="13"/>
        <v>0</v>
      </c>
      <c r="AO94" s="372"/>
      <c r="AP94" s="372"/>
      <c r="AQ94" s="372">
        <f>Roles!$D$7</f>
        <v>0.12</v>
      </c>
      <c r="AR94" s="372"/>
      <c r="AS94" s="203">
        <f t="shared" si="14"/>
        <v>0</v>
      </c>
      <c r="AT94" s="372"/>
      <c r="AU94" s="372"/>
      <c r="AV94" s="372">
        <f>Roles!$D$7</f>
        <v>0.12</v>
      </c>
      <c r="AW94" s="372"/>
      <c r="AX94" s="203">
        <f t="shared" si="15"/>
        <v>0</v>
      </c>
      <c r="AY94" s="372"/>
      <c r="AZ94" s="372"/>
      <c r="BA94" s="372">
        <f>Roles!$D$7</f>
        <v>0.12</v>
      </c>
      <c r="BB94" s="372"/>
      <c r="BC94" s="203">
        <f t="shared" si="16"/>
        <v>0</v>
      </c>
      <c r="BD94" s="372"/>
      <c r="BE94" s="372"/>
      <c r="BF94" s="372">
        <f>Roles!$D$7</f>
        <v>0.12</v>
      </c>
      <c r="BG94" s="372"/>
      <c r="BH94" s="203">
        <f t="shared" si="17"/>
        <v>0</v>
      </c>
      <c r="BI94" s="372"/>
      <c r="BJ94" s="372"/>
      <c r="BK94" s="372">
        <f>Roles!$D$7</f>
        <v>0.12</v>
      </c>
      <c r="BL94" s="372"/>
      <c r="BM94" s="203">
        <f t="shared" si="18"/>
        <v>0</v>
      </c>
      <c r="BN94" s="372"/>
      <c r="BO94" s="372"/>
      <c r="BP94" s="372">
        <f>Roles!$D$7</f>
        <v>0.12</v>
      </c>
      <c r="BQ94" s="372"/>
      <c r="BR94" s="203">
        <f t="shared" si="19"/>
        <v>0</v>
      </c>
      <c r="BS94" s="372"/>
      <c r="BT94" s="372"/>
      <c r="BU94" s="372">
        <f>Roles!$D$7</f>
        <v>0.12</v>
      </c>
      <c r="BV94" s="372"/>
      <c r="BW94" s="203">
        <f t="shared" si="20"/>
        <v>0</v>
      </c>
      <c r="BX94" s="372"/>
      <c r="BY94" s="372"/>
      <c r="BZ94" s="372">
        <f>Roles!$D$7</f>
        <v>0.12</v>
      </c>
      <c r="CA94" s="372"/>
      <c r="CB94" s="203">
        <f t="shared" si="21"/>
        <v>0</v>
      </c>
      <c r="CC94" s="372"/>
      <c r="CD94" s="372"/>
      <c r="CE94" s="372">
        <f>Roles!$D$7</f>
        <v>0.12</v>
      </c>
      <c r="CF94" s="372"/>
      <c r="CG94" s="203">
        <f t="shared" si="22"/>
        <v>0</v>
      </c>
      <c r="CH94" s="372"/>
      <c r="CI94" s="372"/>
      <c r="CJ94" s="372">
        <f>Roles!$D$7</f>
        <v>0.12</v>
      </c>
      <c r="CK94" s="372"/>
      <c r="CL94" s="203">
        <f t="shared" si="23"/>
        <v>0</v>
      </c>
      <c r="CM94" s="372"/>
      <c r="CN94" s="372"/>
      <c r="CO94" s="372">
        <f>Roles!$D$7</f>
        <v>0.12</v>
      </c>
      <c r="CP94" s="372"/>
      <c r="CQ94" s="203">
        <f t="shared" si="24"/>
        <v>0</v>
      </c>
      <c r="CR94" s="372"/>
      <c r="CS94" s="372"/>
      <c r="CT94" s="372">
        <f>Roles!$D$7</f>
        <v>0.12</v>
      </c>
      <c r="CU94" s="372"/>
      <c r="CV94" s="203">
        <f t="shared" si="25"/>
        <v>0</v>
      </c>
      <c r="CW94" s="372"/>
      <c r="CX94" s="372"/>
      <c r="CY94" s="372">
        <f>Roles!$D$7</f>
        <v>0.12</v>
      </c>
      <c r="CZ94" s="372"/>
      <c r="DA94" s="203">
        <f t="shared" si="26"/>
        <v>0</v>
      </c>
      <c r="DB94" s="372"/>
      <c r="DC94" s="372"/>
      <c r="DD94" s="372">
        <f>Roles!$D$7</f>
        <v>0.12</v>
      </c>
      <c r="DE94" s="372"/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 t="shared" si="1"/>
        <v>1</v>
      </c>
      <c r="F95" s="80">
        <v>4.0</v>
      </c>
      <c r="G95" s="105">
        <f t="shared" si="2"/>
        <v>0.003445305771</v>
      </c>
      <c r="H95" s="47">
        <f t="shared" si="92"/>
        <v>0.301464255</v>
      </c>
      <c r="I95" s="231">
        <f t="shared" si="90"/>
        <v>12</v>
      </c>
      <c r="J95" s="172">
        <f t="shared" si="93"/>
        <v>605</v>
      </c>
      <c r="K95" s="115">
        <f t="shared" si="3"/>
        <v>0.5316344464</v>
      </c>
      <c r="L95" s="232">
        <f t="shared" si="91"/>
        <v>5.28</v>
      </c>
      <c r="M95" s="172">
        <f t="shared" si="94"/>
        <v>266.2</v>
      </c>
      <c r="N95" s="7"/>
      <c r="O95" s="203">
        <f t="shared" si="7"/>
        <v>3</v>
      </c>
      <c r="P95" s="378">
        <v>12.0</v>
      </c>
      <c r="Q95" s="372"/>
      <c r="R95" s="372">
        <f>Roles!$D$5</f>
        <v>0.44</v>
      </c>
      <c r="S95" s="372">
        <f t="shared" si="8"/>
        <v>5.28</v>
      </c>
      <c r="T95" s="203">
        <f t="shared" si="9"/>
        <v>0</v>
      </c>
      <c r="U95" s="372"/>
      <c r="V95" s="372"/>
      <c r="W95" s="372">
        <f>Roles!$D$7</f>
        <v>0.12</v>
      </c>
      <c r="X95" s="372"/>
      <c r="Y95" s="203">
        <f t="shared" si="10"/>
        <v>0</v>
      </c>
      <c r="Z95" s="372"/>
      <c r="AA95" s="372"/>
      <c r="AB95" s="372">
        <f>Roles!$D$7</f>
        <v>0.12</v>
      </c>
      <c r="AC95" s="372"/>
      <c r="AD95" s="203">
        <f t="shared" si="11"/>
        <v>0</v>
      </c>
      <c r="AE95" s="372"/>
      <c r="AF95" s="372"/>
      <c r="AG95" s="372">
        <f>Roles!$D$7</f>
        <v>0.12</v>
      </c>
      <c r="AH95" s="372"/>
      <c r="AI95" s="203">
        <f t="shared" si="12"/>
        <v>0</v>
      </c>
      <c r="AJ95" s="372"/>
      <c r="AK95" s="372"/>
      <c r="AL95" s="372">
        <f>Roles!$D$7</f>
        <v>0.12</v>
      </c>
      <c r="AM95" s="372"/>
      <c r="AN95" s="203">
        <f t="shared" si="13"/>
        <v>0</v>
      </c>
      <c r="AO95" s="372"/>
      <c r="AP95" s="372"/>
      <c r="AQ95" s="372">
        <f>Roles!$D$7</f>
        <v>0.12</v>
      </c>
      <c r="AR95" s="372"/>
      <c r="AS95" s="203">
        <f t="shared" si="14"/>
        <v>0</v>
      </c>
      <c r="AT95" s="372"/>
      <c r="AU95" s="372"/>
      <c r="AV95" s="372">
        <f>Roles!$D$7</f>
        <v>0.12</v>
      </c>
      <c r="AW95" s="372"/>
      <c r="AX95" s="203">
        <f t="shared" si="15"/>
        <v>0</v>
      </c>
      <c r="AY95" s="372"/>
      <c r="AZ95" s="372"/>
      <c r="BA95" s="372">
        <f>Roles!$D$7</f>
        <v>0.12</v>
      </c>
      <c r="BB95" s="372"/>
      <c r="BC95" s="203">
        <f t="shared" si="16"/>
        <v>0</v>
      </c>
      <c r="BD95" s="372"/>
      <c r="BE95" s="372"/>
      <c r="BF95" s="372">
        <f>Roles!$D$7</f>
        <v>0.12</v>
      </c>
      <c r="BG95" s="372"/>
      <c r="BH95" s="203">
        <f t="shared" si="17"/>
        <v>0</v>
      </c>
      <c r="BI95" s="372"/>
      <c r="BJ95" s="372"/>
      <c r="BK95" s="372">
        <f>Roles!$D$7</f>
        <v>0.12</v>
      </c>
      <c r="BL95" s="372"/>
      <c r="BM95" s="203">
        <f t="shared" si="18"/>
        <v>0</v>
      </c>
      <c r="BN95" s="372"/>
      <c r="BO95" s="372"/>
      <c r="BP95" s="372">
        <f>Roles!$D$7</f>
        <v>0.12</v>
      </c>
      <c r="BQ95" s="372"/>
      <c r="BR95" s="203">
        <f t="shared" si="19"/>
        <v>0</v>
      </c>
      <c r="BS95" s="372"/>
      <c r="BT95" s="372"/>
      <c r="BU95" s="372">
        <f>Roles!$D$7</f>
        <v>0.12</v>
      </c>
      <c r="BV95" s="372"/>
      <c r="BW95" s="203">
        <f t="shared" si="20"/>
        <v>0</v>
      </c>
      <c r="BX95" s="372"/>
      <c r="BY95" s="372"/>
      <c r="BZ95" s="372">
        <f>Roles!$D$7</f>
        <v>0.12</v>
      </c>
      <c r="CA95" s="372"/>
      <c r="CB95" s="203">
        <f t="shared" si="21"/>
        <v>0</v>
      </c>
      <c r="CC95" s="372"/>
      <c r="CD95" s="372"/>
      <c r="CE95" s="372">
        <f>Roles!$D$7</f>
        <v>0.12</v>
      </c>
      <c r="CF95" s="372"/>
      <c r="CG95" s="203">
        <f t="shared" si="22"/>
        <v>0</v>
      </c>
      <c r="CH95" s="372"/>
      <c r="CI95" s="372"/>
      <c r="CJ95" s="372">
        <f>Roles!$D$7</f>
        <v>0.12</v>
      </c>
      <c r="CK95" s="372"/>
      <c r="CL95" s="203">
        <f t="shared" si="23"/>
        <v>0</v>
      </c>
      <c r="CM95" s="372"/>
      <c r="CN95" s="372"/>
      <c r="CO95" s="372">
        <f>Roles!$D$7</f>
        <v>0.12</v>
      </c>
      <c r="CP95" s="372"/>
      <c r="CQ95" s="203">
        <f t="shared" si="24"/>
        <v>0</v>
      </c>
      <c r="CR95" s="372"/>
      <c r="CS95" s="372"/>
      <c r="CT95" s="372">
        <f>Roles!$D$7</f>
        <v>0.12</v>
      </c>
      <c r="CU95" s="372"/>
      <c r="CV95" s="203">
        <f t="shared" si="25"/>
        <v>0</v>
      </c>
      <c r="CW95" s="372"/>
      <c r="CX95" s="372"/>
      <c r="CY95" s="372">
        <f>Roles!$D$7</f>
        <v>0.12</v>
      </c>
      <c r="CZ95" s="372"/>
      <c r="DA95" s="203">
        <f t="shared" si="26"/>
        <v>0</v>
      </c>
      <c r="DB95" s="372"/>
      <c r="DC95" s="372"/>
      <c r="DD95" s="372">
        <f>Roles!$D$7</f>
        <v>0.12</v>
      </c>
      <c r="DE95" s="372"/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 t="shared" si="1"/>
        <v>1</v>
      </c>
      <c r="F96" s="80">
        <v>5.0</v>
      </c>
      <c r="G96" s="105">
        <f t="shared" si="2"/>
        <v>0.004306632214</v>
      </c>
      <c r="H96" s="47">
        <f t="shared" si="92"/>
        <v>0.3057708872</v>
      </c>
      <c r="I96" s="231">
        <f t="shared" si="90"/>
        <v>10</v>
      </c>
      <c r="J96" s="172">
        <f t="shared" si="93"/>
        <v>615</v>
      </c>
      <c r="K96" s="115">
        <f t="shared" si="3"/>
        <v>0.5404217926</v>
      </c>
      <c r="L96" s="232">
        <f t="shared" si="91"/>
        <v>4.4</v>
      </c>
      <c r="M96" s="172">
        <f t="shared" si="94"/>
        <v>270.6</v>
      </c>
      <c r="N96" s="7"/>
      <c r="O96" s="203">
        <f t="shared" si="7"/>
        <v>2</v>
      </c>
      <c r="P96" s="378">
        <v>10.0</v>
      </c>
      <c r="Q96" s="372"/>
      <c r="R96" s="372">
        <f>Roles!$D$5</f>
        <v>0.44</v>
      </c>
      <c r="S96" s="372">
        <f t="shared" si="8"/>
        <v>4.4</v>
      </c>
      <c r="T96" s="203">
        <f t="shared" si="9"/>
        <v>0</v>
      </c>
      <c r="U96" s="372"/>
      <c r="V96" s="372"/>
      <c r="W96" s="372">
        <f>Roles!$D$7</f>
        <v>0.12</v>
      </c>
      <c r="X96" s="372"/>
      <c r="Y96" s="203">
        <f t="shared" si="10"/>
        <v>0</v>
      </c>
      <c r="Z96" s="372"/>
      <c r="AA96" s="372"/>
      <c r="AB96" s="372">
        <f>Roles!$D$7</f>
        <v>0.12</v>
      </c>
      <c r="AC96" s="372"/>
      <c r="AD96" s="203">
        <f t="shared" si="11"/>
        <v>0</v>
      </c>
      <c r="AE96" s="372"/>
      <c r="AF96" s="372"/>
      <c r="AG96" s="372">
        <f>Roles!$D$7</f>
        <v>0.12</v>
      </c>
      <c r="AH96" s="372"/>
      <c r="AI96" s="203">
        <f t="shared" si="12"/>
        <v>0</v>
      </c>
      <c r="AJ96" s="372"/>
      <c r="AK96" s="372"/>
      <c r="AL96" s="372">
        <f>Roles!$D$7</f>
        <v>0.12</v>
      </c>
      <c r="AM96" s="372"/>
      <c r="AN96" s="203">
        <f t="shared" si="13"/>
        <v>0</v>
      </c>
      <c r="AO96" s="372"/>
      <c r="AP96" s="372"/>
      <c r="AQ96" s="372">
        <f>Roles!$D$7</f>
        <v>0.12</v>
      </c>
      <c r="AR96" s="372"/>
      <c r="AS96" s="203">
        <f t="shared" si="14"/>
        <v>0</v>
      </c>
      <c r="AT96" s="372"/>
      <c r="AU96" s="372"/>
      <c r="AV96" s="372">
        <f>Roles!$D$7</f>
        <v>0.12</v>
      </c>
      <c r="AW96" s="372"/>
      <c r="AX96" s="203">
        <f t="shared" si="15"/>
        <v>0</v>
      </c>
      <c r="AY96" s="372"/>
      <c r="AZ96" s="372"/>
      <c r="BA96" s="372">
        <f>Roles!$D$7</f>
        <v>0.12</v>
      </c>
      <c r="BB96" s="372"/>
      <c r="BC96" s="203">
        <f t="shared" si="16"/>
        <v>0</v>
      </c>
      <c r="BD96" s="372"/>
      <c r="BE96" s="372"/>
      <c r="BF96" s="372">
        <f>Roles!$D$7</f>
        <v>0.12</v>
      </c>
      <c r="BG96" s="372"/>
      <c r="BH96" s="203">
        <f t="shared" si="17"/>
        <v>0</v>
      </c>
      <c r="BI96" s="372"/>
      <c r="BJ96" s="372"/>
      <c r="BK96" s="372">
        <f>Roles!$D$7</f>
        <v>0.12</v>
      </c>
      <c r="BL96" s="372"/>
      <c r="BM96" s="203">
        <f t="shared" si="18"/>
        <v>0</v>
      </c>
      <c r="BN96" s="372"/>
      <c r="BO96" s="372"/>
      <c r="BP96" s="372">
        <f>Roles!$D$7</f>
        <v>0.12</v>
      </c>
      <c r="BQ96" s="372"/>
      <c r="BR96" s="203">
        <f t="shared" si="19"/>
        <v>0</v>
      </c>
      <c r="BS96" s="372"/>
      <c r="BT96" s="372"/>
      <c r="BU96" s="372">
        <f>Roles!$D$7</f>
        <v>0.12</v>
      </c>
      <c r="BV96" s="372"/>
      <c r="BW96" s="203">
        <f t="shared" si="20"/>
        <v>0</v>
      </c>
      <c r="BX96" s="372"/>
      <c r="BY96" s="372"/>
      <c r="BZ96" s="372">
        <f>Roles!$D$7</f>
        <v>0.12</v>
      </c>
      <c r="CA96" s="372"/>
      <c r="CB96" s="203">
        <f t="shared" si="21"/>
        <v>0</v>
      </c>
      <c r="CC96" s="372"/>
      <c r="CD96" s="372"/>
      <c r="CE96" s="372">
        <f>Roles!$D$7</f>
        <v>0.12</v>
      </c>
      <c r="CF96" s="372"/>
      <c r="CG96" s="203">
        <f t="shared" si="22"/>
        <v>0</v>
      </c>
      <c r="CH96" s="372"/>
      <c r="CI96" s="372"/>
      <c r="CJ96" s="372">
        <f>Roles!$D$7</f>
        <v>0.12</v>
      </c>
      <c r="CK96" s="372"/>
      <c r="CL96" s="203">
        <f t="shared" si="23"/>
        <v>0</v>
      </c>
      <c r="CM96" s="372"/>
      <c r="CN96" s="372"/>
      <c r="CO96" s="372">
        <f>Roles!$D$7</f>
        <v>0.12</v>
      </c>
      <c r="CP96" s="372"/>
      <c r="CQ96" s="203">
        <f t="shared" si="24"/>
        <v>0</v>
      </c>
      <c r="CR96" s="372"/>
      <c r="CS96" s="372"/>
      <c r="CT96" s="372">
        <f>Roles!$D$7</f>
        <v>0.12</v>
      </c>
      <c r="CU96" s="372"/>
      <c r="CV96" s="203">
        <f t="shared" si="25"/>
        <v>0</v>
      </c>
      <c r="CW96" s="372"/>
      <c r="CX96" s="372"/>
      <c r="CY96" s="372">
        <f>Roles!$D$7</f>
        <v>0.12</v>
      </c>
      <c r="CZ96" s="372"/>
      <c r="DA96" s="203">
        <f t="shared" si="26"/>
        <v>0</v>
      </c>
      <c r="DB96" s="372"/>
      <c r="DC96" s="372"/>
      <c r="DD96" s="372">
        <f>Roles!$D$7</f>
        <v>0.12</v>
      </c>
      <c r="DE96" s="372"/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 t="shared" si="1"/>
        <v>1</v>
      </c>
      <c r="F97" s="246">
        <f>SUM(F98:F101)</f>
        <v>11</v>
      </c>
      <c r="G97" s="105">
        <f t="shared" si="2"/>
        <v>0.00947459087</v>
      </c>
      <c r="H97" s="226">
        <f>H101</f>
        <v>0.315245478</v>
      </c>
      <c r="I97" s="247">
        <f>SUM(I98:I101)</f>
        <v>101</v>
      </c>
      <c r="J97" s="247">
        <f>J101</f>
        <v>716</v>
      </c>
      <c r="K97" s="167">
        <f t="shared" si="3"/>
        <v>0.6291739895</v>
      </c>
      <c r="L97" s="247">
        <f>SUM(L98:L101)</f>
        <v>44.44</v>
      </c>
      <c r="M97" s="247">
        <f>M101</f>
        <v>315.04</v>
      </c>
      <c r="N97" s="348"/>
      <c r="O97" s="203">
        <f t="shared" si="7"/>
        <v>0</v>
      </c>
      <c r="P97" s="372"/>
      <c r="Q97" s="372"/>
      <c r="R97" s="372">
        <f>Roles!$D$5</f>
        <v>0.44</v>
      </c>
      <c r="S97" s="372">
        <f t="shared" si="8"/>
        <v>0</v>
      </c>
      <c r="T97" s="203">
        <f t="shared" si="9"/>
        <v>0</v>
      </c>
      <c r="U97" s="372"/>
      <c r="V97" s="372"/>
      <c r="W97" s="372">
        <f>Roles!$D$7</f>
        <v>0.12</v>
      </c>
      <c r="X97" s="372"/>
      <c r="Y97" s="203">
        <f t="shared" si="10"/>
        <v>0</v>
      </c>
      <c r="Z97" s="372"/>
      <c r="AA97" s="372"/>
      <c r="AB97" s="372">
        <f>Roles!$D$7</f>
        <v>0.12</v>
      </c>
      <c r="AC97" s="372"/>
      <c r="AD97" s="203">
        <f t="shared" si="11"/>
        <v>0</v>
      </c>
      <c r="AE97" s="372"/>
      <c r="AF97" s="372"/>
      <c r="AG97" s="372">
        <f>Roles!$D$7</f>
        <v>0.12</v>
      </c>
      <c r="AH97" s="372"/>
      <c r="AI97" s="203">
        <f t="shared" si="12"/>
        <v>0</v>
      </c>
      <c r="AJ97" s="372"/>
      <c r="AK97" s="372"/>
      <c r="AL97" s="372">
        <f>Roles!$D$7</f>
        <v>0.12</v>
      </c>
      <c r="AM97" s="372"/>
      <c r="AN97" s="203">
        <f t="shared" si="13"/>
        <v>0</v>
      </c>
      <c r="AO97" s="372"/>
      <c r="AP97" s="372"/>
      <c r="AQ97" s="372">
        <f>Roles!$D$7</f>
        <v>0.12</v>
      </c>
      <c r="AR97" s="372"/>
      <c r="AS97" s="203">
        <f t="shared" si="14"/>
        <v>0</v>
      </c>
      <c r="AT97" s="372"/>
      <c r="AU97" s="372"/>
      <c r="AV97" s="372">
        <f>Roles!$D$7</f>
        <v>0.12</v>
      </c>
      <c r="AW97" s="372"/>
      <c r="AX97" s="203">
        <f t="shared" si="15"/>
        <v>0</v>
      </c>
      <c r="AY97" s="372"/>
      <c r="AZ97" s="372"/>
      <c r="BA97" s="372">
        <f>Roles!$D$7</f>
        <v>0.12</v>
      </c>
      <c r="BB97" s="372"/>
      <c r="BC97" s="203">
        <f t="shared" si="16"/>
        <v>0</v>
      </c>
      <c r="BD97" s="372"/>
      <c r="BE97" s="372"/>
      <c r="BF97" s="372">
        <f>Roles!$D$7</f>
        <v>0.12</v>
      </c>
      <c r="BG97" s="372"/>
      <c r="BH97" s="203">
        <f t="shared" si="17"/>
        <v>0</v>
      </c>
      <c r="BI97" s="372"/>
      <c r="BJ97" s="372"/>
      <c r="BK97" s="372">
        <f>Roles!$D$7</f>
        <v>0.12</v>
      </c>
      <c r="BL97" s="372"/>
      <c r="BM97" s="203">
        <f t="shared" si="18"/>
        <v>0</v>
      </c>
      <c r="BN97" s="372"/>
      <c r="BO97" s="372"/>
      <c r="BP97" s="372">
        <f>Roles!$D$7</f>
        <v>0.12</v>
      </c>
      <c r="BQ97" s="372"/>
      <c r="BR97" s="203">
        <f t="shared" si="19"/>
        <v>0</v>
      </c>
      <c r="BS97" s="372"/>
      <c r="BT97" s="372"/>
      <c r="BU97" s="372">
        <f>Roles!$D$7</f>
        <v>0.12</v>
      </c>
      <c r="BV97" s="372"/>
      <c r="BW97" s="203">
        <f t="shared" si="20"/>
        <v>0</v>
      </c>
      <c r="BX97" s="372"/>
      <c r="BY97" s="372"/>
      <c r="BZ97" s="372">
        <f>Roles!$D$7</f>
        <v>0.12</v>
      </c>
      <c r="CA97" s="372"/>
      <c r="CB97" s="203">
        <f t="shared" si="21"/>
        <v>0</v>
      </c>
      <c r="CC97" s="372"/>
      <c r="CD97" s="372"/>
      <c r="CE97" s="372">
        <f>Roles!$D$7</f>
        <v>0.12</v>
      </c>
      <c r="CF97" s="372"/>
      <c r="CG97" s="203">
        <f t="shared" si="22"/>
        <v>0</v>
      </c>
      <c r="CH97" s="372"/>
      <c r="CI97" s="372"/>
      <c r="CJ97" s="372">
        <f>Roles!$D$7</f>
        <v>0.12</v>
      </c>
      <c r="CK97" s="372"/>
      <c r="CL97" s="203">
        <f t="shared" si="23"/>
        <v>0</v>
      </c>
      <c r="CM97" s="372"/>
      <c r="CN97" s="372"/>
      <c r="CO97" s="372">
        <f>Roles!$D$7</f>
        <v>0.12</v>
      </c>
      <c r="CP97" s="372"/>
      <c r="CQ97" s="203">
        <f t="shared" si="24"/>
        <v>0</v>
      </c>
      <c r="CR97" s="372"/>
      <c r="CS97" s="372"/>
      <c r="CT97" s="372">
        <f>Roles!$D$7</f>
        <v>0.12</v>
      </c>
      <c r="CU97" s="372"/>
      <c r="CV97" s="203">
        <f t="shared" si="25"/>
        <v>0</v>
      </c>
      <c r="CW97" s="372"/>
      <c r="CX97" s="372"/>
      <c r="CY97" s="372">
        <f>Roles!$D$7</f>
        <v>0.12</v>
      </c>
      <c r="CZ97" s="372"/>
      <c r="DA97" s="203">
        <f t="shared" si="26"/>
        <v>0</v>
      </c>
      <c r="DB97" s="372"/>
      <c r="DC97" s="372"/>
      <c r="DD97" s="372">
        <f>Roles!$D$7</f>
        <v>0.12</v>
      </c>
      <c r="DE97" s="372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 t="shared" si="1"/>
        <v>1</v>
      </c>
      <c r="F98" s="80">
        <v>4.0</v>
      </c>
      <c r="G98" s="105">
        <f t="shared" si="2"/>
        <v>0.003445305771</v>
      </c>
      <c r="H98" s="47">
        <f>H96+G98</f>
        <v>0.3092161929</v>
      </c>
      <c r="I98" s="231">
        <f t="shared" ref="I98:I101" si="95">P98+U98+Z98+AE98+AJ98+AO98+AT98+AY98+BD98+BI98+BN98+BS98+BX98+CC98+CH98+CM98+CR98+CW98+DB98</f>
        <v>48</v>
      </c>
      <c r="J98" s="172">
        <f>J96+I98</f>
        <v>663</v>
      </c>
      <c r="K98" s="115">
        <f t="shared" si="3"/>
        <v>0.5826010545</v>
      </c>
      <c r="L98" s="232">
        <f t="shared" ref="L98:L101" si="96">S98+X98+AC98+AH98+AM98+AR98+AW98+BB98+BG98+BL98+BQ98+BV98+CA98+CF98+CK98+CP98+CU98+CZ98+DE98</f>
        <v>21.12</v>
      </c>
      <c r="M98" s="172">
        <f>M96+L98</f>
        <v>291.72</v>
      </c>
      <c r="N98" s="349"/>
      <c r="O98" s="203">
        <f t="shared" si="7"/>
        <v>12</v>
      </c>
      <c r="P98" s="378">
        <v>48.0</v>
      </c>
      <c r="Q98" s="372"/>
      <c r="R98" s="372">
        <f>Roles!$D$5</f>
        <v>0.44</v>
      </c>
      <c r="S98" s="372">
        <f t="shared" si="8"/>
        <v>21.12</v>
      </c>
      <c r="T98" s="203">
        <f t="shared" si="9"/>
        <v>0</v>
      </c>
      <c r="U98" s="372"/>
      <c r="V98" s="372"/>
      <c r="W98" s="372">
        <f>Roles!$D$7</f>
        <v>0.12</v>
      </c>
      <c r="X98" s="372"/>
      <c r="Y98" s="203">
        <f t="shared" si="10"/>
        <v>0</v>
      </c>
      <c r="Z98" s="372"/>
      <c r="AA98" s="372"/>
      <c r="AB98" s="372">
        <f>Roles!$D$7</f>
        <v>0.12</v>
      </c>
      <c r="AC98" s="372"/>
      <c r="AD98" s="203">
        <f t="shared" si="11"/>
        <v>0</v>
      </c>
      <c r="AE98" s="372"/>
      <c r="AF98" s="372"/>
      <c r="AG98" s="372">
        <f>Roles!$D$7</f>
        <v>0.12</v>
      </c>
      <c r="AH98" s="372"/>
      <c r="AI98" s="203">
        <f t="shared" si="12"/>
        <v>0</v>
      </c>
      <c r="AJ98" s="372"/>
      <c r="AK98" s="372"/>
      <c r="AL98" s="372">
        <f>Roles!$D$7</f>
        <v>0.12</v>
      </c>
      <c r="AM98" s="372"/>
      <c r="AN98" s="203">
        <f t="shared" si="13"/>
        <v>0</v>
      </c>
      <c r="AO98" s="372"/>
      <c r="AP98" s="372"/>
      <c r="AQ98" s="372">
        <f>Roles!$D$7</f>
        <v>0.12</v>
      </c>
      <c r="AR98" s="372"/>
      <c r="AS98" s="203">
        <f t="shared" si="14"/>
        <v>0</v>
      </c>
      <c r="AT98" s="372"/>
      <c r="AU98" s="372"/>
      <c r="AV98" s="372">
        <f>Roles!$D$7</f>
        <v>0.12</v>
      </c>
      <c r="AW98" s="372"/>
      <c r="AX98" s="203">
        <f t="shared" si="15"/>
        <v>0</v>
      </c>
      <c r="AY98" s="372"/>
      <c r="AZ98" s="372"/>
      <c r="BA98" s="372">
        <f>Roles!$D$7</f>
        <v>0.12</v>
      </c>
      <c r="BB98" s="372"/>
      <c r="BC98" s="203">
        <f t="shared" si="16"/>
        <v>0</v>
      </c>
      <c r="BD98" s="372"/>
      <c r="BE98" s="372"/>
      <c r="BF98" s="372">
        <f>Roles!$D$7</f>
        <v>0.12</v>
      </c>
      <c r="BG98" s="372"/>
      <c r="BH98" s="203">
        <f t="shared" si="17"/>
        <v>0</v>
      </c>
      <c r="BI98" s="372"/>
      <c r="BJ98" s="372"/>
      <c r="BK98" s="372">
        <f>Roles!$D$7</f>
        <v>0.12</v>
      </c>
      <c r="BL98" s="372"/>
      <c r="BM98" s="203">
        <f t="shared" si="18"/>
        <v>0</v>
      </c>
      <c r="BN98" s="372"/>
      <c r="BO98" s="372"/>
      <c r="BP98" s="372">
        <f>Roles!$D$7</f>
        <v>0.12</v>
      </c>
      <c r="BQ98" s="372"/>
      <c r="BR98" s="203">
        <f t="shared" si="19"/>
        <v>0</v>
      </c>
      <c r="BS98" s="372"/>
      <c r="BT98" s="372"/>
      <c r="BU98" s="372">
        <f>Roles!$D$7</f>
        <v>0.12</v>
      </c>
      <c r="BV98" s="372"/>
      <c r="BW98" s="203">
        <f t="shared" si="20"/>
        <v>0</v>
      </c>
      <c r="BX98" s="372"/>
      <c r="BY98" s="372"/>
      <c r="BZ98" s="372">
        <f>Roles!$D$7</f>
        <v>0.12</v>
      </c>
      <c r="CA98" s="372"/>
      <c r="CB98" s="203">
        <f t="shared" si="21"/>
        <v>0</v>
      </c>
      <c r="CC98" s="372"/>
      <c r="CD98" s="372"/>
      <c r="CE98" s="372">
        <f>Roles!$D$7</f>
        <v>0.12</v>
      </c>
      <c r="CF98" s="372"/>
      <c r="CG98" s="203">
        <f t="shared" si="22"/>
        <v>0</v>
      </c>
      <c r="CH98" s="372"/>
      <c r="CI98" s="372"/>
      <c r="CJ98" s="372">
        <f>Roles!$D$7</f>
        <v>0.12</v>
      </c>
      <c r="CK98" s="372"/>
      <c r="CL98" s="203">
        <f t="shared" si="23"/>
        <v>0</v>
      </c>
      <c r="CM98" s="372"/>
      <c r="CN98" s="372"/>
      <c r="CO98" s="372">
        <f>Roles!$D$7</f>
        <v>0.12</v>
      </c>
      <c r="CP98" s="372"/>
      <c r="CQ98" s="203">
        <f t="shared" si="24"/>
        <v>0</v>
      </c>
      <c r="CR98" s="372"/>
      <c r="CS98" s="372"/>
      <c r="CT98" s="372">
        <f>Roles!$D$7</f>
        <v>0.12</v>
      </c>
      <c r="CU98" s="372"/>
      <c r="CV98" s="203">
        <f t="shared" si="25"/>
        <v>0</v>
      </c>
      <c r="CW98" s="372"/>
      <c r="CX98" s="372"/>
      <c r="CY98" s="372">
        <f>Roles!$D$7</f>
        <v>0.12</v>
      </c>
      <c r="CZ98" s="372"/>
      <c r="DA98" s="203">
        <f t="shared" si="26"/>
        <v>0</v>
      </c>
      <c r="DB98" s="372"/>
      <c r="DC98" s="372"/>
      <c r="DD98" s="372">
        <f>Roles!$D$7</f>
        <v>0.12</v>
      </c>
      <c r="DE98" s="372"/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 t="shared" si="1"/>
        <v>1</v>
      </c>
      <c r="F99" s="80">
        <v>2.0</v>
      </c>
      <c r="G99" s="105">
        <f t="shared" si="2"/>
        <v>0.001722652885</v>
      </c>
      <c r="H99" s="47">
        <f t="shared" ref="H99:H101" si="97">H98+G99</f>
        <v>0.3109388458</v>
      </c>
      <c r="I99" s="231">
        <f t="shared" si="95"/>
        <v>2</v>
      </c>
      <c r="J99" s="172">
        <f t="shared" ref="J99:J101" si="98">J98+I99</f>
        <v>665</v>
      </c>
      <c r="K99" s="115">
        <f t="shared" si="3"/>
        <v>0.5843585237</v>
      </c>
      <c r="L99" s="232">
        <f t="shared" si="96"/>
        <v>0.88</v>
      </c>
      <c r="M99" s="172">
        <f t="shared" ref="M99:M101" si="99">M98+L99</f>
        <v>292.6</v>
      </c>
      <c r="N99" s="350"/>
      <c r="O99" s="203">
        <f t="shared" si="7"/>
        <v>1</v>
      </c>
      <c r="P99" s="378">
        <v>2.0</v>
      </c>
      <c r="Q99" s="372"/>
      <c r="R99" s="372">
        <f>Roles!$D$5</f>
        <v>0.44</v>
      </c>
      <c r="S99" s="372">
        <f t="shared" si="8"/>
        <v>0.88</v>
      </c>
      <c r="T99" s="203">
        <f t="shared" si="9"/>
        <v>0</v>
      </c>
      <c r="U99" s="372"/>
      <c r="V99" s="372"/>
      <c r="W99" s="372">
        <f>Roles!$D$7</f>
        <v>0.12</v>
      </c>
      <c r="X99" s="372"/>
      <c r="Y99" s="203">
        <f t="shared" si="10"/>
        <v>0</v>
      </c>
      <c r="Z99" s="372"/>
      <c r="AA99" s="372"/>
      <c r="AB99" s="372">
        <f>Roles!$D$7</f>
        <v>0.12</v>
      </c>
      <c r="AC99" s="372"/>
      <c r="AD99" s="203">
        <f t="shared" si="11"/>
        <v>0</v>
      </c>
      <c r="AE99" s="372"/>
      <c r="AF99" s="372"/>
      <c r="AG99" s="372">
        <f>Roles!$D$7</f>
        <v>0.12</v>
      </c>
      <c r="AH99" s="372"/>
      <c r="AI99" s="203">
        <f t="shared" si="12"/>
        <v>0</v>
      </c>
      <c r="AJ99" s="372"/>
      <c r="AK99" s="372"/>
      <c r="AL99" s="372">
        <f>Roles!$D$7</f>
        <v>0.12</v>
      </c>
      <c r="AM99" s="372"/>
      <c r="AN99" s="203">
        <f t="shared" si="13"/>
        <v>0</v>
      </c>
      <c r="AO99" s="372"/>
      <c r="AP99" s="372"/>
      <c r="AQ99" s="372">
        <f>Roles!$D$7</f>
        <v>0.12</v>
      </c>
      <c r="AR99" s="372"/>
      <c r="AS99" s="203">
        <f t="shared" si="14"/>
        <v>0</v>
      </c>
      <c r="AT99" s="372"/>
      <c r="AU99" s="372"/>
      <c r="AV99" s="372">
        <f>Roles!$D$7</f>
        <v>0.12</v>
      </c>
      <c r="AW99" s="372"/>
      <c r="AX99" s="203">
        <f t="shared" si="15"/>
        <v>0</v>
      </c>
      <c r="AY99" s="372"/>
      <c r="AZ99" s="372"/>
      <c r="BA99" s="372">
        <f>Roles!$D$7</f>
        <v>0.12</v>
      </c>
      <c r="BB99" s="372"/>
      <c r="BC99" s="203">
        <f t="shared" si="16"/>
        <v>0</v>
      </c>
      <c r="BD99" s="372"/>
      <c r="BE99" s="372"/>
      <c r="BF99" s="372">
        <f>Roles!$D$7</f>
        <v>0.12</v>
      </c>
      <c r="BG99" s="372"/>
      <c r="BH99" s="203">
        <f t="shared" si="17"/>
        <v>0</v>
      </c>
      <c r="BI99" s="372"/>
      <c r="BJ99" s="372"/>
      <c r="BK99" s="372">
        <f>Roles!$D$7</f>
        <v>0.12</v>
      </c>
      <c r="BL99" s="372"/>
      <c r="BM99" s="203">
        <f t="shared" si="18"/>
        <v>0</v>
      </c>
      <c r="BN99" s="372"/>
      <c r="BO99" s="372"/>
      <c r="BP99" s="372">
        <f>Roles!$D$7</f>
        <v>0.12</v>
      </c>
      <c r="BQ99" s="372"/>
      <c r="BR99" s="203">
        <f t="shared" si="19"/>
        <v>0</v>
      </c>
      <c r="BS99" s="372"/>
      <c r="BT99" s="372"/>
      <c r="BU99" s="372">
        <f>Roles!$D$7</f>
        <v>0.12</v>
      </c>
      <c r="BV99" s="372"/>
      <c r="BW99" s="203">
        <f t="shared" si="20"/>
        <v>0</v>
      </c>
      <c r="BX99" s="372"/>
      <c r="BY99" s="372"/>
      <c r="BZ99" s="372">
        <f>Roles!$D$7</f>
        <v>0.12</v>
      </c>
      <c r="CA99" s="372"/>
      <c r="CB99" s="203">
        <f t="shared" si="21"/>
        <v>0</v>
      </c>
      <c r="CC99" s="372"/>
      <c r="CD99" s="372"/>
      <c r="CE99" s="372">
        <f>Roles!$D$7</f>
        <v>0.12</v>
      </c>
      <c r="CF99" s="372"/>
      <c r="CG99" s="203">
        <f t="shared" si="22"/>
        <v>0</v>
      </c>
      <c r="CH99" s="372"/>
      <c r="CI99" s="372"/>
      <c r="CJ99" s="372">
        <f>Roles!$D$7</f>
        <v>0.12</v>
      </c>
      <c r="CK99" s="372"/>
      <c r="CL99" s="203">
        <f t="shared" si="23"/>
        <v>0</v>
      </c>
      <c r="CM99" s="372"/>
      <c r="CN99" s="372"/>
      <c r="CO99" s="372">
        <f>Roles!$D$7</f>
        <v>0.12</v>
      </c>
      <c r="CP99" s="372"/>
      <c r="CQ99" s="203">
        <f t="shared" si="24"/>
        <v>0</v>
      </c>
      <c r="CR99" s="372"/>
      <c r="CS99" s="372"/>
      <c r="CT99" s="372">
        <f>Roles!$D$7</f>
        <v>0.12</v>
      </c>
      <c r="CU99" s="372"/>
      <c r="CV99" s="203">
        <f t="shared" si="25"/>
        <v>0</v>
      </c>
      <c r="CW99" s="372"/>
      <c r="CX99" s="372"/>
      <c r="CY99" s="372">
        <f>Roles!$D$7</f>
        <v>0.12</v>
      </c>
      <c r="CZ99" s="372"/>
      <c r="DA99" s="203">
        <f t="shared" si="26"/>
        <v>0</v>
      </c>
      <c r="DB99" s="372"/>
      <c r="DC99" s="372"/>
      <c r="DD99" s="372">
        <f>Roles!$D$7</f>
        <v>0.12</v>
      </c>
      <c r="DE99" s="372"/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 t="shared" si="1"/>
        <v>1</v>
      </c>
      <c r="F100" s="80">
        <v>4.0</v>
      </c>
      <c r="G100" s="105">
        <f t="shared" si="2"/>
        <v>0.003445305771</v>
      </c>
      <c r="H100" s="47">
        <f t="shared" si="97"/>
        <v>0.3143841516</v>
      </c>
      <c r="I100" s="231">
        <f t="shared" si="95"/>
        <v>48</v>
      </c>
      <c r="J100" s="172">
        <f t="shared" si="98"/>
        <v>713</v>
      </c>
      <c r="K100" s="115">
        <f t="shared" si="3"/>
        <v>0.6265377856</v>
      </c>
      <c r="L100" s="232">
        <f t="shared" si="96"/>
        <v>21.12</v>
      </c>
      <c r="M100" s="172">
        <f t="shared" si="99"/>
        <v>313.72</v>
      </c>
      <c r="N100" s="7"/>
      <c r="O100" s="203">
        <f t="shared" si="7"/>
        <v>12</v>
      </c>
      <c r="P100" s="378">
        <v>48.0</v>
      </c>
      <c r="Q100" s="372"/>
      <c r="R100" s="372">
        <f>Roles!$D$5</f>
        <v>0.44</v>
      </c>
      <c r="S100" s="372">
        <f t="shared" si="8"/>
        <v>21.12</v>
      </c>
      <c r="T100" s="203">
        <f t="shared" si="9"/>
        <v>0</v>
      </c>
      <c r="U100" s="372"/>
      <c r="V100" s="372"/>
      <c r="W100" s="372">
        <f>Roles!$D$7</f>
        <v>0.12</v>
      </c>
      <c r="X100" s="372"/>
      <c r="Y100" s="203">
        <f t="shared" si="10"/>
        <v>0</v>
      </c>
      <c r="Z100" s="372"/>
      <c r="AA100" s="372"/>
      <c r="AB100" s="372">
        <f>Roles!$D$7</f>
        <v>0.12</v>
      </c>
      <c r="AC100" s="372"/>
      <c r="AD100" s="203">
        <f t="shared" si="11"/>
        <v>0</v>
      </c>
      <c r="AE100" s="372"/>
      <c r="AF100" s="372"/>
      <c r="AG100" s="372">
        <f>Roles!$D$7</f>
        <v>0.12</v>
      </c>
      <c r="AH100" s="372"/>
      <c r="AI100" s="203">
        <f t="shared" si="12"/>
        <v>0</v>
      </c>
      <c r="AJ100" s="372"/>
      <c r="AK100" s="372"/>
      <c r="AL100" s="372">
        <f>Roles!$D$7</f>
        <v>0.12</v>
      </c>
      <c r="AM100" s="372"/>
      <c r="AN100" s="203">
        <f t="shared" si="13"/>
        <v>0</v>
      </c>
      <c r="AO100" s="372"/>
      <c r="AP100" s="372"/>
      <c r="AQ100" s="372">
        <f>Roles!$D$7</f>
        <v>0.12</v>
      </c>
      <c r="AR100" s="372"/>
      <c r="AS100" s="203">
        <f t="shared" si="14"/>
        <v>0</v>
      </c>
      <c r="AT100" s="372"/>
      <c r="AU100" s="372"/>
      <c r="AV100" s="372">
        <f>Roles!$D$7</f>
        <v>0.12</v>
      </c>
      <c r="AW100" s="372"/>
      <c r="AX100" s="203">
        <f t="shared" si="15"/>
        <v>0</v>
      </c>
      <c r="AY100" s="372"/>
      <c r="AZ100" s="372"/>
      <c r="BA100" s="372">
        <f>Roles!$D$7</f>
        <v>0.12</v>
      </c>
      <c r="BB100" s="372"/>
      <c r="BC100" s="203">
        <f t="shared" si="16"/>
        <v>0</v>
      </c>
      <c r="BD100" s="372"/>
      <c r="BE100" s="372"/>
      <c r="BF100" s="372">
        <f>Roles!$D$7</f>
        <v>0.12</v>
      </c>
      <c r="BG100" s="372"/>
      <c r="BH100" s="203">
        <f t="shared" si="17"/>
        <v>0</v>
      </c>
      <c r="BI100" s="372"/>
      <c r="BJ100" s="372"/>
      <c r="BK100" s="372">
        <f>Roles!$D$7</f>
        <v>0.12</v>
      </c>
      <c r="BL100" s="372"/>
      <c r="BM100" s="203">
        <f t="shared" si="18"/>
        <v>0</v>
      </c>
      <c r="BN100" s="372"/>
      <c r="BO100" s="372"/>
      <c r="BP100" s="372">
        <f>Roles!$D$7</f>
        <v>0.12</v>
      </c>
      <c r="BQ100" s="372"/>
      <c r="BR100" s="203">
        <f t="shared" si="19"/>
        <v>0</v>
      </c>
      <c r="BS100" s="372"/>
      <c r="BT100" s="372"/>
      <c r="BU100" s="372">
        <f>Roles!$D$7</f>
        <v>0.12</v>
      </c>
      <c r="BV100" s="372"/>
      <c r="BW100" s="203">
        <f t="shared" si="20"/>
        <v>0</v>
      </c>
      <c r="BX100" s="372"/>
      <c r="BY100" s="372"/>
      <c r="BZ100" s="372">
        <f>Roles!$D$7</f>
        <v>0.12</v>
      </c>
      <c r="CA100" s="372"/>
      <c r="CB100" s="203">
        <f t="shared" si="21"/>
        <v>0</v>
      </c>
      <c r="CC100" s="372"/>
      <c r="CD100" s="372"/>
      <c r="CE100" s="372">
        <f>Roles!$D$7</f>
        <v>0.12</v>
      </c>
      <c r="CF100" s="372"/>
      <c r="CG100" s="203">
        <f t="shared" si="22"/>
        <v>0</v>
      </c>
      <c r="CH100" s="372"/>
      <c r="CI100" s="372"/>
      <c r="CJ100" s="372">
        <f>Roles!$D$7</f>
        <v>0.12</v>
      </c>
      <c r="CK100" s="372"/>
      <c r="CL100" s="203">
        <f t="shared" si="23"/>
        <v>0</v>
      </c>
      <c r="CM100" s="372"/>
      <c r="CN100" s="372"/>
      <c r="CO100" s="372">
        <f>Roles!$D$7</f>
        <v>0.12</v>
      </c>
      <c r="CP100" s="372"/>
      <c r="CQ100" s="203">
        <f t="shared" si="24"/>
        <v>0</v>
      </c>
      <c r="CR100" s="372"/>
      <c r="CS100" s="372"/>
      <c r="CT100" s="372">
        <f>Roles!$D$7</f>
        <v>0.12</v>
      </c>
      <c r="CU100" s="372"/>
      <c r="CV100" s="203">
        <f t="shared" si="25"/>
        <v>0</v>
      </c>
      <c r="CW100" s="372"/>
      <c r="CX100" s="372"/>
      <c r="CY100" s="372">
        <f>Roles!$D$7</f>
        <v>0.12</v>
      </c>
      <c r="CZ100" s="372"/>
      <c r="DA100" s="203">
        <f t="shared" si="26"/>
        <v>0</v>
      </c>
      <c r="DB100" s="372"/>
      <c r="DC100" s="372"/>
      <c r="DD100" s="372">
        <f>Roles!$D$7</f>
        <v>0.12</v>
      </c>
      <c r="DE100" s="372"/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 t="shared" si="1"/>
        <v>1</v>
      </c>
      <c r="F101" s="80">
        <v>1.0</v>
      </c>
      <c r="G101" s="105">
        <f t="shared" si="2"/>
        <v>0.0008613264427</v>
      </c>
      <c r="H101" s="47">
        <f t="shared" si="97"/>
        <v>0.315245478</v>
      </c>
      <c r="I101" s="231">
        <f t="shared" si="95"/>
        <v>3</v>
      </c>
      <c r="J101" s="172">
        <f t="shared" si="98"/>
        <v>716</v>
      </c>
      <c r="K101" s="115">
        <f t="shared" si="3"/>
        <v>0.6291739895</v>
      </c>
      <c r="L101" s="232">
        <f t="shared" si="96"/>
        <v>1.32</v>
      </c>
      <c r="M101" s="172">
        <f t="shared" si="99"/>
        <v>315.04</v>
      </c>
      <c r="N101" s="7"/>
      <c r="O101" s="203">
        <f t="shared" si="7"/>
        <v>3</v>
      </c>
      <c r="P101" s="378">
        <v>3.0</v>
      </c>
      <c r="Q101" s="372"/>
      <c r="R101" s="372">
        <f>Roles!$D$5</f>
        <v>0.44</v>
      </c>
      <c r="S101" s="372">
        <f t="shared" si="8"/>
        <v>1.32</v>
      </c>
      <c r="T101" s="203">
        <f t="shared" si="9"/>
        <v>0</v>
      </c>
      <c r="U101" s="372"/>
      <c r="V101" s="372"/>
      <c r="W101" s="372">
        <f>Roles!$D$7</f>
        <v>0.12</v>
      </c>
      <c r="X101" s="372"/>
      <c r="Y101" s="203">
        <f t="shared" si="10"/>
        <v>0</v>
      </c>
      <c r="Z101" s="372"/>
      <c r="AA101" s="372"/>
      <c r="AB101" s="372">
        <f>Roles!$D$7</f>
        <v>0.12</v>
      </c>
      <c r="AC101" s="372"/>
      <c r="AD101" s="203">
        <f t="shared" si="11"/>
        <v>0</v>
      </c>
      <c r="AE101" s="372"/>
      <c r="AF101" s="372"/>
      <c r="AG101" s="372">
        <f>Roles!$D$7</f>
        <v>0.12</v>
      </c>
      <c r="AH101" s="372"/>
      <c r="AI101" s="203">
        <f t="shared" si="12"/>
        <v>0</v>
      </c>
      <c r="AJ101" s="372"/>
      <c r="AK101" s="372"/>
      <c r="AL101" s="372">
        <f>Roles!$D$7</f>
        <v>0.12</v>
      </c>
      <c r="AM101" s="372"/>
      <c r="AN101" s="203">
        <f t="shared" si="13"/>
        <v>0</v>
      </c>
      <c r="AO101" s="372"/>
      <c r="AP101" s="372"/>
      <c r="AQ101" s="372">
        <f>Roles!$D$7</f>
        <v>0.12</v>
      </c>
      <c r="AR101" s="372"/>
      <c r="AS101" s="203">
        <f t="shared" si="14"/>
        <v>0</v>
      </c>
      <c r="AT101" s="372"/>
      <c r="AU101" s="372"/>
      <c r="AV101" s="372">
        <f>Roles!$D$7</f>
        <v>0.12</v>
      </c>
      <c r="AW101" s="372"/>
      <c r="AX101" s="203">
        <f t="shared" si="15"/>
        <v>0</v>
      </c>
      <c r="AY101" s="372"/>
      <c r="AZ101" s="372"/>
      <c r="BA101" s="372">
        <f>Roles!$D$7</f>
        <v>0.12</v>
      </c>
      <c r="BB101" s="372"/>
      <c r="BC101" s="203">
        <f t="shared" si="16"/>
        <v>0</v>
      </c>
      <c r="BD101" s="372"/>
      <c r="BE101" s="372"/>
      <c r="BF101" s="372">
        <f>Roles!$D$7</f>
        <v>0.12</v>
      </c>
      <c r="BG101" s="372"/>
      <c r="BH101" s="203">
        <f t="shared" si="17"/>
        <v>0</v>
      </c>
      <c r="BI101" s="372"/>
      <c r="BJ101" s="372"/>
      <c r="BK101" s="372">
        <f>Roles!$D$7</f>
        <v>0.12</v>
      </c>
      <c r="BL101" s="372"/>
      <c r="BM101" s="203">
        <f t="shared" si="18"/>
        <v>0</v>
      </c>
      <c r="BN101" s="372"/>
      <c r="BO101" s="372"/>
      <c r="BP101" s="372">
        <f>Roles!$D$7</f>
        <v>0.12</v>
      </c>
      <c r="BQ101" s="372"/>
      <c r="BR101" s="203">
        <f t="shared" si="19"/>
        <v>0</v>
      </c>
      <c r="BS101" s="372"/>
      <c r="BT101" s="372"/>
      <c r="BU101" s="372">
        <f>Roles!$D$7</f>
        <v>0.12</v>
      </c>
      <c r="BV101" s="372"/>
      <c r="BW101" s="203">
        <f t="shared" si="20"/>
        <v>0</v>
      </c>
      <c r="BX101" s="372"/>
      <c r="BY101" s="372"/>
      <c r="BZ101" s="372">
        <f>Roles!$D$7</f>
        <v>0.12</v>
      </c>
      <c r="CA101" s="372"/>
      <c r="CB101" s="203">
        <f t="shared" si="21"/>
        <v>0</v>
      </c>
      <c r="CC101" s="372"/>
      <c r="CD101" s="372"/>
      <c r="CE101" s="372">
        <f>Roles!$D$7</f>
        <v>0.12</v>
      </c>
      <c r="CF101" s="372"/>
      <c r="CG101" s="203">
        <f t="shared" si="22"/>
        <v>0</v>
      </c>
      <c r="CH101" s="372"/>
      <c r="CI101" s="372"/>
      <c r="CJ101" s="372">
        <f>Roles!$D$7</f>
        <v>0.12</v>
      </c>
      <c r="CK101" s="372"/>
      <c r="CL101" s="203">
        <f t="shared" si="23"/>
        <v>0</v>
      </c>
      <c r="CM101" s="372"/>
      <c r="CN101" s="372"/>
      <c r="CO101" s="372">
        <f>Roles!$D$7</f>
        <v>0.12</v>
      </c>
      <c r="CP101" s="372"/>
      <c r="CQ101" s="203">
        <f t="shared" si="24"/>
        <v>0</v>
      </c>
      <c r="CR101" s="372"/>
      <c r="CS101" s="372"/>
      <c r="CT101" s="372">
        <f>Roles!$D$7</f>
        <v>0.12</v>
      </c>
      <c r="CU101" s="372"/>
      <c r="CV101" s="203">
        <f t="shared" si="25"/>
        <v>0</v>
      </c>
      <c r="CW101" s="372"/>
      <c r="CX101" s="372"/>
      <c r="CY101" s="372">
        <f>Roles!$D$7</f>
        <v>0.12</v>
      </c>
      <c r="CZ101" s="372"/>
      <c r="DA101" s="203">
        <f t="shared" si="26"/>
        <v>0</v>
      </c>
      <c r="DB101" s="372"/>
      <c r="DC101" s="372"/>
      <c r="DD101" s="372">
        <f>Roles!$D$7</f>
        <v>0.12</v>
      </c>
      <c r="DE101" s="372"/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 t="shared" si="1"/>
        <v>3</v>
      </c>
      <c r="F102" s="246">
        <f>SUM(F103:F109)</f>
        <v>29</v>
      </c>
      <c r="G102" s="105">
        <f t="shared" si="2"/>
        <v>0.02497846684</v>
      </c>
      <c r="H102" s="226">
        <f>H109</f>
        <v>0.3402239449</v>
      </c>
      <c r="I102" s="247">
        <f>SUM(I103:I109)</f>
        <v>82</v>
      </c>
      <c r="J102" s="247">
        <f>J109</f>
        <v>798</v>
      </c>
      <c r="K102" s="167">
        <f t="shared" si="3"/>
        <v>0.7012302285</v>
      </c>
      <c r="L102" s="247">
        <f>SUM(L103:L109)</f>
        <v>36.08</v>
      </c>
      <c r="M102" s="247">
        <f>M109</f>
        <v>351.12</v>
      </c>
      <c r="N102" s="7"/>
      <c r="O102" s="203">
        <f t="shared" si="7"/>
        <v>0</v>
      </c>
      <c r="P102" s="372"/>
      <c r="Q102" s="372"/>
      <c r="R102" s="372">
        <f>Roles!$D$5</f>
        <v>0.44</v>
      </c>
      <c r="S102" s="372">
        <f t="shared" si="8"/>
        <v>0</v>
      </c>
      <c r="T102" s="203">
        <f t="shared" si="9"/>
        <v>0</v>
      </c>
      <c r="U102" s="372"/>
      <c r="V102" s="372"/>
      <c r="W102" s="372">
        <f>Roles!$D$7</f>
        <v>0.12</v>
      </c>
      <c r="X102" s="372"/>
      <c r="Y102" s="203">
        <f t="shared" si="10"/>
        <v>0</v>
      </c>
      <c r="Z102" s="372"/>
      <c r="AA102" s="372"/>
      <c r="AB102" s="372">
        <f>Roles!$D$7</f>
        <v>0.12</v>
      </c>
      <c r="AC102" s="372"/>
      <c r="AD102" s="203">
        <f t="shared" si="11"/>
        <v>0</v>
      </c>
      <c r="AE102" s="372"/>
      <c r="AF102" s="372"/>
      <c r="AG102" s="372">
        <f>Roles!$D$7</f>
        <v>0.12</v>
      </c>
      <c r="AH102" s="372"/>
      <c r="AI102" s="203">
        <f t="shared" si="12"/>
        <v>0</v>
      </c>
      <c r="AJ102" s="372"/>
      <c r="AK102" s="372"/>
      <c r="AL102" s="372">
        <f>Roles!$D$7</f>
        <v>0.12</v>
      </c>
      <c r="AM102" s="372"/>
      <c r="AN102" s="203">
        <f t="shared" si="13"/>
        <v>0</v>
      </c>
      <c r="AO102" s="372"/>
      <c r="AP102" s="372"/>
      <c r="AQ102" s="372">
        <f>Roles!$D$7</f>
        <v>0.12</v>
      </c>
      <c r="AR102" s="372"/>
      <c r="AS102" s="203">
        <f t="shared" si="14"/>
        <v>0</v>
      </c>
      <c r="AT102" s="372"/>
      <c r="AU102" s="372"/>
      <c r="AV102" s="372">
        <f>Roles!$D$7</f>
        <v>0.12</v>
      </c>
      <c r="AW102" s="372"/>
      <c r="AX102" s="203">
        <f t="shared" si="15"/>
        <v>0</v>
      </c>
      <c r="AY102" s="372"/>
      <c r="AZ102" s="372"/>
      <c r="BA102" s="372">
        <f>Roles!$D$7</f>
        <v>0.12</v>
      </c>
      <c r="BB102" s="372"/>
      <c r="BC102" s="203">
        <f t="shared" si="16"/>
        <v>0</v>
      </c>
      <c r="BD102" s="372"/>
      <c r="BE102" s="372"/>
      <c r="BF102" s="372">
        <f>Roles!$D$7</f>
        <v>0.12</v>
      </c>
      <c r="BG102" s="372"/>
      <c r="BH102" s="203">
        <f t="shared" si="17"/>
        <v>0</v>
      </c>
      <c r="BI102" s="372"/>
      <c r="BJ102" s="372"/>
      <c r="BK102" s="372">
        <f>Roles!$D$7</f>
        <v>0.12</v>
      </c>
      <c r="BL102" s="372"/>
      <c r="BM102" s="203">
        <f t="shared" si="18"/>
        <v>0</v>
      </c>
      <c r="BN102" s="372"/>
      <c r="BO102" s="372"/>
      <c r="BP102" s="372">
        <f>Roles!$D$7</f>
        <v>0.12</v>
      </c>
      <c r="BQ102" s="372"/>
      <c r="BR102" s="203">
        <f t="shared" si="19"/>
        <v>0</v>
      </c>
      <c r="BS102" s="372"/>
      <c r="BT102" s="372"/>
      <c r="BU102" s="372">
        <f>Roles!$D$7</f>
        <v>0.12</v>
      </c>
      <c r="BV102" s="372"/>
      <c r="BW102" s="203">
        <f t="shared" si="20"/>
        <v>0</v>
      </c>
      <c r="BX102" s="372"/>
      <c r="BY102" s="372"/>
      <c r="BZ102" s="372">
        <f>Roles!$D$7</f>
        <v>0.12</v>
      </c>
      <c r="CA102" s="372"/>
      <c r="CB102" s="203">
        <f t="shared" si="21"/>
        <v>0</v>
      </c>
      <c r="CC102" s="372"/>
      <c r="CD102" s="372"/>
      <c r="CE102" s="372">
        <f>Roles!$D$7</f>
        <v>0.12</v>
      </c>
      <c r="CF102" s="372"/>
      <c r="CG102" s="203">
        <f t="shared" si="22"/>
        <v>0</v>
      </c>
      <c r="CH102" s="372"/>
      <c r="CI102" s="372"/>
      <c r="CJ102" s="372">
        <f>Roles!$D$7</f>
        <v>0.12</v>
      </c>
      <c r="CK102" s="372"/>
      <c r="CL102" s="203">
        <f t="shared" si="23"/>
        <v>0</v>
      </c>
      <c r="CM102" s="372"/>
      <c r="CN102" s="372"/>
      <c r="CO102" s="372">
        <f>Roles!$D$7</f>
        <v>0.12</v>
      </c>
      <c r="CP102" s="372"/>
      <c r="CQ102" s="203">
        <f t="shared" si="24"/>
        <v>0</v>
      </c>
      <c r="CR102" s="372"/>
      <c r="CS102" s="372"/>
      <c r="CT102" s="372">
        <f>Roles!$D$7</f>
        <v>0.12</v>
      </c>
      <c r="CU102" s="372"/>
      <c r="CV102" s="203">
        <f t="shared" si="25"/>
        <v>0</v>
      </c>
      <c r="CW102" s="372"/>
      <c r="CX102" s="372"/>
      <c r="CY102" s="372">
        <f>Roles!$D$7</f>
        <v>0.12</v>
      </c>
      <c r="CZ102" s="372"/>
      <c r="DA102" s="203">
        <f t="shared" si="26"/>
        <v>0</v>
      </c>
      <c r="DB102" s="372"/>
      <c r="DC102" s="372"/>
      <c r="DD102" s="372">
        <f>Roles!$D$7</f>
        <v>0.12</v>
      </c>
      <c r="DE102" s="372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 t="shared" si="1"/>
        <v>3</v>
      </c>
      <c r="F103" s="80">
        <v>8.0</v>
      </c>
      <c r="G103" s="105">
        <f t="shared" si="2"/>
        <v>0.006890611542</v>
      </c>
      <c r="H103" s="47">
        <f>H101+G103</f>
        <v>0.3221360896</v>
      </c>
      <c r="I103" s="231">
        <f t="shared" ref="I103:I109" si="100">P103+U103+Z103+AE103+AJ103+AO103+AT103+AY103+BD103+BI103+BN103+BS103+BX103+CC103+CH103+CM103+CR103+CW103+DB103</f>
        <v>8</v>
      </c>
      <c r="J103" s="172">
        <f>J101+I103</f>
        <v>724</v>
      </c>
      <c r="K103" s="115">
        <f t="shared" si="3"/>
        <v>0.6362038664</v>
      </c>
      <c r="L103" s="232">
        <f t="shared" ref="L103:L109" si="101">S103+X103+AC103+AH103+AM103+AR103+AW103+BB103+BG103+BL103+BQ103+BV103+CA103+CF103+CK103+CP103+CU103+CZ103+DE103</f>
        <v>3.52</v>
      </c>
      <c r="M103" s="172">
        <f>M101+L103</f>
        <v>318.56</v>
      </c>
      <c r="N103" s="350"/>
      <c r="O103" s="203">
        <f t="shared" si="7"/>
        <v>1</v>
      </c>
      <c r="P103" s="378">
        <v>8.0</v>
      </c>
      <c r="Q103" s="372"/>
      <c r="R103" s="372">
        <f>Roles!$D$5</f>
        <v>0.44</v>
      </c>
      <c r="S103" s="372">
        <f t="shared" si="8"/>
        <v>3.52</v>
      </c>
      <c r="T103" s="203">
        <f t="shared" si="9"/>
        <v>0</v>
      </c>
      <c r="U103" s="372"/>
      <c r="V103" s="372"/>
      <c r="W103" s="372">
        <f>Roles!$D$7</f>
        <v>0.12</v>
      </c>
      <c r="X103" s="372"/>
      <c r="Y103" s="203">
        <f t="shared" si="10"/>
        <v>0</v>
      </c>
      <c r="Z103" s="372"/>
      <c r="AA103" s="372"/>
      <c r="AB103" s="372">
        <f>Roles!$D$7</f>
        <v>0.12</v>
      </c>
      <c r="AC103" s="372"/>
      <c r="AD103" s="203">
        <f t="shared" si="11"/>
        <v>0</v>
      </c>
      <c r="AE103" s="372"/>
      <c r="AF103" s="372"/>
      <c r="AG103" s="372">
        <f>Roles!$D$7</f>
        <v>0.12</v>
      </c>
      <c r="AH103" s="372"/>
      <c r="AI103" s="203">
        <f t="shared" si="12"/>
        <v>0</v>
      </c>
      <c r="AJ103" s="372"/>
      <c r="AK103" s="372"/>
      <c r="AL103" s="372">
        <f>Roles!$D$7</f>
        <v>0.12</v>
      </c>
      <c r="AM103" s="372"/>
      <c r="AN103" s="203">
        <f t="shared" si="13"/>
        <v>0</v>
      </c>
      <c r="AO103" s="372"/>
      <c r="AP103" s="372"/>
      <c r="AQ103" s="372">
        <f>Roles!$D$7</f>
        <v>0.12</v>
      </c>
      <c r="AR103" s="372"/>
      <c r="AS103" s="203">
        <f t="shared" si="14"/>
        <v>0</v>
      </c>
      <c r="AT103" s="372"/>
      <c r="AU103" s="372"/>
      <c r="AV103" s="372">
        <f>Roles!$D$7</f>
        <v>0.12</v>
      </c>
      <c r="AW103" s="372"/>
      <c r="AX103" s="203">
        <f t="shared" si="15"/>
        <v>0</v>
      </c>
      <c r="AY103" s="372"/>
      <c r="AZ103" s="372"/>
      <c r="BA103" s="372">
        <f>Roles!$D$7</f>
        <v>0.12</v>
      </c>
      <c r="BB103" s="372"/>
      <c r="BC103" s="203">
        <f t="shared" si="16"/>
        <v>0</v>
      </c>
      <c r="BD103" s="372"/>
      <c r="BE103" s="372"/>
      <c r="BF103" s="372">
        <f>Roles!$D$7</f>
        <v>0.12</v>
      </c>
      <c r="BG103" s="372"/>
      <c r="BH103" s="203">
        <f t="shared" si="17"/>
        <v>0</v>
      </c>
      <c r="BI103" s="372"/>
      <c r="BJ103" s="372"/>
      <c r="BK103" s="372">
        <f>Roles!$D$7</f>
        <v>0.12</v>
      </c>
      <c r="BL103" s="372"/>
      <c r="BM103" s="203">
        <f t="shared" si="18"/>
        <v>0</v>
      </c>
      <c r="BN103" s="372"/>
      <c r="BO103" s="372"/>
      <c r="BP103" s="372">
        <f>Roles!$D$7</f>
        <v>0.12</v>
      </c>
      <c r="BQ103" s="372"/>
      <c r="BR103" s="203">
        <f t="shared" si="19"/>
        <v>0</v>
      </c>
      <c r="BS103" s="372"/>
      <c r="BT103" s="372"/>
      <c r="BU103" s="372">
        <f>Roles!$D$7</f>
        <v>0.12</v>
      </c>
      <c r="BV103" s="372"/>
      <c r="BW103" s="203">
        <f t="shared" si="20"/>
        <v>0</v>
      </c>
      <c r="BX103" s="372"/>
      <c r="BY103" s="372"/>
      <c r="BZ103" s="372">
        <f>Roles!$D$7</f>
        <v>0.12</v>
      </c>
      <c r="CA103" s="372"/>
      <c r="CB103" s="203">
        <f t="shared" si="21"/>
        <v>0</v>
      </c>
      <c r="CC103" s="372"/>
      <c r="CD103" s="372"/>
      <c r="CE103" s="372">
        <f>Roles!$D$7</f>
        <v>0.12</v>
      </c>
      <c r="CF103" s="372"/>
      <c r="CG103" s="203">
        <f t="shared" si="22"/>
        <v>0</v>
      </c>
      <c r="CH103" s="372"/>
      <c r="CI103" s="372"/>
      <c r="CJ103" s="372">
        <f>Roles!$D$7</f>
        <v>0.12</v>
      </c>
      <c r="CK103" s="372"/>
      <c r="CL103" s="203">
        <f t="shared" si="23"/>
        <v>0</v>
      </c>
      <c r="CM103" s="372"/>
      <c r="CN103" s="372"/>
      <c r="CO103" s="372">
        <f>Roles!$D$7</f>
        <v>0.12</v>
      </c>
      <c r="CP103" s="372"/>
      <c r="CQ103" s="203">
        <f t="shared" si="24"/>
        <v>0</v>
      </c>
      <c r="CR103" s="372"/>
      <c r="CS103" s="372"/>
      <c r="CT103" s="372">
        <f>Roles!$D$7</f>
        <v>0.12</v>
      </c>
      <c r="CU103" s="372"/>
      <c r="CV103" s="203">
        <f t="shared" si="25"/>
        <v>0</v>
      </c>
      <c r="CW103" s="372"/>
      <c r="CX103" s="372"/>
      <c r="CY103" s="372">
        <f>Roles!$D$7</f>
        <v>0.12</v>
      </c>
      <c r="CZ103" s="372"/>
      <c r="DA103" s="203">
        <f t="shared" si="26"/>
        <v>0</v>
      </c>
      <c r="DB103" s="372"/>
      <c r="DC103" s="372"/>
      <c r="DD103" s="372">
        <f>Roles!$D$7</f>
        <v>0.12</v>
      </c>
      <c r="DE103" s="372"/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 t="shared" si="1"/>
        <v>1</v>
      </c>
      <c r="F104" s="80">
        <v>4.0</v>
      </c>
      <c r="G104" s="105">
        <f t="shared" si="2"/>
        <v>0.003445305771</v>
      </c>
      <c r="H104" s="47">
        <f t="shared" ref="H104:H109" si="102">H103+G104</f>
        <v>0.3255813953</v>
      </c>
      <c r="I104" s="231">
        <f t="shared" si="100"/>
        <v>8</v>
      </c>
      <c r="J104" s="172">
        <f t="shared" ref="J104:J109" si="103">J103+I104</f>
        <v>732</v>
      </c>
      <c r="K104" s="115">
        <f t="shared" si="3"/>
        <v>0.6432337434</v>
      </c>
      <c r="L104" s="232">
        <f t="shared" si="101"/>
        <v>3.52</v>
      </c>
      <c r="M104" s="172">
        <f t="shared" ref="M104:M109" si="104">M103+L104</f>
        <v>322.08</v>
      </c>
      <c r="N104" s="7"/>
      <c r="O104" s="203">
        <f t="shared" si="7"/>
        <v>2</v>
      </c>
      <c r="P104" s="378">
        <v>8.0</v>
      </c>
      <c r="Q104" s="372"/>
      <c r="R104" s="372">
        <f>Roles!$D$5</f>
        <v>0.44</v>
      </c>
      <c r="S104" s="372">
        <f t="shared" si="8"/>
        <v>3.52</v>
      </c>
      <c r="T104" s="203">
        <f t="shared" si="9"/>
        <v>0</v>
      </c>
      <c r="U104" s="372"/>
      <c r="V104" s="372"/>
      <c r="W104" s="372">
        <f>Roles!$D$7</f>
        <v>0.12</v>
      </c>
      <c r="X104" s="372"/>
      <c r="Y104" s="203">
        <f t="shared" si="10"/>
        <v>0</v>
      </c>
      <c r="Z104" s="372"/>
      <c r="AA104" s="372"/>
      <c r="AB104" s="372">
        <f>Roles!$D$7</f>
        <v>0.12</v>
      </c>
      <c r="AC104" s="372"/>
      <c r="AD104" s="203">
        <f t="shared" si="11"/>
        <v>0</v>
      </c>
      <c r="AE104" s="372"/>
      <c r="AF104" s="372"/>
      <c r="AG104" s="372">
        <f>Roles!$D$7</f>
        <v>0.12</v>
      </c>
      <c r="AH104" s="372"/>
      <c r="AI104" s="203">
        <f t="shared" si="12"/>
        <v>0</v>
      </c>
      <c r="AJ104" s="372"/>
      <c r="AK104" s="372"/>
      <c r="AL104" s="372">
        <f>Roles!$D$7</f>
        <v>0.12</v>
      </c>
      <c r="AM104" s="372"/>
      <c r="AN104" s="203">
        <f t="shared" si="13"/>
        <v>0</v>
      </c>
      <c r="AO104" s="372"/>
      <c r="AP104" s="372"/>
      <c r="AQ104" s="372">
        <f>Roles!$D$7</f>
        <v>0.12</v>
      </c>
      <c r="AR104" s="372"/>
      <c r="AS104" s="203">
        <f t="shared" si="14"/>
        <v>0</v>
      </c>
      <c r="AT104" s="372"/>
      <c r="AU104" s="372"/>
      <c r="AV104" s="372">
        <f>Roles!$D$7</f>
        <v>0.12</v>
      </c>
      <c r="AW104" s="372"/>
      <c r="AX104" s="203">
        <f t="shared" si="15"/>
        <v>0</v>
      </c>
      <c r="AY104" s="372"/>
      <c r="AZ104" s="372"/>
      <c r="BA104" s="372">
        <f>Roles!$D$7</f>
        <v>0.12</v>
      </c>
      <c r="BB104" s="372"/>
      <c r="BC104" s="203">
        <f t="shared" si="16"/>
        <v>0</v>
      </c>
      <c r="BD104" s="372"/>
      <c r="BE104" s="372"/>
      <c r="BF104" s="372">
        <f>Roles!$D$7</f>
        <v>0.12</v>
      </c>
      <c r="BG104" s="372"/>
      <c r="BH104" s="203">
        <f t="shared" si="17"/>
        <v>0</v>
      </c>
      <c r="BI104" s="372"/>
      <c r="BJ104" s="372"/>
      <c r="BK104" s="372">
        <f>Roles!$D$7</f>
        <v>0.12</v>
      </c>
      <c r="BL104" s="372"/>
      <c r="BM104" s="203">
        <f t="shared" si="18"/>
        <v>0</v>
      </c>
      <c r="BN104" s="372"/>
      <c r="BO104" s="372"/>
      <c r="BP104" s="372">
        <f>Roles!$D$7</f>
        <v>0.12</v>
      </c>
      <c r="BQ104" s="372"/>
      <c r="BR104" s="203">
        <f t="shared" si="19"/>
        <v>0</v>
      </c>
      <c r="BS104" s="372"/>
      <c r="BT104" s="372"/>
      <c r="BU104" s="372">
        <f>Roles!$D$7</f>
        <v>0.12</v>
      </c>
      <c r="BV104" s="372"/>
      <c r="BW104" s="203">
        <f t="shared" si="20"/>
        <v>0</v>
      </c>
      <c r="BX104" s="372"/>
      <c r="BY104" s="372"/>
      <c r="BZ104" s="372">
        <f>Roles!$D$7</f>
        <v>0.12</v>
      </c>
      <c r="CA104" s="372"/>
      <c r="CB104" s="203">
        <f t="shared" si="21"/>
        <v>0</v>
      </c>
      <c r="CC104" s="372"/>
      <c r="CD104" s="372"/>
      <c r="CE104" s="372">
        <f>Roles!$D$7</f>
        <v>0.12</v>
      </c>
      <c r="CF104" s="372"/>
      <c r="CG104" s="203">
        <f t="shared" si="22"/>
        <v>0</v>
      </c>
      <c r="CH104" s="372"/>
      <c r="CI104" s="372"/>
      <c r="CJ104" s="372">
        <f>Roles!$D$7</f>
        <v>0.12</v>
      </c>
      <c r="CK104" s="372"/>
      <c r="CL104" s="203">
        <f t="shared" si="23"/>
        <v>0</v>
      </c>
      <c r="CM104" s="372"/>
      <c r="CN104" s="372"/>
      <c r="CO104" s="372">
        <f>Roles!$D$7</f>
        <v>0.12</v>
      </c>
      <c r="CP104" s="372"/>
      <c r="CQ104" s="203">
        <f t="shared" si="24"/>
        <v>0</v>
      </c>
      <c r="CR104" s="372"/>
      <c r="CS104" s="372"/>
      <c r="CT104" s="372">
        <f>Roles!$D$7</f>
        <v>0.12</v>
      </c>
      <c r="CU104" s="372"/>
      <c r="CV104" s="203">
        <f t="shared" si="25"/>
        <v>0</v>
      </c>
      <c r="CW104" s="372"/>
      <c r="CX104" s="372"/>
      <c r="CY104" s="372">
        <f>Roles!$D$7</f>
        <v>0.12</v>
      </c>
      <c r="CZ104" s="372"/>
      <c r="DA104" s="203">
        <f t="shared" si="26"/>
        <v>0</v>
      </c>
      <c r="DB104" s="372"/>
      <c r="DC104" s="372"/>
      <c r="DD104" s="372">
        <f>Roles!$D$7</f>
        <v>0.12</v>
      </c>
      <c r="DE104" s="372"/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 t="shared" si="1"/>
        <v>1</v>
      </c>
      <c r="F105" s="80">
        <v>3.0</v>
      </c>
      <c r="G105" s="105">
        <f t="shared" si="2"/>
        <v>0.002583979328</v>
      </c>
      <c r="H105" s="47">
        <f t="shared" si="102"/>
        <v>0.3281653747</v>
      </c>
      <c r="I105" s="231">
        <f t="shared" si="100"/>
        <v>36</v>
      </c>
      <c r="J105" s="172">
        <f t="shared" si="103"/>
        <v>768</v>
      </c>
      <c r="K105" s="115">
        <f t="shared" si="3"/>
        <v>0.6748681898</v>
      </c>
      <c r="L105" s="232">
        <f t="shared" si="101"/>
        <v>15.84</v>
      </c>
      <c r="M105" s="172">
        <f t="shared" si="104"/>
        <v>337.92</v>
      </c>
      <c r="N105" s="7"/>
      <c r="O105" s="203">
        <f t="shared" si="7"/>
        <v>12</v>
      </c>
      <c r="P105" s="378">
        <v>36.0</v>
      </c>
      <c r="Q105" s="372"/>
      <c r="R105" s="372">
        <f>Roles!$D$5</f>
        <v>0.44</v>
      </c>
      <c r="S105" s="372">
        <f t="shared" si="8"/>
        <v>15.84</v>
      </c>
      <c r="T105" s="203">
        <f t="shared" si="9"/>
        <v>0</v>
      </c>
      <c r="U105" s="372"/>
      <c r="V105" s="372"/>
      <c r="W105" s="372">
        <f>Roles!$D$7</f>
        <v>0.12</v>
      </c>
      <c r="X105" s="372"/>
      <c r="Y105" s="203">
        <f t="shared" si="10"/>
        <v>0</v>
      </c>
      <c r="Z105" s="372"/>
      <c r="AA105" s="372"/>
      <c r="AB105" s="372">
        <f>Roles!$D$7</f>
        <v>0.12</v>
      </c>
      <c r="AC105" s="372"/>
      <c r="AD105" s="203">
        <f t="shared" si="11"/>
        <v>0</v>
      </c>
      <c r="AE105" s="372"/>
      <c r="AF105" s="372"/>
      <c r="AG105" s="372">
        <f>Roles!$D$7</f>
        <v>0.12</v>
      </c>
      <c r="AH105" s="372"/>
      <c r="AI105" s="203">
        <f t="shared" si="12"/>
        <v>0</v>
      </c>
      <c r="AJ105" s="372"/>
      <c r="AK105" s="372"/>
      <c r="AL105" s="372">
        <f>Roles!$D$7</f>
        <v>0.12</v>
      </c>
      <c r="AM105" s="372"/>
      <c r="AN105" s="203">
        <f t="shared" si="13"/>
        <v>0</v>
      </c>
      <c r="AO105" s="372"/>
      <c r="AP105" s="372"/>
      <c r="AQ105" s="372">
        <f>Roles!$D$7</f>
        <v>0.12</v>
      </c>
      <c r="AR105" s="372"/>
      <c r="AS105" s="203">
        <f t="shared" si="14"/>
        <v>0</v>
      </c>
      <c r="AT105" s="372"/>
      <c r="AU105" s="372"/>
      <c r="AV105" s="372">
        <f>Roles!$D$7</f>
        <v>0.12</v>
      </c>
      <c r="AW105" s="372"/>
      <c r="AX105" s="203">
        <f t="shared" si="15"/>
        <v>0</v>
      </c>
      <c r="AY105" s="372"/>
      <c r="AZ105" s="372"/>
      <c r="BA105" s="372">
        <f>Roles!$D$7</f>
        <v>0.12</v>
      </c>
      <c r="BB105" s="372"/>
      <c r="BC105" s="203">
        <f t="shared" si="16"/>
        <v>0</v>
      </c>
      <c r="BD105" s="372"/>
      <c r="BE105" s="372"/>
      <c r="BF105" s="372">
        <f>Roles!$D$7</f>
        <v>0.12</v>
      </c>
      <c r="BG105" s="372"/>
      <c r="BH105" s="203">
        <f t="shared" si="17"/>
        <v>0</v>
      </c>
      <c r="BI105" s="372"/>
      <c r="BJ105" s="372"/>
      <c r="BK105" s="372">
        <f>Roles!$D$7</f>
        <v>0.12</v>
      </c>
      <c r="BL105" s="372"/>
      <c r="BM105" s="203">
        <f t="shared" si="18"/>
        <v>0</v>
      </c>
      <c r="BN105" s="372"/>
      <c r="BO105" s="372"/>
      <c r="BP105" s="372">
        <f>Roles!$D$7</f>
        <v>0.12</v>
      </c>
      <c r="BQ105" s="372"/>
      <c r="BR105" s="203">
        <f t="shared" si="19"/>
        <v>0</v>
      </c>
      <c r="BS105" s="372"/>
      <c r="BT105" s="372"/>
      <c r="BU105" s="372">
        <f>Roles!$D$7</f>
        <v>0.12</v>
      </c>
      <c r="BV105" s="372"/>
      <c r="BW105" s="203">
        <f t="shared" si="20"/>
        <v>0</v>
      </c>
      <c r="BX105" s="372"/>
      <c r="BY105" s="372"/>
      <c r="BZ105" s="372">
        <f>Roles!$D$7</f>
        <v>0.12</v>
      </c>
      <c r="CA105" s="372"/>
      <c r="CB105" s="203">
        <f t="shared" si="21"/>
        <v>0</v>
      </c>
      <c r="CC105" s="372"/>
      <c r="CD105" s="372"/>
      <c r="CE105" s="372">
        <f>Roles!$D$7</f>
        <v>0.12</v>
      </c>
      <c r="CF105" s="372"/>
      <c r="CG105" s="203">
        <f t="shared" si="22"/>
        <v>0</v>
      </c>
      <c r="CH105" s="372"/>
      <c r="CI105" s="372"/>
      <c r="CJ105" s="372">
        <f>Roles!$D$7</f>
        <v>0.12</v>
      </c>
      <c r="CK105" s="372"/>
      <c r="CL105" s="203">
        <f t="shared" si="23"/>
        <v>0</v>
      </c>
      <c r="CM105" s="372"/>
      <c r="CN105" s="372"/>
      <c r="CO105" s="372">
        <f>Roles!$D$7</f>
        <v>0.12</v>
      </c>
      <c r="CP105" s="372"/>
      <c r="CQ105" s="203">
        <f t="shared" si="24"/>
        <v>0</v>
      </c>
      <c r="CR105" s="372"/>
      <c r="CS105" s="372"/>
      <c r="CT105" s="372">
        <f>Roles!$D$7</f>
        <v>0.12</v>
      </c>
      <c r="CU105" s="372"/>
      <c r="CV105" s="203">
        <f t="shared" si="25"/>
        <v>0</v>
      </c>
      <c r="CW105" s="372"/>
      <c r="CX105" s="372"/>
      <c r="CY105" s="372">
        <f>Roles!$D$7</f>
        <v>0.12</v>
      </c>
      <c r="CZ105" s="372"/>
      <c r="DA105" s="203">
        <f t="shared" si="26"/>
        <v>0</v>
      </c>
      <c r="DB105" s="372"/>
      <c r="DC105" s="372"/>
      <c r="DD105" s="372">
        <f>Roles!$D$7</f>
        <v>0.12</v>
      </c>
      <c r="DE105" s="372"/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 t="shared" si="1"/>
        <v>1</v>
      </c>
      <c r="F106" s="80">
        <v>4.0</v>
      </c>
      <c r="G106" s="105">
        <f t="shared" si="2"/>
        <v>0.003445305771</v>
      </c>
      <c r="H106" s="47">
        <f t="shared" si="102"/>
        <v>0.3316106804</v>
      </c>
      <c r="I106" s="231">
        <f t="shared" si="100"/>
        <v>8</v>
      </c>
      <c r="J106" s="172">
        <f t="shared" si="103"/>
        <v>776</v>
      </c>
      <c r="K106" s="115">
        <f t="shared" si="3"/>
        <v>0.6818980668</v>
      </c>
      <c r="L106" s="232">
        <f t="shared" si="101"/>
        <v>3.52</v>
      </c>
      <c r="M106" s="172">
        <f t="shared" si="104"/>
        <v>341.44</v>
      </c>
      <c r="N106" s="7"/>
      <c r="O106" s="203">
        <f t="shared" si="7"/>
        <v>2</v>
      </c>
      <c r="P106" s="378">
        <v>8.0</v>
      </c>
      <c r="Q106" s="372"/>
      <c r="R106" s="372">
        <f>Roles!$D$5</f>
        <v>0.44</v>
      </c>
      <c r="S106" s="372">
        <f t="shared" si="8"/>
        <v>3.52</v>
      </c>
      <c r="T106" s="203">
        <f t="shared" si="9"/>
        <v>0</v>
      </c>
      <c r="U106" s="372"/>
      <c r="V106" s="372"/>
      <c r="W106" s="372">
        <f>Roles!$D$7</f>
        <v>0.12</v>
      </c>
      <c r="X106" s="372"/>
      <c r="Y106" s="203">
        <f t="shared" si="10"/>
        <v>0</v>
      </c>
      <c r="Z106" s="372"/>
      <c r="AA106" s="372"/>
      <c r="AB106" s="372">
        <f>Roles!$D$7</f>
        <v>0.12</v>
      </c>
      <c r="AC106" s="372"/>
      <c r="AD106" s="203">
        <f t="shared" si="11"/>
        <v>0</v>
      </c>
      <c r="AE106" s="372"/>
      <c r="AF106" s="372"/>
      <c r="AG106" s="372">
        <f>Roles!$D$7</f>
        <v>0.12</v>
      </c>
      <c r="AH106" s="372"/>
      <c r="AI106" s="203">
        <f t="shared" si="12"/>
        <v>0</v>
      </c>
      <c r="AJ106" s="372"/>
      <c r="AK106" s="372"/>
      <c r="AL106" s="372">
        <f>Roles!$D$7</f>
        <v>0.12</v>
      </c>
      <c r="AM106" s="372"/>
      <c r="AN106" s="203">
        <f t="shared" si="13"/>
        <v>0</v>
      </c>
      <c r="AO106" s="372"/>
      <c r="AP106" s="372"/>
      <c r="AQ106" s="372">
        <f>Roles!$D$7</f>
        <v>0.12</v>
      </c>
      <c r="AR106" s="372"/>
      <c r="AS106" s="203">
        <f t="shared" si="14"/>
        <v>0</v>
      </c>
      <c r="AT106" s="372"/>
      <c r="AU106" s="372"/>
      <c r="AV106" s="372">
        <f>Roles!$D$7</f>
        <v>0.12</v>
      </c>
      <c r="AW106" s="372"/>
      <c r="AX106" s="203">
        <f t="shared" si="15"/>
        <v>0</v>
      </c>
      <c r="AY106" s="372"/>
      <c r="AZ106" s="372"/>
      <c r="BA106" s="372">
        <f>Roles!$D$7</f>
        <v>0.12</v>
      </c>
      <c r="BB106" s="372"/>
      <c r="BC106" s="203">
        <f t="shared" si="16"/>
        <v>0</v>
      </c>
      <c r="BD106" s="372"/>
      <c r="BE106" s="372"/>
      <c r="BF106" s="372">
        <f>Roles!$D$7</f>
        <v>0.12</v>
      </c>
      <c r="BG106" s="372"/>
      <c r="BH106" s="203">
        <f t="shared" si="17"/>
        <v>0</v>
      </c>
      <c r="BI106" s="372"/>
      <c r="BJ106" s="372"/>
      <c r="BK106" s="372">
        <f>Roles!$D$7</f>
        <v>0.12</v>
      </c>
      <c r="BL106" s="372"/>
      <c r="BM106" s="203">
        <f t="shared" si="18"/>
        <v>0</v>
      </c>
      <c r="BN106" s="372"/>
      <c r="BO106" s="372"/>
      <c r="BP106" s="372">
        <f>Roles!$D$7</f>
        <v>0.12</v>
      </c>
      <c r="BQ106" s="372"/>
      <c r="BR106" s="203">
        <f t="shared" si="19"/>
        <v>0</v>
      </c>
      <c r="BS106" s="372"/>
      <c r="BT106" s="372"/>
      <c r="BU106" s="372">
        <f>Roles!$D$7</f>
        <v>0.12</v>
      </c>
      <c r="BV106" s="372"/>
      <c r="BW106" s="203">
        <f t="shared" si="20"/>
        <v>0</v>
      </c>
      <c r="BX106" s="372"/>
      <c r="BY106" s="372"/>
      <c r="BZ106" s="372">
        <f>Roles!$D$7</f>
        <v>0.12</v>
      </c>
      <c r="CA106" s="372"/>
      <c r="CB106" s="203">
        <f t="shared" si="21"/>
        <v>0</v>
      </c>
      <c r="CC106" s="372"/>
      <c r="CD106" s="372"/>
      <c r="CE106" s="372">
        <f>Roles!$D$7</f>
        <v>0.12</v>
      </c>
      <c r="CF106" s="372"/>
      <c r="CG106" s="203">
        <f t="shared" si="22"/>
        <v>0</v>
      </c>
      <c r="CH106" s="372"/>
      <c r="CI106" s="372"/>
      <c r="CJ106" s="372">
        <f>Roles!$D$7</f>
        <v>0.12</v>
      </c>
      <c r="CK106" s="372"/>
      <c r="CL106" s="203">
        <f t="shared" si="23"/>
        <v>0</v>
      </c>
      <c r="CM106" s="372"/>
      <c r="CN106" s="372"/>
      <c r="CO106" s="372">
        <f>Roles!$D$7</f>
        <v>0.12</v>
      </c>
      <c r="CP106" s="372"/>
      <c r="CQ106" s="203">
        <f t="shared" si="24"/>
        <v>0</v>
      </c>
      <c r="CR106" s="372"/>
      <c r="CS106" s="372"/>
      <c r="CT106" s="372">
        <f>Roles!$D$7</f>
        <v>0.12</v>
      </c>
      <c r="CU106" s="372"/>
      <c r="CV106" s="203">
        <f t="shared" si="25"/>
        <v>0</v>
      </c>
      <c r="CW106" s="372"/>
      <c r="CX106" s="372"/>
      <c r="CY106" s="372">
        <f>Roles!$D$7</f>
        <v>0.12</v>
      </c>
      <c r="CZ106" s="372"/>
      <c r="DA106" s="203">
        <f t="shared" si="26"/>
        <v>0</v>
      </c>
      <c r="DB106" s="372"/>
      <c r="DC106" s="372"/>
      <c r="DD106" s="372">
        <f>Roles!$D$7</f>
        <v>0.12</v>
      </c>
      <c r="DE106" s="372"/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 t="shared" si="1"/>
        <v>1</v>
      </c>
      <c r="F107" s="80">
        <v>4.0</v>
      </c>
      <c r="G107" s="105">
        <f t="shared" si="2"/>
        <v>0.003445305771</v>
      </c>
      <c r="H107" s="47">
        <f t="shared" si="102"/>
        <v>0.3350559862</v>
      </c>
      <c r="I107" s="231">
        <f t="shared" si="100"/>
        <v>16</v>
      </c>
      <c r="J107" s="172">
        <f t="shared" si="103"/>
        <v>792</v>
      </c>
      <c r="K107" s="115">
        <f t="shared" si="3"/>
        <v>0.6959578207</v>
      </c>
      <c r="L107" s="232">
        <f t="shared" si="101"/>
        <v>7.04</v>
      </c>
      <c r="M107" s="172">
        <f t="shared" si="104"/>
        <v>348.48</v>
      </c>
      <c r="N107" s="350"/>
      <c r="O107" s="203">
        <f t="shared" si="7"/>
        <v>4</v>
      </c>
      <c r="P107" s="378">
        <v>16.0</v>
      </c>
      <c r="Q107" s="372"/>
      <c r="R107" s="372">
        <f>Roles!$D$5</f>
        <v>0.44</v>
      </c>
      <c r="S107" s="372">
        <f t="shared" si="8"/>
        <v>7.04</v>
      </c>
      <c r="T107" s="203">
        <f t="shared" si="9"/>
        <v>0</v>
      </c>
      <c r="U107" s="372"/>
      <c r="V107" s="372"/>
      <c r="W107" s="372">
        <f>Roles!$D$7</f>
        <v>0.12</v>
      </c>
      <c r="X107" s="372"/>
      <c r="Y107" s="203">
        <f t="shared" si="10"/>
        <v>0</v>
      </c>
      <c r="Z107" s="372"/>
      <c r="AA107" s="372"/>
      <c r="AB107" s="372">
        <f>Roles!$D$7</f>
        <v>0.12</v>
      </c>
      <c r="AC107" s="372"/>
      <c r="AD107" s="203">
        <f t="shared" si="11"/>
        <v>0</v>
      </c>
      <c r="AE107" s="372"/>
      <c r="AF107" s="372"/>
      <c r="AG107" s="372">
        <f>Roles!$D$7</f>
        <v>0.12</v>
      </c>
      <c r="AH107" s="372"/>
      <c r="AI107" s="203">
        <f t="shared" si="12"/>
        <v>0</v>
      </c>
      <c r="AJ107" s="372"/>
      <c r="AK107" s="372"/>
      <c r="AL107" s="372">
        <f>Roles!$D$7</f>
        <v>0.12</v>
      </c>
      <c r="AM107" s="372"/>
      <c r="AN107" s="203">
        <f t="shared" si="13"/>
        <v>0</v>
      </c>
      <c r="AO107" s="372"/>
      <c r="AP107" s="372"/>
      <c r="AQ107" s="372">
        <f>Roles!$D$7</f>
        <v>0.12</v>
      </c>
      <c r="AR107" s="372"/>
      <c r="AS107" s="203">
        <f t="shared" si="14"/>
        <v>0</v>
      </c>
      <c r="AT107" s="372"/>
      <c r="AU107" s="372"/>
      <c r="AV107" s="372">
        <f>Roles!$D$7</f>
        <v>0.12</v>
      </c>
      <c r="AW107" s="372"/>
      <c r="AX107" s="203">
        <f t="shared" si="15"/>
        <v>0</v>
      </c>
      <c r="AY107" s="372"/>
      <c r="AZ107" s="372"/>
      <c r="BA107" s="372">
        <f>Roles!$D$7</f>
        <v>0.12</v>
      </c>
      <c r="BB107" s="372"/>
      <c r="BC107" s="203">
        <f t="shared" si="16"/>
        <v>0</v>
      </c>
      <c r="BD107" s="372"/>
      <c r="BE107" s="372"/>
      <c r="BF107" s="372">
        <f>Roles!$D$7</f>
        <v>0.12</v>
      </c>
      <c r="BG107" s="372"/>
      <c r="BH107" s="203">
        <f t="shared" si="17"/>
        <v>0</v>
      </c>
      <c r="BI107" s="372"/>
      <c r="BJ107" s="372"/>
      <c r="BK107" s="372">
        <f>Roles!$D$7</f>
        <v>0.12</v>
      </c>
      <c r="BL107" s="372"/>
      <c r="BM107" s="203">
        <f t="shared" si="18"/>
        <v>0</v>
      </c>
      <c r="BN107" s="372"/>
      <c r="BO107" s="372"/>
      <c r="BP107" s="372">
        <f>Roles!$D$7</f>
        <v>0.12</v>
      </c>
      <c r="BQ107" s="372"/>
      <c r="BR107" s="203">
        <f t="shared" si="19"/>
        <v>0</v>
      </c>
      <c r="BS107" s="372"/>
      <c r="BT107" s="372"/>
      <c r="BU107" s="372">
        <f>Roles!$D$7</f>
        <v>0.12</v>
      </c>
      <c r="BV107" s="372"/>
      <c r="BW107" s="203">
        <f t="shared" si="20"/>
        <v>0</v>
      </c>
      <c r="BX107" s="372"/>
      <c r="BY107" s="372"/>
      <c r="BZ107" s="372">
        <f>Roles!$D$7</f>
        <v>0.12</v>
      </c>
      <c r="CA107" s="372"/>
      <c r="CB107" s="203">
        <f t="shared" si="21"/>
        <v>0</v>
      </c>
      <c r="CC107" s="372"/>
      <c r="CD107" s="372"/>
      <c r="CE107" s="372">
        <f>Roles!$D$7</f>
        <v>0.12</v>
      </c>
      <c r="CF107" s="372"/>
      <c r="CG107" s="203">
        <f t="shared" si="22"/>
        <v>0</v>
      </c>
      <c r="CH107" s="372"/>
      <c r="CI107" s="372"/>
      <c r="CJ107" s="372">
        <f>Roles!$D$7</f>
        <v>0.12</v>
      </c>
      <c r="CK107" s="372"/>
      <c r="CL107" s="203">
        <f t="shared" si="23"/>
        <v>0</v>
      </c>
      <c r="CM107" s="372"/>
      <c r="CN107" s="372"/>
      <c r="CO107" s="372">
        <f>Roles!$D$7</f>
        <v>0.12</v>
      </c>
      <c r="CP107" s="372"/>
      <c r="CQ107" s="203">
        <f t="shared" si="24"/>
        <v>0</v>
      </c>
      <c r="CR107" s="372"/>
      <c r="CS107" s="372"/>
      <c r="CT107" s="372">
        <f>Roles!$D$7</f>
        <v>0.12</v>
      </c>
      <c r="CU107" s="372"/>
      <c r="CV107" s="203">
        <f t="shared" si="25"/>
        <v>0</v>
      </c>
      <c r="CW107" s="372"/>
      <c r="CX107" s="372"/>
      <c r="CY107" s="372">
        <f>Roles!$D$7</f>
        <v>0.12</v>
      </c>
      <c r="CZ107" s="372"/>
      <c r="DA107" s="203">
        <f t="shared" si="26"/>
        <v>0</v>
      </c>
      <c r="DB107" s="372"/>
      <c r="DC107" s="372"/>
      <c r="DD107" s="372">
        <f>Roles!$D$7</f>
        <v>0.12</v>
      </c>
      <c r="DE107" s="372"/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 t="shared" si="1"/>
        <v>1</v>
      </c>
      <c r="F108" s="80">
        <v>3.0</v>
      </c>
      <c r="G108" s="105">
        <f t="shared" si="2"/>
        <v>0.002583979328</v>
      </c>
      <c r="H108" s="47">
        <f t="shared" si="102"/>
        <v>0.3376399655</v>
      </c>
      <c r="I108" s="231">
        <f t="shared" si="100"/>
        <v>3</v>
      </c>
      <c r="J108" s="172">
        <f t="shared" si="103"/>
        <v>795</v>
      </c>
      <c r="K108" s="115">
        <f t="shared" si="3"/>
        <v>0.6985940246</v>
      </c>
      <c r="L108" s="232">
        <f t="shared" si="101"/>
        <v>1.32</v>
      </c>
      <c r="M108" s="172">
        <f t="shared" si="104"/>
        <v>349.8</v>
      </c>
      <c r="N108" s="7"/>
      <c r="O108" s="203">
        <f t="shared" si="7"/>
        <v>1</v>
      </c>
      <c r="P108" s="378">
        <v>3.0</v>
      </c>
      <c r="Q108" s="372"/>
      <c r="R108" s="372">
        <f>Roles!$D$5</f>
        <v>0.44</v>
      </c>
      <c r="S108" s="372">
        <f t="shared" si="8"/>
        <v>1.32</v>
      </c>
      <c r="T108" s="203">
        <f t="shared" si="9"/>
        <v>0</v>
      </c>
      <c r="U108" s="372"/>
      <c r="V108" s="372"/>
      <c r="W108" s="372">
        <f>Roles!$D$7</f>
        <v>0.12</v>
      </c>
      <c r="X108" s="372"/>
      <c r="Y108" s="203">
        <f t="shared" si="10"/>
        <v>0</v>
      </c>
      <c r="Z108" s="372"/>
      <c r="AA108" s="372"/>
      <c r="AB108" s="372">
        <f>Roles!$D$7</f>
        <v>0.12</v>
      </c>
      <c r="AC108" s="372"/>
      <c r="AD108" s="203">
        <f t="shared" si="11"/>
        <v>0</v>
      </c>
      <c r="AE108" s="372"/>
      <c r="AF108" s="372"/>
      <c r="AG108" s="372">
        <f>Roles!$D$7</f>
        <v>0.12</v>
      </c>
      <c r="AH108" s="372"/>
      <c r="AI108" s="203">
        <f t="shared" si="12"/>
        <v>0</v>
      </c>
      <c r="AJ108" s="372"/>
      <c r="AK108" s="372"/>
      <c r="AL108" s="372">
        <f>Roles!$D$7</f>
        <v>0.12</v>
      </c>
      <c r="AM108" s="372"/>
      <c r="AN108" s="203">
        <f t="shared" si="13"/>
        <v>0</v>
      </c>
      <c r="AO108" s="372"/>
      <c r="AP108" s="372"/>
      <c r="AQ108" s="372">
        <f>Roles!$D$7</f>
        <v>0.12</v>
      </c>
      <c r="AR108" s="372"/>
      <c r="AS108" s="203">
        <f t="shared" si="14"/>
        <v>0</v>
      </c>
      <c r="AT108" s="372"/>
      <c r="AU108" s="372"/>
      <c r="AV108" s="372">
        <f>Roles!$D$7</f>
        <v>0.12</v>
      </c>
      <c r="AW108" s="372"/>
      <c r="AX108" s="203">
        <f t="shared" si="15"/>
        <v>0</v>
      </c>
      <c r="AY108" s="372"/>
      <c r="AZ108" s="372"/>
      <c r="BA108" s="372">
        <f>Roles!$D$7</f>
        <v>0.12</v>
      </c>
      <c r="BB108" s="372"/>
      <c r="BC108" s="203">
        <f t="shared" si="16"/>
        <v>0</v>
      </c>
      <c r="BD108" s="372"/>
      <c r="BE108" s="372"/>
      <c r="BF108" s="372">
        <f>Roles!$D$7</f>
        <v>0.12</v>
      </c>
      <c r="BG108" s="372"/>
      <c r="BH108" s="203">
        <f t="shared" si="17"/>
        <v>0</v>
      </c>
      <c r="BI108" s="372"/>
      <c r="BJ108" s="372"/>
      <c r="BK108" s="372">
        <f>Roles!$D$7</f>
        <v>0.12</v>
      </c>
      <c r="BL108" s="372"/>
      <c r="BM108" s="203">
        <f t="shared" si="18"/>
        <v>0</v>
      </c>
      <c r="BN108" s="372"/>
      <c r="BO108" s="372"/>
      <c r="BP108" s="372">
        <f>Roles!$D$7</f>
        <v>0.12</v>
      </c>
      <c r="BQ108" s="372"/>
      <c r="BR108" s="203">
        <f t="shared" si="19"/>
        <v>0</v>
      </c>
      <c r="BS108" s="372"/>
      <c r="BT108" s="372"/>
      <c r="BU108" s="372">
        <f>Roles!$D$7</f>
        <v>0.12</v>
      </c>
      <c r="BV108" s="372"/>
      <c r="BW108" s="203">
        <f t="shared" si="20"/>
        <v>0</v>
      </c>
      <c r="BX108" s="372"/>
      <c r="BY108" s="372"/>
      <c r="BZ108" s="372">
        <f>Roles!$D$7</f>
        <v>0.12</v>
      </c>
      <c r="CA108" s="372"/>
      <c r="CB108" s="203">
        <f t="shared" si="21"/>
        <v>0</v>
      </c>
      <c r="CC108" s="372"/>
      <c r="CD108" s="372"/>
      <c r="CE108" s="372">
        <f>Roles!$D$7</f>
        <v>0.12</v>
      </c>
      <c r="CF108" s="372"/>
      <c r="CG108" s="203">
        <f t="shared" si="22"/>
        <v>0</v>
      </c>
      <c r="CH108" s="372"/>
      <c r="CI108" s="372"/>
      <c r="CJ108" s="372">
        <f>Roles!$D$7</f>
        <v>0.12</v>
      </c>
      <c r="CK108" s="372"/>
      <c r="CL108" s="203">
        <f t="shared" si="23"/>
        <v>0</v>
      </c>
      <c r="CM108" s="372"/>
      <c r="CN108" s="372"/>
      <c r="CO108" s="372">
        <f>Roles!$D$7</f>
        <v>0.12</v>
      </c>
      <c r="CP108" s="372"/>
      <c r="CQ108" s="203">
        <f t="shared" si="24"/>
        <v>0</v>
      </c>
      <c r="CR108" s="372"/>
      <c r="CS108" s="372"/>
      <c r="CT108" s="372">
        <f>Roles!$D$7</f>
        <v>0.12</v>
      </c>
      <c r="CU108" s="372"/>
      <c r="CV108" s="203">
        <f t="shared" si="25"/>
        <v>0</v>
      </c>
      <c r="CW108" s="372"/>
      <c r="CX108" s="372"/>
      <c r="CY108" s="372">
        <f>Roles!$D$7</f>
        <v>0.12</v>
      </c>
      <c r="CZ108" s="372"/>
      <c r="DA108" s="203">
        <f t="shared" si="26"/>
        <v>0</v>
      </c>
      <c r="DB108" s="372"/>
      <c r="DC108" s="372"/>
      <c r="DD108" s="372">
        <f>Roles!$D$7</f>
        <v>0.12</v>
      </c>
      <c r="DE108" s="372"/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 t="shared" si="1"/>
        <v>1</v>
      </c>
      <c r="F109" s="80">
        <v>3.0</v>
      </c>
      <c r="G109" s="105">
        <f t="shared" si="2"/>
        <v>0.002583979328</v>
      </c>
      <c r="H109" s="47">
        <f t="shared" si="102"/>
        <v>0.3402239449</v>
      </c>
      <c r="I109" s="231">
        <f t="shared" si="100"/>
        <v>3</v>
      </c>
      <c r="J109" s="172">
        <f t="shared" si="103"/>
        <v>798</v>
      </c>
      <c r="K109" s="115">
        <f t="shared" si="3"/>
        <v>0.7012302285</v>
      </c>
      <c r="L109" s="232">
        <f t="shared" si="101"/>
        <v>1.32</v>
      </c>
      <c r="M109" s="172">
        <f t="shared" si="104"/>
        <v>351.12</v>
      </c>
      <c r="N109" s="7"/>
      <c r="O109" s="203">
        <f t="shared" si="7"/>
        <v>1</v>
      </c>
      <c r="P109" s="378">
        <v>3.0</v>
      </c>
      <c r="Q109" s="372"/>
      <c r="R109" s="372">
        <f>Roles!$D$5</f>
        <v>0.44</v>
      </c>
      <c r="S109" s="372">
        <f t="shared" si="8"/>
        <v>1.32</v>
      </c>
      <c r="T109" s="203">
        <f t="shared" si="9"/>
        <v>0</v>
      </c>
      <c r="U109" s="372"/>
      <c r="V109" s="372"/>
      <c r="W109" s="372">
        <f>Roles!$D$7</f>
        <v>0.12</v>
      </c>
      <c r="X109" s="372"/>
      <c r="Y109" s="203">
        <f t="shared" si="10"/>
        <v>0</v>
      </c>
      <c r="Z109" s="372"/>
      <c r="AA109" s="372"/>
      <c r="AB109" s="372">
        <f>Roles!$D$7</f>
        <v>0.12</v>
      </c>
      <c r="AC109" s="372"/>
      <c r="AD109" s="203">
        <f t="shared" si="11"/>
        <v>0</v>
      </c>
      <c r="AE109" s="372"/>
      <c r="AF109" s="372"/>
      <c r="AG109" s="372">
        <f>Roles!$D$7</f>
        <v>0.12</v>
      </c>
      <c r="AH109" s="372"/>
      <c r="AI109" s="203">
        <f t="shared" si="12"/>
        <v>0</v>
      </c>
      <c r="AJ109" s="372"/>
      <c r="AK109" s="372"/>
      <c r="AL109" s="372">
        <f>Roles!$D$7</f>
        <v>0.12</v>
      </c>
      <c r="AM109" s="372"/>
      <c r="AN109" s="203">
        <f t="shared" si="13"/>
        <v>0</v>
      </c>
      <c r="AO109" s="372"/>
      <c r="AP109" s="372"/>
      <c r="AQ109" s="372">
        <f>Roles!$D$7</f>
        <v>0.12</v>
      </c>
      <c r="AR109" s="372"/>
      <c r="AS109" s="203">
        <f t="shared" si="14"/>
        <v>0</v>
      </c>
      <c r="AT109" s="372"/>
      <c r="AU109" s="372"/>
      <c r="AV109" s="372">
        <f>Roles!$D$7</f>
        <v>0.12</v>
      </c>
      <c r="AW109" s="372"/>
      <c r="AX109" s="203">
        <f t="shared" si="15"/>
        <v>0</v>
      </c>
      <c r="AY109" s="372"/>
      <c r="AZ109" s="372"/>
      <c r="BA109" s="372">
        <f>Roles!$D$7</f>
        <v>0.12</v>
      </c>
      <c r="BB109" s="372"/>
      <c r="BC109" s="203">
        <f t="shared" si="16"/>
        <v>0</v>
      </c>
      <c r="BD109" s="372"/>
      <c r="BE109" s="372"/>
      <c r="BF109" s="372">
        <f>Roles!$D$7</f>
        <v>0.12</v>
      </c>
      <c r="BG109" s="372"/>
      <c r="BH109" s="203">
        <f t="shared" si="17"/>
        <v>0</v>
      </c>
      <c r="BI109" s="372"/>
      <c r="BJ109" s="372"/>
      <c r="BK109" s="372">
        <f>Roles!$D$7</f>
        <v>0.12</v>
      </c>
      <c r="BL109" s="372"/>
      <c r="BM109" s="203">
        <f t="shared" si="18"/>
        <v>0</v>
      </c>
      <c r="BN109" s="372"/>
      <c r="BO109" s="372"/>
      <c r="BP109" s="372">
        <f>Roles!$D$7</f>
        <v>0.12</v>
      </c>
      <c r="BQ109" s="372"/>
      <c r="BR109" s="203">
        <f t="shared" si="19"/>
        <v>0</v>
      </c>
      <c r="BS109" s="372"/>
      <c r="BT109" s="372"/>
      <c r="BU109" s="372">
        <f>Roles!$D$7</f>
        <v>0.12</v>
      </c>
      <c r="BV109" s="372"/>
      <c r="BW109" s="203">
        <f t="shared" si="20"/>
        <v>0</v>
      </c>
      <c r="BX109" s="372"/>
      <c r="BY109" s="372"/>
      <c r="BZ109" s="372">
        <f>Roles!$D$7</f>
        <v>0.12</v>
      </c>
      <c r="CA109" s="372"/>
      <c r="CB109" s="203">
        <f t="shared" si="21"/>
        <v>0</v>
      </c>
      <c r="CC109" s="372"/>
      <c r="CD109" s="372"/>
      <c r="CE109" s="372">
        <f>Roles!$D$7</f>
        <v>0.12</v>
      </c>
      <c r="CF109" s="372"/>
      <c r="CG109" s="203">
        <f t="shared" si="22"/>
        <v>0</v>
      </c>
      <c r="CH109" s="372"/>
      <c r="CI109" s="372"/>
      <c r="CJ109" s="372">
        <f>Roles!$D$7</f>
        <v>0.12</v>
      </c>
      <c r="CK109" s="372"/>
      <c r="CL109" s="203">
        <f t="shared" si="23"/>
        <v>0</v>
      </c>
      <c r="CM109" s="372"/>
      <c r="CN109" s="372"/>
      <c r="CO109" s="372">
        <f>Roles!$D$7</f>
        <v>0.12</v>
      </c>
      <c r="CP109" s="372"/>
      <c r="CQ109" s="203">
        <f t="shared" si="24"/>
        <v>0</v>
      </c>
      <c r="CR109" s="372"/>
      <c r="CS109" s="372"/>
      <c r="CT109" s="372">
        <f>Roles!$D$7</f>
        <v>0.12</v>
      </c>
      <c r="CU109" s="372"/>
      <c r="CV109" s="203">
        <f t="shared" si="25"/>
        <v>0</v>
      </c>
      <c r="CW109" s="372"/>
      <c r="CX109" s="372"/>
      <c r="CY109" s="372">
        <f>Roles!$D$7</f>
        <v>0.12</v>
      </c>
      <c r="CZ109" s="372"/>
      <c r="DA109" s="203">
        <f t="shared" si="26"/>
        <v>0</v>
      </c>
      <c r="DB109" s="372"/>
      <c r="DC109" s="372"/>
      <c r="DD109" s="372">
        <f>Roles!$D$7</f>
        <v>0.12</v>
      </c>
      <c r="DE109" s="372"/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 t="shared" si="1"/>
        <v>6</v>
      </c>
      <c r="F110" s="246">
        <f>SUM(F111:F116)</f>
        <v>21</v>
      </c>
      <c r="G110" s="105">
        <f t="shared" si="2"/>
        <v>0.0180878553</v>
      </c>
      <c r="H110" s="226">
        <f>H116</f>
        <v>0.3583118002</v>
      </c>
      <c r="I110" s="247">
        <f>SUM(I111:I116)</f>
        <v>37</v>
      </c>
      <c r="J110" s="247">
        <f>J116</f>
        <v>835</v>
      </c>
      <c r="K110" s="167">
        <f t="shared" si="3"/>
        <v>0.7337434095</v>
      </c>
      <c r="L110" s="247">
        <f>SUM(L111:L116)</f>
        <v>16.28</v>
      </c>
      <c r="M110" s="247">
        <f>M116</f>
        <v>367.4</v>
      </c>
      <c r="N110" s="350"/>
      <c r="O110" s="203">
        <f t="shared" si="7"/>
        <v>0</v>
      </c>
      <c r="P110" s="372"/>
      <c r="Q110" s="372"/>
      <c r="R110" s="372">
        <f>Roles!$D$5</f>
        <v>0.44</v>
      </c>
      <c r="S110" s="372">
        <f t="shared" si="8"/>
        <v>0</v>
      </c>
      <c r="T110" s="203">
        <f t="shared" si="9"/>
        <v>0</v>
      </c>
      <c r="U110" s="372"/>
      <c r="V110" s="372"/>
      <c r="W110" s="372">
        <f>Roles!$D$7</f>
        <v>0.12</v>
      </c>
      <c r="X110" s="372"/>
      <c r="Y110" s="203">
        <f t="shared" si="10"/>
        <v>0</v>
      </c>
      <c r="Z110" s="372"/>
      <c r="AA110" s="372"/>
      <c r="AB110" s="372">
        <f>Roles!$D$7</f>
        <v>0.12</v>
      </c>
      <c r="AC110" s="372"/>
      <c r="AD110" s="203">
        <f t="shared" si="11"/>
        <v>0</v>
      </c>
      <c r="AE110" s="372"/>
      <c r="AF110" s="372"/>
      <c r="AG110" s="372">
        <f>Roles!$D$7</f>
        <v>0.12</v>
      </c>
      <c r="AH110" s="372"/>
      <c r="AI110" s="203">
        <f t="shared" si="12"/>
        <v>0</v>
      </c>
      <c r="AJ110" s="372"/>
      <c r="AK110" s="372"/>
      <c r="AL110" s="372">
        <f>Roles!$D$7</f>
        <v>0.12</v>
      </c>
      <c r="AM110" s="372"/>
      <c r="AN110" s="203">
        <f t="shared" si="13"/>
        <v>0</v>
      </c>
      <c r="AO110" s="372"/>
      <c r="AP110" s="372"/>
      <c r="AQ110" s="372">
        <f>Roles!$D$7</f>
        <v>0.12</v>
      </c>
      <c r="AR110" s="372"/>
      <c r="AS110" s="203">
        <f t="shared" si="14"/>
        <v>0</v>
      </c>
      <c r="AT110" s="372"/>
      <c r="AU110" s="372"/>
      <c r="AV110" s="372">
        <f>Roles!$D$7</f>
        <v>0.12</v>
      </c>
      <c r="AW110" s="372"/>
      <c r="AX110" s="203">
        <f t="shared" si="15"/>
        <v>0</v>
      </c>
      <c r="AY110" s="372"/>
      <c r="AZ110" s="372"/>
      <c r="BA110" s="372">
        <f>Roles!$D$7</f>
        <v>0.12</v>
      </c>
      <c r="BB110" s="372"/>
      <c r="BC110" s="203">
        <f t="shared" si="16"/>
        <v>0</v>
      </c>
      <c r="BD110" s="372"/>
      <c r="BE110" s="372"/>
      <c r="BF110" s="372">
        <f>Roles!$D$7</f>
        <v>0.12</v>
      </c>
      <c r="BG110" s="372"/>
      <c r="BH110" s="203">
        <f t="shared" si="17"/>
        <v>0</v>
      </c>
      <c r="BI110" s="372"/>
      <c r="BJ110" s="372"/>
      <c r="BK110" s="372">
        <f>Roles!$D$7</f>
        <v>0.12</v>
      </c>
      <c r="BL110" s="372"/>
      <c r="BM110" s="203">
        <f t="shared" si="18"/>
        <v>0</v>
      </c>
      <c r="BN110" s="372"/>
      <c r="BO110" s="372"/>
      <c r="BP110" s="372">
        <f>Roles!$D$7</f>
        <v>0.12</v>
      </c>
      <c r="BQ110" s="372"/>
      <c r="BR110" s="203">
        <f t="shared" si="19"/>
        <v>0</v>
      </c>
      <c r="BS110" s="372"/>
      <c r="BT110" s="372"/>
      <c r="BU110" s="372">
        <f>Roles!$D$7</f>
        <v>0.12</v>
      </c>
      <c r="BV110" s="372"/>
      <c r="BW110" s="203">
        <f t="shared" si="20"/>
        <v>0</v>
      </c>
      <c r="BX110" s="372"/>
      <c r="BY110" s="372"/>
      <c r="BZ110" s="372">
        <f>Roles!$D$7</f>
        <v>0.12</v>
      </c>
      <c r="CA110" s="372"/>
      <c r="CB110" s="203">
        <f t="shared" si="21"/>
        <v>0</v>
      </c>
      <c r="CC110" s="372"/>
      <c r="CD110" s="372"/>
      <c r="CE110" s="372">
        <f>Roles!$D$7</f>
        <v>0.12</v>
      </c>
      <c r="CF110" s="372"/>
      <c r="CG110" s="203">
        <f t="shared" si="22"/>
        <v>0</v>
      </c>
      <c r="CH110" s="372"/>
      <c r="CI110" s="372"/>
      <c r="CJ110" s="372">
        <f>Roles!$D$7</f>
        <v>0.12</v>
      </c>
      <c r="CK110" s="372"/>
      <c r="CL110" s="203">
        <f t="shared" si="23"/>
        <v>0</v>
      </c>
      <c r="CM110" s="372"/>
      <c r="CN110" s="372"/>
      <c r="CO110" s="372">
        <f>Roles!$D$7</f>
        <v>0.12</v>
      </c>
      <c r="CP110" s="372"/>
      <c r="CQ110" s="203">
        <f t="shared" si="24"/>
        <v>0</v>
      </c>
      <c r="CR110" s="372"/>
      <c r="CS110" s="372"/>
      <c r="CT110" s="372">
        <f>Roles!$D$7</f>
        <v>0.12</v>
      </c>
      <c r="CU110" s="372"/>
      <c r="CV110" s="203">
        <f t="shared" si="25"/>
        <v>0</v>
      </c>
      <c r="CW110" s="372"/>
      <c r="CX110" s="372"/>
      <c r="CY110" s="372">
        <f>Roles!$D$7</f>
        <v>0.12</v>
      </c>
      <c r="CZ110" s="372"/>
      <c r="DA110" s="203">
        <f t="shared" si="26"/>
        <v>0</v>
      </c>
      <c r="DB110" s="372"/>
      <c r="DC110" s="372"/>
      <c r="DD110" s="372">
        <f>Roles!$D$7</f>
        <v>0.12</v>
      </c>
      <c r="DE110" s="372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 t="shared" si="1"/>
        <v>5</v>
      </c>
      <c r="F111" s="80">
        <v>8.0</v>
      </c>
      <c r="G111" s="105">
        <f t="shared" si="2"/>
        <v>0.006890611542</v>
      </c>
      <c r="H111" s="47">
        <f>H109+G111</f>
        <v>0.3471145564</v>
      </c>
      <c r="I111" s="231">
        <f t="shared" ref="I111:I116" si="105">P111+U111+Z111+AE111+AJ111+AO111+AT111+AY111+BD111+BI111+BN111+BS111+BX111+CC111+CH111+CM111+CR111+CW111+DB111</f>
        <v>0</v>
      </c>
      <c r="J111" s="172">
        <f>J109+I111</f>
        <v>798</v>
      </c>
      <c r="K111" s="115">
        <f t="shared" si="3"/>
        <v>0.7012302285</v>
      </c>
      <c r="L111" s="232">
        <f t="shared" ref="L111:L116" si="106">S111+X111+AC111+AH111+AM111+AR111+AW111+BB111+BG111+BL111+BQ111+BV111+CA111+CF111+CK111+CP111+CU111+CZ111+DE111</f>
        <v>0</v>
      </c>
      <c r="M111" s="172">
        <f>M109+L111</f>
        <v>351.12</v>
      </c>
      <c r="N111" s="7"/>
      <c r="O111" s="203">
        <f t="shared" si="7"/>
        <v>0</v>
      </c>
      <c r="P111" s="378">
        <v>0.0</v>
      </c>
      <c r="Q111" s="372"/>
      <c r="R111" s="372">
        <f>Roles!$D$5</f>
        <v>0.44</v>
      </c>
      <c r="S111" s="372">
        <f t="shared" si="8"/>
        <v>0</v>
      </c>
      <c r="T111" s="203">
        <f t="shared" si="9"/>
        <v>0</v>
      </c>
      <c r="U111" s="372"/>
      <c r="V111" s="372"/>
      <c r="W111" s="372">
        <f>Roles!$D$7</f>
        <v>0.12</v>
      </c>
      <c r="X111" s="372"/>
      <c r="Y111" s="203">
        <f t="shared" si="10"/>
        <v>0</v>
      </c>
      <c r="Z111" s="372"/>
      <c r="AA111" s="372"/>
      <c r="AB111" s="372">
        <f>Roles!$D$7</f>
        <v>0.12</v>
      </c>
      <c r="AC111" s="372"/>
      <c r="AD111" s="203">
        <f t="shared" si="11"/>
        <v>0</v>
      </c>
      <c r="AE111" s="372"/>
      <c r="AF111" s="372"/>
      <c r="AG111" s="372">
        <f>Roles!$D$7</f>
        <v>0.12</v>
      </c>
      <c r="AH111" s="372"/>
      <c r="AI111" s="203">
        <f t="shared" si="12"/>
        <v>0</v>
      </c>
      <c r="AJ111" s="372"/>
      <c r="AK111" s="372"/>
      <c r="AL111" s="372">
        <f>Roles!$D$7</f>
        <v>0.12</v>
      </c>
      <c r="AM111" s="372"/>
      <c r="AN111" s="203">
        <f t="shared" si="13"/>
        <v>0</v>
      </c>
      <c r="AO111" s="372"/>
      <c r="AP111" s="372"/>
      <c r="AQ111" s="372">
        <f>Roles!$D$7</f>
        <v>0.12</v>
      </c>
      <c r="AR111" s="372"/>
      <c r="AS111" s="203">
        <f t="shared" si="14"/>
        <v>0</v>
      </c>
      <c r="AT111" s="372"/>
      <c r="AU111" s="372"/>
      <c r="AV111" s="372">
        <f>Roles!$D$7</f>
        <v>0.12</v>
      </c>
      <c r="AW111" s="372"/>
      <c r="AX111" s="203">
        <f t="shared" si="15"/>
        <v>0</v>
      </c>
      <c r="AY111" s="372"/>
      <c r="AZ111" s="372"/>
      <c r="BA111" s="372">
        <f>Roles!$D$7</f>
        <v>0.12</v>
      </c>
      <c r="BB111" s="372"/>
      <c r="BC111" s="203">
        <f t="shared" si="16"/>
        <v>0</v>
      </c>
      <c r="BD111" s="372"/>
      <c r="BE111" s="372"/>
      <c r="BF111" s="372">
        <f>Roles!$D$7</f>
        <v>0.12</v>
      </c>
      <c r="BG111" s="372"/>
      <c r="BH111" s="203">
        <f t="shared" si="17"/>
        <v>0</v>
      </c>
      <c r="BI111" s="372"/>
      <c r="BJ111" s="372"/>
      <c r="BK111" s="372">
        <f>Roles!$D$7</f>
        <v>0.12</v>
      </c>
      <c r="BL111" s="372"/>
      <c r="BM111" s="203">
        <f t="shared" si="18"/>
        <v>0</v>
      </c>
      <c r="BN111" s="372"/>
      <c r="BO111" s="372"/>
      <c r="BP111" s="372">
        <f>Roles!$D$7</f>
        <v>0.12</v>
      </c>
      <c r="BQ111" s="372"/>
      <c r="BR111" s="203">
        <f t="shared" si="19"/>
        <v>0</v>
      </c>
      <c r="BS111" s="372"/>
      <c r="BT111" s="372"/>
      <c r="BU111" s="372">
        <f>Roles!$D$7</f>
        <v>0.12</v>
      </c>
      <c r="BV111" s="372"/>
      <c r="BW111" s="203">
        <f t="shared" si="20"/>
        <v>0</v>
      </c>
      <c r="BX111" s="372"/>
      <c r="BY111" s="372"/>
      <c r="BZ111" s="372">
        <f>Roles!$D$7</f>
        <v>0.12</v>
      </c>
      <c r="CA111" s="372"/>
      <c r="CB111" s="203">
        <f t="shared" si="21"/>
        <v>0</v>
      </c>
      <c r="CC111" s="372"/>
      <c r="CD111" s="372"/>
      <c r="CE111" s="372">
        <f>Roles!$D$7</f>
        <v>0.12</v>
      </c>
      <c r="CF111" s="372"/>
      <c r="CG111" s="203">
        <f t="shared" si="22"/>
        <v>0</v>
      </c>
      <c r="CH111" s="372"/>
      <c r="CI111" s="372"/>
      <c r="CJ111" s="372">
        <f>Roles!$D$7</f>
        <v>0.12</v>
      </c>
      <c r="CK111" s="372"/>
      <c r="CL111" s="203">
        <f t="shared" si="23"/>
        <v>0</v>
      </c>
      <c r="CM111" s="372"/>
      <c r="CN111" s="372"/>
      <c r="CO111" s="372">
        <f>Roles!$D$7</f>
        <v>0.12</v>
      </c>
      <c r="CP111" s="372"/>
      <c r="CQ111" s="203">
        <f t="shared" si="24"/>
        <v>0</v>
      </c>
      <c r="CR111" s="372"/>
      <c r="CS111" s="372"/>
      <c r="CT111" s="372">
        <f>Roles!$D$7</f>
        <v>0.12</v>
      </c>
      <c r="CU111" s="372"/>
      <c r="CV111" s="203">
        <f t="shared" si="25"/>
        <v>0</v>
      </c>
      <c r="CW111" s="372"/>
      <c r="CX111" s="372"/>
      <c r="CY111" s="372">
        <f>Roles!$D$7</f>
        <v>0.12</v>
      </c>
      <c r="CZ111" s="372"/>
      <c r="DA111" s="203">
        <f t="shared" si="26"/>
        <v>0</v>
      </c>
      <c r="DB111" s="372"/>
      <c r="DC111" s="372"/>
      <c r="DD111" s="372">
        <f>Roles!$D$7</f>
        <v>0.12</v>
      </c>
      <c r="DE111" s="372"/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 t="shared" si="1"/>
        <v>1</v>
      </c>
      <c r="F112" s="80">
        <v>3.0</v>
      </c>
      <c r="G112" s="105">
        <f t="shared" si="2"/>
        <v>0.002583979328</v>
      </c>
      <c r="H112" s="47">
        <f t="shared" ref="H112:H116" si="107">H111+G112</f>
        <v>0.3496985357</v>
      </c>
      <c r="I112" s="231">
        <f t="shared" si="105"/>
        <v>18</v>
      </c>
      <c r="J112" s="172">
        <f t="shared" ref="J112:J116" si="108">J111+I112</f>
        <v>816</v>
      </c>
      <c r="K112" s="115">
        <f t="shared" si="3"/>
        <v>0.7170474517</v>
      </c>
      <c r="L112" s="232">
        <f t="shared" si="106"/>
        <v>7.92</v>
      </c>
      <c r="M112" s="172">
        <f t="shared" ref="M112:M116" si="109">M111+L112</f>
        <v>359.04</v>
      </c>
      <c r="N112" s="7"/>
      <c r="O112" s="203">
        <f t="shared" si="7"/>
        <v>6</v>
      </c>
      <c r="P112" s="378">
        <v>18.0</v>
      </c>
      <c r="Q112" s="372"/>
      <c r="R112" s="372">
        <f>Roles!$D$5</f>
        <v>0.44</v>
      </c>
      <c r="S112" s="372">
        <f t="shared" si="8"/>
        <v>7.92</v>
      </c>
      <c r="T112" s="203">
        <f t="shared" si="9"/>
        <v>0</v>
      </c>
      <c r="U112" s="372"/>
      <c r="V112" s="372"/>
      <c r="W112" s="372">
        <f>Roles!$D$7</f>
        <v>0.12</v>
      </c>
      <c r="X112" s="372"/>
      <c r="Y112" s="203">
        <f t="shared" si="10"/>
        <v>0</v>
      </c>
      <c r="Z112" s="372"/>
      <c r="AA112" s="372"/>
      <c r="AB112" s="372">
        <f>Roles!$D$7</f>
        <v>0.12</v>
      </c>
      <c r="AC112" s="372"/>
      <c r="AD112" s="203">
        <f t="shared" si="11"/>
        <v>0</v>
      </c>
      <c r="AE112" s="372"/>
      <c r="AF112" s="372"/>
      <c r="AG112" s="372">
        <f>Roles!$D$7</f>
        <v>0.12</v>
      </c>
      <c r="AH112" s="372"/>
      <c r="AI112" s="203">
        <f t="shared" si="12"/>
        <v>0</v>
      </c>
      <c r="AJ112" s="372"/>
      <c r="AK112" s="372"/>
      <c r="AL112" s="372">
        <f>Roles!$D$7</f>
        <v>0.12</v>
      </c>
      <c r="AM112" s="372"/>
      <c r="AN112" s="203">
        <f t="shared" si="13"/>
        <v>0</v>
      </c>
      <c r="AO112" s="372"/>
      <c r="AP112" s="372"/>
      <c r="AQ112" s="372">
        <f>Roles!$D$7</f>
        <v>0.12</v>
      </c>
      <c r="AR112" s="372"/>
      <c r="AS112" s="203">
        <f t="shared" si="14"/>
        <v>0</v>
      </c>
      <c r="AT112" s="372"/>
      <c r="AU112" s="372"/>
      <c r="AV112" s="372">
        <f>Roles!$D$7</f>
        <v>0.12</v>
      </c>
      <c r="AW112" s="372"/>
      <c r="AX112" s="203">
        <f t="shared" si="15"/>
        <v>0</v>
      </c>
      <c r="AY112" s="372"/>
      <c r="AZ112" s="372"/>
      <c r="BA112" s="372">
        <f>Roles!$D$7</f>
        <v>0.12</v>
      </c>
      <c r="BB112" s="372"/>
      <c r="BC112" s="203">
        <f t="shared" si="16"/>
        <v>0</v>
      </c>
      <c r="BD112" s="372"/>
      <c r="BE112" s="372"/>
      <c r="BF112" s="372">
        <f>Roles!$D$7</f>
        <v>0.12</v>
      </c>
      <c r="BG112" s="372"/>
      <c r="BH112" s="203">
        <f t="shared" si="17"/>
        <v>0</v>
      </c>
      <c r="BI112" s="372"/>
      <c r="BJ112" s="372"/>
      <c r="BK112" s="372">
        <f>Roles!$D$7</f>
        <v>0.12</v>
      </c>
      <c r="BL112" s="372"/>
      <c r="BM112" s="203">
        <f t="shared" si="18"/>
        <v>0</v>
      </c>
      <c r="BN112" s="372"/>
      <c r="BO112" s="372"/>
      <c r="BP112" s="372">
        <f>Roles!$D$7</f>
        <v>0.12</v>
      </c>
      <c r="BQ112" s="372"/>
      <c r="BR112" s="203">
        <f t="shared" si="19"/>
        <v>0</v>
      </c>
      <c r="BS112" s="372"/>
      <c r="BT112" s="372"/>
      <c r="BU112" s="372">
        <f>Roles!$D$7</f>
        <v>0.12</v>
      </c>
      <c r="BV112" s="372"/>
      <c r="BW112" s="203">
        <f t="shared" si="20"/>
        <v>0</v>
      </c>
      <c r="BX112" s="372"/>
      <c r="BY112" s="372"/>
      <c r="BZ112" s="372">
        <f>Roles!$D$7</f>
        <v>0.12</v>
      </c>
      <c r="CA112" s="372"/>
      <c r="CB112" s="203">
        <f t="shared" si="21"/>
        <v>0</v>
      </c>
      <c r="CC112" s="372"/>
      <c r="CD112" s="372"/>
      <c r="CE112" s="372">
        <f>Roles!$D$7</f>
        <v>0.12</v>
      </c>
      <c r="CF112" s="372"/>
      <c r="CG112" s="203">
        <f t="shared" si="22"/>
        <v>0</v>
      </c>
      <c r="CH112" s="372"/>
      <c r="CI112" s="372"/>
      <c r="CJ112" s="372">
        <f>Roles!$D$7</f>
        <v>0.12</v>
      </c>
      <c r="CK112" s="372"/>
      <c r="CL112" s="203">
        <f t="shared" si="23"/>
        <v>0</v>
      </c>
      <c r="CM112" s="372"/>
      <c r="CN112" s="372"/>
      <c r="CO112" s="372">
        <f>Roles!$D$7</f>
        <v>0.12</v>
      </c>
      <c r="CP112" s="372"/>
      <c r="CQ112" s="203">
        <f t="shared" si="24"/>
        <v>0</v>
      </c>
      <c r="CR112" s="372"/>
      <c r="CS112" s="372"/>
      <c r="CT112" s="372">
        <f>Roles!$D$7</f>
        <v>0.12</v>
      </c>
      <c r="CU112" s="372"/>
      <c r="CV112" s="203">
        <f t="shared" si="25"/>
        <v>0</v>
      </c>
      <c r="CW112" s="372"/>
      <c r="CX112" s="372"/>
      <c r="CY112" s="372">
        <f>Roles!$D$7</f>
        <v>0.12</v>
      </c>
      <c r="CZ112" s="372"/>
      <c r="DA112" s="203">
        <f t="shared" si="26"/>
        <v>0</v>
      </c>
      <c r="DB112" s="372"/>
      <c r="DC112" s="372"/>
      <c r="DD112" s="372">
        <f>Roles!$D$7</f>
        <v>0.12</v>
      </c>
      <c r="DE112" s="372"/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 t="shared" si="1"/>
        <v>1</v>
      </c>
      <c r="F113" s="80">
        <v>3.0</v>
      </c>
      <c r="G113" s="105">
        <f t="shared" si="2"/>
        <v>0.002583979328</v>
      </c>
      <c r="H113" s="47">
        <f t="shared" si="107"/>
        <v>0.3522825151</v>
      </c>
      <c r="I113" s="231">
        <f t="shared" si="105"/>
        <v>15</v>
      </c>
      <c r="J113" s="172">
        <f t="shared" si="108"/>
        <v>831</v>
      </c>
      <c r="K113" s="115">
        <f t="shared" si="3"/>
        <v>0.730228471</v>
      </c>
      <c r="L113" s="232">
        <f t="shared" si="106"/>
        <v>6.6</v>
      </c>
      <c r="M113" s="172">
        <f t="shared" si="109"/>
        <v>365.64</v>
      </c>
      <c r="N113" s="348"/>
      <c r="O113" s="203">
        <f t="shared" si="7"/>
        <v>5</v>
      </c>
      <c r="P113" s="378">
        <v>15.0</v>
      </c>
      <c r="Q113" s="372"/>
      <c r="R113" s="372">
        <f>Roles!$D$5</f>
        <v>0.44</v>
      </c>
      <c r="S113" s="372">
        <f t="shared" si="8"/>
        <v>6.6</v>
      </c>
      <c r="T113" s="203">
        <f t="shared" si="9"/>
        <v>0</v>
      </c>
      <c r="U113" s="372"/>
      <c r="V113" s="372"/>
      <c r="W113" s="372">
        <f>Roles!$D$7</f>
        <v>0.12</v>
      </c>
      <c r="X113" s="372"/>
      <c r="Y113" s="203">
        <f t="shared" si="10"/>
        <v>0</v>
      </c>
      <c r="Z113" s="372"/>
      <c r="AA113" s="372"/>
      <c r="AB113" s="372">
        <f>Roles!$D$7</f>
        <v>0.12</v>
      </c>
      <c r="AC113" s="372"/>
      <c r="AD113" s="203">
        <f t="shared" si="11"/>
        <v>0</v>
      </c>
      <c r="AE113" s="372"/>
      <c r="AF113" s="372"/>
      <c r="AG113" s="372">
        <f>Roles!$D$7</f>
        <v>0.12</v>
      </c>
      <c r="AH113" s="372"/>
      <c r="AI113" s="203">
        <f t="shared" si="12"/>
        <v>0</v>
      </c>
      <c r="AJ113" s="372"/>
      <c r="AK113" s="372"/>
      <c r="AL113" s="372">
        <f>Roles!$D$7</f>
        <v>0.12</v>
      </c>
      <c r="AM113" s="372"/>
      <c r="AN113" s="203">
        <f t="shared" si="13"/>
        <v>0</v>
      </c>
      <c r="AO113" s="372"/>
      <c r="AP113" s="372"/>
      <c r="AQ113" s="372">
        <f>Roles!$D$7</f>
        <v>0.12</v>
      </c>
      <c r="AR113" s="372"/>
      <c r="AS113" s="203">
        <f t="shared" si="14"/>
        <v>0</v>
      </c>
      <c r="AT113" s="372"/>
      <c r="AU113" s="372"/>
      <c r="AV113" s="372">
        <f>Roles!$D$7</f>
        <v>0.12</v>
      </c>
      <c r="AW113" s="372"/>
      <c r="AX113" s="203">
        <f t="shared" si="15"/>
        <v>0</v>
      </c>
      <c r="AY113" s="372"/>
      <c r="AZ113" s="372"/>
      <c r="BA113" s="372">
        <f>Roles!$D$7</f>
        <v>0.12</v>
      </c>
      <c r="BB113" s="372"/>
      <c r="BC113" s="203">
        <f t="shared" si="16"/>
        <v>0</v>
      </c>
      <c r="BD113" s="372"/>
      <c r="BE113" s="372"/>
      <c r="BF113" s="372">
        <f>Roles!$D$7</f>
        <v>0.12</v>
      </c>
      <c r="BG113" s="372"/>
      <c r="BH113" s="203">
        <f t="shared" si="17"/>
        <v>0</v>
      </c>
      <c r="BI113" s="372"/>
      <c r="BJ113" s="372"/>
      <c r="BK113" s="372">
        <f>Roles!$D$7</f>
        <v>0.12</v>
      </c>
      <c r="BL113" s="372"/>
      <c r="BM113" s="203">
        <f t="shared" si="18"/>
        <v>0</v>
      </c>
      <c r="BN113" s="372"/>
      <c r="BO113" s="372"/>
      <c r="BP113" s="372">
        <f>Roles!$D$7</f>
        <v>0.12</v>
      </c>
      <c r="BQ113" s="372"/>
      <c r="BR113" s="203">
        <f t="shared" si="19"/>
        <v>0</v>
      </c>
      <c r="BS113" s="372"/>
      <c r="BT113" s="372"/>
      <c r="BU113" s="372">
        <f>Roles!$D$7</f>
        <v>0.12</v>
      </c>
      <c r="BV113" s="372"/>
      <c r="BW113" s="203">
        <f t="shared" si="20"/>
        <v>0</v>
      </c>
      <c r="BX113" s="372"/>
      <c r="BY113" s="372"/>
      <c r="BZ113" s="372">
        <f>Roles!$D$7</f>
        <v>0.12</v>
      </c>
      <c r="CA113" s="372"/>
      <c r="CB113" s="203">
        <f t="shared" si="21"/>
        <v>0</v>
      </c>
      <c r="CC113" s="372"/>
      <c r="CD113" s="372"/>
      <c r="CE113" s="372">
        <f>Roles!$D$7</f>
        <v>0.12</v>
      </c>
      <c r="CF113" s="372"/>
      <c r="CG113" s="203">
        <f t="shared" si="22"/>
        <v>0</v>
      </c>
      <c r="CH113" s="372"/>
      <c r="CI113" s="372"/>
      <c r="CJ113" s="372">
        <f>Roles!$D$7</f>
        <v>0.12</v>
      </c>
      <c r="CK113" s="372"/>
      <c r="CL113" s="203">
        <f t="shared" si="23"/>
        <v>0</v>
      </c>
      <c r="CM113" s="372"/>
      <c r="CN113" s="372"/>
      <c r="CO113" s="372">
        <f>Roles!$D$7</f>
        <v>0.12</v>
      </c>
      <c r="CP113" s="372"/>
      <c r="CQ113" s="203">
        <f t="shared" si="24"/>
        <v>0</v>
      </c>
      <c r="CR113" s="372"/>
      <c r="CS113" s="372"/>
      <c r="CT113" s="372">
        <f>Roles!$D$7</f>
        <v>0.12</v>
      </c>
      <c r="CU113" s="372"/>
      <c r="CV113" s="203">
        <f t="shared" si="25"/>
        <v>0</v>
      </c>
      <c r="CW113" s="372"/>
      <c r="CX113" s="372"/>
      <c r="CY113" s="372">
        <f>Roles!$D$7</f>
        <v>0.12</v>
      </c>
      <c r="CZ113" s="372"/>
      <c r="DA113" s="203">
        <f t="shared" si="26"/>
        <v>0</v>
      </c>
      <c r="DB113" s="372"/>
      <c r="DC113" s="372"/>
      <c r="DD113" s="372">
        <f>Roles!$D$7</f>
        <v>0.12</v>
      </c>
      <c r="DE113" s="372"/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 t="shared" si="1"/>
        <v>1</v>
      </c>
      <c r="F114" s="80">
        <v>4.0</v>
      </c>
      <c r="G114" s="105">
        <f t="shared" si="2"/>
        <v>0.003445305771</v>
      </c>
      <c r="H114" s="47">
        <f t="shared" si="107"/>
        <v>0.3557278208</v>
      </c>
      <c r="I114" s="231">
        <f t="shared" si="105"/>
        <v>0</v>
      </c>
      <c r="J114" s="172">
        <f t="shared" si="108"/>
        <v>831</v>
      </c>
      <c r="K114" s="115">
        <f t="shared" si="3"/>
        <v>0.730228471</v>
      </c>
      <c r="L114" s="232">
        <f t="shared" si="106"/>
        <v>0</v>
      </c>
      <c r="M114" s="172">
        <f t="shared" si="109"/>
        <v>365.64</v>
      </c>
      <c r="N114" s="7"/>
      <c r="O114" s="203">
        <f t="shared" si="7"/>
        <v>0</v>
      </c>
      <c r="P114" s="378">
        <v>0.0</v>
      </c>
      <c r="Q114" s="372"/>
      <c r="R114" s="372">
        <f>Roles!$D$5</f>
        <v>0.44</v>
      </c>
      <c r="S114" s="372">
        <f t="shared" si="8"/>
        <v>0</v>
      </c>
      <c r="T114" s="203">
        <f t="shared" si="9"/>
        <v>0</v>
      </c>
      <c r="U114" s="372"/>
      <c r="V114" s="372"/>
      <c r="W114" s="372">
        <f>Roles!$D$7</f>
        <v>0.12</v>
      </c>
      <c r="X114" s="372"/>
      <c r="Y114" s="203">
        <f t="shared" si="10"/>
        <v>0</v>
      </c>
      <c r="Z114" s="372"/>
      <c r="AA114" s="372"/>
      <c r="AB114" s="372">
        <f>Roles!$D$7</f>
        <v>0.12</v>
      </c>
      <c r="AC114" s="372"/>
      <c r="AD114" s="203">
        <f t="shared" si="11"/>
        <v>0</v>
      </c>
      <c r="AE114" s="372"/>
      <c r="AF114" s="372"/>
      <c r="AG114" s="372">
        <f>Roles!$D$7</f>
        <v>0.12</v>
      </c>
      <c r="AH114" s="372"/>
      <c r="AI114" s="203">
        <f t="shared" si="12"/>
        <v>0</v>
      </c>
      <c r="AJ114" s="372"/>
      <c r="AK114" s="372"/>
      <c r="AL114" s="372">
        <f>Roles!$D$7</f>
        <v>0.12</v>
      </c>
      <c r="AM114" s="372"/>
      <c r="AN114" s="203">
        <f t="shared" si="13"/>
        <v>0</v>
      </c>
      <c r="AO114" s="372"/>
      <c r="AP114" s="372"/>
      <c r="AQ114" s="372">
        <f>Roles!$D$7</f>
        <v>0.12</v>
      </c>
      <c r="AR114" s="372"/>
      <c r="AS114" s="203">
        <f t="shared" si="14"/>
        <v>0</v>
      </c>
      <c r="AT114" s="372"/>
      <c r="AU114" s="372"/>
      <c r="AV114" s="372">
        <f>Roles!$D$7</f>
        <v>0.12</v>
      </c>
      <c r="AW114" s="372"/>
      <c r="AX114" s="203">
        <f t="shared" si="15"/>
        <v>0</v>
      </c>
      <c r="AY114" s="372"/>
      <c r="AZ114" s="372"/>
      <c r="BA114" s="372">
        <f>Roles!$D$7</f>
        <v>0.12</v>
      </c>
      <c r="BB114" s="372"/>
      <c r="BC114" s="203">
        <f t="shared" si="16"/>
        <v>0</v>
      </c>
      <c r="BD114" s="372"/>
      <c r="BE114" s="372"/>
      <c r="BF114" s="372">
        <f>Roles!$D$7</f>
        <v>0.12</v>
      </c>
      <c r="BG114" s="372"/>
      <c r="BH114" s="203">
        <f t="shared" si="17"/>
        <v>0</v>
      </c>
      <c r="BI114" s="372"/>
      <c r="BJ114" s="372"/>
      <c r="BK114" s="372">
        <f>Roles!$D$7</f>
        <v>0.12</v>
      </c>
      <c r="BL114" s="372"/>
      <c r="BM114" s="203">
        <f t="shared" si="18"/>
        <v>0</v>
      </c>
      <c r="BN114" s="372"/>
      <c r="BO114" s="372"/>
      <c r="BP114" s="372">
        <f>Roles!$D$7</f>
        <v>0.12</v>
      </c>
      <c r="BQ114" s="372"/>
      <c r="BR114" s="203">
        <f t="shared" si="19"/>
        <v>0</v>
      </c>
      <c r="BS114" s="372"/>
      <c r="BT114" s="372"/>
      <c r="BU114" s="372">
        <f>Roles!$D$7</f>
        <v>0.12</v>
      </c>
      <c r="BV114" s="372"/>
      <c r="BW114" s="203">
        <f t="shared" si="20"/>
        <v>0</v>
      </c>
      <c r="BX114" s="372"/>
      <c r="BY114" s="372"/>
      <c r="BZ114" s="372">
        <f>Roles!$D$7</f>
        <v>0.12</v>
      </c>
      <c r="CA114" s="372"/>
      <c r="CB114" s="203">
        <f t="shared" si="21"/>
        <v>0</v>
      </c>
      <c r="CC114" s="372"/>
      <c r="CD114" s="372"/>
      <c r="CE114" s="372">
        <f>Roles!$D$7</f>
        <v>0.12</v>
      </c>
      <c r="CF114" s="372"/>
      <c r="CG114" s="203">
        <f t="shared" si="22"/>
        <v>0</v>
      </c>
      <c r="CH114" s="372"/>
      <c r="CI114" s="372"/>
      <c r="CJ114" s="372">
        <f>Roles!$D$7</f>
        <v>0.12</v>
      </c>
      <c r="CK114" s="372"/>
      <c r="CL114" s="203">
        <f t="shared" si="23"/>
        <v>0</v>
      </c>
      <c r="CM114" s="372"/>
      <c r="CN114" s="372"/>
      <c r="CO114" s="372">
        <f>Roles!$D$7</f>
        <v>0.12</v>
      </c>
      <c r="CP114" s="372"/>
      <c r="CQ114" s="203">
        <f t="shared" si="24"/>
        <v>0</v>
      </c>
      <c r="CR114" s="372"/>
      <c r="CS114" s="372"/>
      <c r="CT114" s="372">
        <f>Roles!$D$7</f>
        <v>0.12</v>
      </c>
      <c r="CU114" s="372"/>
      <c r="CV114" s="203">
        <f t="shared" si="25"/>
        <v>0</v>
      </c>
      <c r="CW114" s="372"/>
      <c r="CX114" s="372"/>
      <c r="CY114" s="372">
        <f>Roles!$D$7</f>
        <v>0.12</v>
      </c>
      <c r="CZ114" s="372"/>
      <c r="DA114" s="203">
        <f t="shared" si="26"/>
        <v>0</v>
      </c>
      <c r="DB114" s="372"/>
      <c r="DC114" s="372"/>
      <c r="DD114" s="372">
        <f>Roles!$D$7</f>
        <v>0.12</v>
      </c>
      <c r="DE114" s="372"/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 t="shared" si="1"/>
        <v>1</v>
      </c>
      <c r="F115" s="80">
        <v>2.0</v>
      </c>
      <c r="G115" s="105">
        <f t="shared" si="2"/>
        <v>0.001722652885</v>
      </c>
      <c r="H115" s="47">
        <f t="shared" si="107"/>
        <v>0.3574504737</v>
      </c>
      <c r="I115" s="231">
        <f t="shared" si="105"/>
        <v>2</v>
      </c>
      <c r="J115" s="172">
        <f t="shared" si="108"/>
        <v>833</v>
      </c>
      <c r="K115" s="115">
        <f t="shared" si="3"/>
        <v>0.7319859402</v>
      </c>
      <c r="L115" s="232">
        <f t="shared" si="106"/>
        <v>0.88</v>
      </c>
      <c r="M115" s="172">
        <f t="shared" si="109"/>
        <v>366.52</v>
      </c>
      <c r="N115" s="7"/>
      <c r="O115" s="203">
        <f t="shared" si="7"/>
        <v>1</v>
      </c>
      <c r="P115" s="378">
        <v>2.0</v>
      </c>
      <c r="Q115" s="372"/>
      <c r="R115" s="372">
        <f>Roles!$D$5</f>
        <v>0.44</v>
      </c>
      <c r="S115" s="372">
        <f t="shared" si="8"/>
        <v>0.88</v>
      </c>
      <c r="T115" s="203">
        <f t="shared" si="9"/>
        <v>0</v>
      </c>
      <c r="U115" s="372"/>
      <c r="V115" s="372"/>
      <c r="W115" s="372">
        <f>Roles!$D$7</f>
        <v>0.12</v>
      </c>
      <c r="X115" s="372"/>
      <c r="Y115" s="203">
        <f t="shared" si="10"/>
        <v>0</v>
      </c>
      <c r="Z115" s="372"/>
      <c r="AA115" s="372"/>
      <c r="AB115" s="372">
        <f>Roles!$D$7</f>
        <v>0.12</v>
      </c>
      <c r="AC115" s="372"/>
      <c r="AD115" s="203">
        <f t="shared" si="11"/>
        <v>0</v>
      </c>
      <c r="AE115" s="372"/>
      <c r="AF115" s="372"/>
      <c r="AG115" s="372">
        <f>Roles!$D$7</f>
        <v>0.12</v>
      </c>
      <c r="AH115" s="372"/>
      <c r="AI115" s="203">
        <f t="shared" si="12"/>
        <v>0</v>
      </c>
      <c r="AJ115" s="372"/>
      <c r="AK115" s="372"/>
      <c r="AL115" s="372">
        <f>Roles!$D$7</f>
        <v>0.12</v>
      </c>
      <c r="AM115" s="372"/>
      <c r="AN115" s="203">
        <f t="shared" si="13"/>
        <v>0</v>
      </c>
      <c r="AO115" s="372"/>
      <c r="AP115" s="372"/>
      <c r="AQ115" s="372">
        <f>Roles!$D$7</f>
        <v>0.12</v>
      </c>
      <c r="AR115" s="372"/>
      <c r="AS115" s="203">
        <f t="shared" si="14"/>
        <v>0</v>
      </c>
      <c r="AT115" s="372"/>
      <c r="AU115" s="372"/>
      <c r="AV115" s="372">
        <f>Roles!$D$7</f>
        <v>0.12</v>
      </c>
      <c r="AW115" s="372"/>
      <c r="AX115" s="203">
        <f t="shared" si="15"/>
        <v>0</v>
      </c>
      <c r="AY115" s="372"/>
      <c r="AZ115" s="372"/>
      <c r="BA115" s="372">
        <f>Roles!$D$7</f>
        <v>0.12</v>
      </c>
      <c r="BB115" s="372"/>
      <c r="BC115" s="203">
        <f t="shared" si="16"/>
        <v>0</v>
      </c>
      <c r="BD115" s="372"/>
      <c r="BE115" s="372"/>
      <c r="BF115" s="372">
        <f>Roles!$D$7</f>
        <v>0.12</v>
      </c>
      <c r="BG115" s="372"/>
      <c r="BH115" s="203">
        <f t="shared" si="17"/>
        <v>0</v>
      </c>
      <c r="BI115" s="372"/>
      <c r="BJ115" s="372"/>
      <c r="BK115" s="372">
        <f>Roles!$D$7</f>
        <v>0.12</v>
      </c>
      <c r="BL115" s="372"/>
      <c r="BM115" s="203">
        <f t="shared" si="18"/>
        <v>0</v>
      </c>
      <c r="BN115" s="372"/>
      <c r="BO115" s="372"/>
      <c r="BP115" s="372">
        <f>Roles!$D$7</f>
        <v>0.12</v>
      </c>
      <c r="BQ115" s="372"/>
      <c r="BR115" s="203">
        <f t="shared" si="19"/>
        <v>0</v>
      </c>
      <c r="BS115" s="372"/>
      <c r="BT115" s="372"/>
      <c r="BU115" s="372">
        <f>Roles!$D$7</f>
        <v>0.12</v>
      </c>
      <c r="BV115" s="372"/>
      <c r="BW115" s="203">
        <f t="shared" si="20"/>
        <v>0</v>
      </c>
      <c r="BX115" s="372"/>
      <c r="BY115" s="372"/>
      <c r="BZ115" s="372">
        <f>Roles!$D$7</f>
        <v>0.12</v>
      </c>
      <c r="CA115" s="372"/>
      <c r="CB115" s="203">
        <f t="shared" si="21"/>
        <v>0</v>
      </c>
      <c r="CC115" s="372"/>
      <c r="CD115" s="372"/>
      <c r="CE115" s="372">
        <f>Roles!$D$7</f>
        <v>0.12</v>
      </c>
      <c r="CF115" s="372"/>
      <c r="CG115" s="203">
        <f t="shared" si="22"/>
        <v>0</v>
      </c>
      <c r="CH115" s="372"/>
      <c r="CI115" s="372"/>
      <c r="CJ115" s="372">
        <f>Roles!$D$7</f>
        <v>0.12</v>
      </c>
      <c r="CK115" s="372"/>
      <c r="CL115" s="203">
        <f t="shared" si="23"/>
        <v>0</v>
      </c>
      <c r="CM115" s="372"/>
      <c r="CN115" s="372"/>
      <c r="CO115" s="372">
        <f>Roles!$D$7</f>
        <v>0.12</v>
      </c>
      <c r="CP115" s="372"/>
      <c r="CQ115" s="203">
        <f t="shared" si="24"/>
        <v>0</v>
      </c>
      <c r="CR115" s="372"/>
      <c r="CS115" s="372"/>
      <c r="CT115" s="372">
        <f>Roles!$D$7</f>
        <v>0.12</v>
      </c>
      <c r="CU115" s="372"/>
      <c r="CV115" s="203">
        <f t="shared" si="25"/>
        <v>0</v>
      </c>
      <c r="CW115" s="372"/>
      <c r="CX115" s="372"/>
      <c r="CY115" s="372">
        <f>Roles!$D$7</f>
        <v>0.12</v>
      </c>
      <c r="CZ115" s="372"/>
      <c r="DA115" s="203">
        <f t="shared" si="26"/>
        <v>0</v>
      </c>
      <c r="DB115" s="372"/>
      <c r="DC115" s="372"/>
      <c r="DD115" s="372">
        <f>Roles!$D$7</f>
        <v>0.12</v>
      </c>
      <c r="DE115" s="372"/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 t="shared" si="1"/>
        <v>1</v>
      </c>
      <c r="F116" s="80">
        <v>1.0</v>
      </c>
      <c r="G116" s="105">
        <f t="shared" si="2"/>
        <v>0.0008613264427</v>
      </c>
      <c r="H116" s="47">
        <f t="shared" si="107"/>
        <v>0.3583118002</v>
      </c>
      <c r="I116" s="231">
        <f t="shared" si="105"/>
        <v>2</v>
      </c>
      <c r="J116" s="172">
        <f t="shared" si="108"/>
        <v>835</v>
      </c>
      <c r="K116" s="115">
        <f t="shared" si="3"/>
        <v>0.7337434095</v>
      </c>
      <c r="L116" s="232">
        <f t="shared" si="106"/>
        <v>0.88</v>
      </c>
      <c r="M116" s="172">
        <f t="shared" si="109"/>
        <v>367.4</v>
      </c>
      <c r="N116" s="7"/>
      <c r="O116" s="203">
        <f t="shared" si="7"/>
        <v>2</v>
      </c>
      <c r="P116" s="378">
        <v>2.0</v>
      </c>
      <c r="Q116" s="372"/>
      <c r="R116" s="372">
        <f>Roles!$D$5</f>
        <v>0.44</v>
      </c>
      <c r="S116" s="372">
        <f t="shared" si="8"/>
        <v>0.88</v>
      </c>
      <c r="T116" s="203">
        <f t="shared" si="9"/>
        <v>0</v>
      </c>
      <c r="U116" s="372"/>
      <c r="V116" s="372"/>
      <c r="W116" s="372">
        <f>Roles!$D$7</f>
        <v>0.12</v>
      </c>
      <c r="X116" s="372"/>
      <c r="Y116" s="203">
        <f t="shared" si="10"/>
        <v>0</v>
      </c>
      <c r="Z116" s="372"/>
      <c r="AA116" s="372"/>
      <c r="AB116" s="372">
        <f>Roles!$D$7</f>
        <v>0.12</v>
      </c>
      <c r="AC116" s="372"/>
      <c r="AD116" s="203">
        <f t="shared" si="11"/>
        <v>0</v>
      </c>
      <c r="AE116" s="372"/>
      <c r="AF116" s="372"/>
      <c r="AG116" s="372">
        <f>Roles!$D$7</f>
        <v>0.12</v>
      </c>
      <c r="AH116" s="372"/>
      <c r="AI116" s="203">
        <f t="shared" si="12"/>
        <v>0</v>
      </c>
      <c r="AJ116" s="372"/>
      <c r="AK116" s="372"/>
      <c r="AL116" s="372">
        <f>Roles!$D$7</f>
        <v>0.12</v>
      </c>
      <c r="AM116" s="372"/>
      <c r="AN116" s="203">
        <f t="shared" si="13"/>
        <v>0</v>
      </c>
      <c r="AO116" s="372"/>
      <c r="AP116" s="372"/>
      <c r="AQ116" s="372">
        <f>Roles!$D$7</f>
        <v>0.12</v>
      </c>
      <c r="AR116" s="372"/>
      <c r="AS116" s="203">
        <f t="shared" si="14"/>
        <v>0</v>
      </c>
      <c r="AT116" s="372"/>
      <c r="AU116" s="372"/>
      <c r="AV116" s="372">
        <f>Roles!$D$7</f>
        <v>0.12</v>
      </c>
      <c r="AW116" s="372"/>
      <c r="AX116" s="203">
        <f t="shared" si="15"/>
        <v>0</v>
      </c>
      <c r="AY116" s="372"/>
      <c r="AZ116" s="372"/>
      <c r="BA116" s="372">
        <f>Roles!$D$7</f>
        <v>0.12</v>
      </c>
      <c r="BB116" s="372"/>
      <c r="BC116" s="203">
        <f t="shared" si="16"/>
        <v>0</v>
      </c>
      <c r="BD116" s="372"/>
      <c r="BE116" s="372"/>
      <c r="BF116" s="372">
        <f>Roles!$D$7</f>
        <v>0.12</v>
      </c>
      <c r="BG116" s="372"/>
      <c r="BH116" s="203">
        <f t="shared" si="17"/>
        <v>0</v>
      </c>
      <c r="BI116" s="372"/>
      <c r="BJ116" s="372"/>
      <c r="BK116" s="372">
        <f>Roles!$D$7</f>
        <v>0.12</v>
      </c>
      <c r="BL116" s="372"/>
      <c r="BM116" s="203">
        <f t="shared" si="18"/>
        <v>0</v>
      </c>
      <c r="BN116" s="372"/>
      <c r="BO116" s="372"/>
      <c r="BP116" s="372">
        <f>Roles!$D$7</f>
        <v>0.12</v>
      </c>
      <c r="BQ116" s="372"/>
      <c r="BR116" s="203">
        <f t="shared" si="19"/>
        <v>0</v>
      </c>
      <c r="BS116" s="372"/>
      <c r="BT116" s="372"/>
      <c r="BU116" s="372">
        <f>Roles!$D$7</f>
        <v>0.12</v>
      </c>
      <c r="BV116" s="372"/>
      <c r="BW116" s="203">
        <f t="shared" si="20"/>
        <v>0</v>
      </c>
      <c r="BX116" s="372"/>
      <c r="BY116" s="372"/>
      <c r="BZ116" s="372">
        <f>Roles!$D$7</f>
        <v>0.12</v>
      </c>
      <c r="CA116" s="372"/>
      <c r="CB116" s="203">
        <f t="shared" si="21"/>
        <v>0</v>
      </c>
      <c r="CC116" s="372"/>
      <c r="CD116" s="372"/>
      <c r="CE116" s="372">
        <f>Roles!$D$7</f>
        <v>0.12</v>
      </c>
      <c r="CF116" s="372"/>
      <c r="CG116" s="203">
        <f t="shared" si="22"/>
        <v>0</v>
      </c>
      <c r="CH116" s="372"/>
      <c r="CI116" s="372"/>
      <c r="CJ116" s="372">
        <f>Roles!$D$7</f>
        <v>0.12</v>
      </c>
      <c r="CK116" s="372"/>
      <c r="CL116" s="203">
        <f t="shared" si="23"/>
        <v>0</v>
      </c>
      <c r="CM116" s="372"/>
      <c r="CN116" s="372"/>
      <c r="CO116" s="372">
        <f>Roles!$D$7</f>
        <v>0.12</v>
      </c>
      <c r="CP116" s="372"/>
      <c r="CQ116" s="203">
        <f t="shared" si="24"/>
        <v>0</v>
      </c>
      <c r="CR116" s="372"/>
      <c r="CS116" s="372"/>
      <c r="CT116" s="372">
        <f>Roles!$D$7</f>
        <v>0.12</v>
      </c>
      <c r="CU116" s="372"/>
      <c r="CV116" s="203">
        <f t="shared" si="25"/>
        <v>0</v>
      </c>
      <c r="CW116" s="372"/>
      <c r="CX116" s="372"/>
      <c r="CY116" s="372">
        <f>Roles!$D$7</f>
        <v>0.12</v>
      </c>
      <c r="CZ116" s="372"/>
      <c r="DA116" s="203">
        <f t="shared" si="26"/>
        <v>0</v>
      </c>
      <c r="DB116" s="372"/>
      <c r="DC116" s="372"/>
      <c r="DD116" s="372">
        <f>Roles!$D$7</f>
        <v>0.12</v>
      </c>
      <c r="DE116" s="372"/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 t="shared" si="1"/>
        <v>4</v>
      </c>
      <c r="F117" s="246">
        <f>SUM(F118:F121)</f>
        <v>17</v>
      </c>
      <c r="G117" s="105">
        <f t="shared" si="2"/>
        <v>0.01464254953</v>
      </c>
      <c r="H117" s="226">
        <f>H121</f>
        <v>0.3729543497</v>
      </c>
      <c r="I117" s="247">
        <f>SUM(I118:I121)</f>
        <v>44</v>
      </c>
      <c r="J117" s="247">
        <f>J121</f>
        <v>879</v>
      </c>
      <c r="K117" s="167">
        <f t="shared" si="3"/>
        <v>0.7724077329</v>
      </c>
      <c r="L117" s="247">
        <f>SUM(L118:L121)</f>
        <v>19.36</v>
      </c>
      <c r="M117" s="247">
        <f>M121</f>
        <v>386.76</v>
      </c>
      <c r="N117" s="7"/>
      <c r="O117" s="203">
        <f t="shared" si="7"/>
        <v>0</v>
      </c>
      <c r="P117" s="372"/>
      <c r="Q117" s="372"/>
      <c r="R117" s="372">
        <f>Roles!$D$5</f>
        <v>0.44</v>
      </c>
      <c r="S117" s="372">
        <f t="shared" si="8"/>
        <v>0</v>
      </c>
      <c r="T117" s="203">
        <f t="shared" si="9"/>
        <v>0</v>
      </c>
      <c r="U117" s="372"/>
      <c r="V117" s="372"/>
      <c r="W117" s="372">
        <f>Roles!$D$7</f>
        <v>0.12</v>
      </c>
      <c r="X117" s="372"/>
      <c r="Y117" s="203">
        <f t="shared" si="10"/>
        <v>0</v>
      </c>
      <c r="Z117" s="372"/>
      <c r="AA117" s="372"/>
      <c r="AB117" s="372">
        <f>Roles!$D$7</f>
        <v>0.12</v>
      </c>
      <c r="AC117" s="372"/>
      <c r="AD117" s="203">
        <f t="shared" si="11"/>
        <v>0</v>
      </c>
      <c r="AE117" s="372"/>
      <c r="AF117" s="372"/>
      <c r="AG117" s="372">
        <f>Roles!$D$7</f>
        <v>0.12</v>
      </c>
      <c r="AH117" s="372"/>
      <c r="AI117" s="203">
        <f t="shared" si="12"/>
        <v>0</v>
      </c>
      <c r="AJ117" s="372"/>
      <c r="AK117" s="372"/>
      <c r="AL117" s="372">
        <f>Roles!$D$7</f>
        <v>0.12</v>
      </c>
      <c r="AM117" s="372"/>
      <c r="AN117" s="203">
        <f t="shared" si="13"/>
        <v>0</v>
      </c>
      <c r="AO117" s="372"/>
      <c r="AP117" s="372"/>
      <c r="AQ117" s="372">
        <f>Roles!$D$7</f>
        <v>0.12</v>
      </c>
      <c r="AR117" s="372"/>
      <c r="AS117" s="203">
        <f t="shared" si="14"/>
        <v>0</v>
      </c>
      <c r="AT117" s="372"/>
      <c r="AU117" s="372"/>
      <c r="AV117" s="372">
        <f>Roles!$D$7</f>
        <v>0.12</v>
      </c>
      <c r="AW117" s="372"/>
      <c r="AX117" s="203">
        <f t="shared" si="15"/>
        <v>0</v>
      </c>
      <c r="AY117" s="372"/>
      <c r="AZ117" s="372"/>
      <c r="BA117" s="372">
        <f>Roles!$D$7</f>
        <v>0.12</v>
      </c>
      <c r="BB117" s="372"/>
      <c r="BC117" s="203">
        <f t="shared" si="16"/>
        <v>0</v>
      </c>
      <c r="BD117" s="372"/>
      <c r="BE117" s="372"/>
      <c r="BF117" s="372">
        <f>Roles!$D$7</f>
        <v>0.12</v>
      </c>
      <c r="BG117" s="372"/>
      <c r="BH117" s="203">
        <f t="shared" si="17"/>
        <v>0</v>
      </c>
      <c r="BI117" s="372"/>
      <c r="BJ117" s="372"/>
      <c r="BK117" s="372">
        <f>Roles!$D$7</f>
        <v>0.12</v>
      </c>
      <c r="BL117" s="372"/>
      <c r="BM117" s="203">
        <f t="shared" si="18"/>
        <v>0</v>
      </c>
      <c r="BN117" s="372"/>
      <c r="BO117" s="372"/>
      <c r="BP117" s="372">
        <f>Roles!$D$7</f>
        <v>0.12</v>
      </c>
      <c r="BQ117" s="372"/>
      <c r="BR117" s="203">
        <f t="shared" si="19"/>
        <v>0</v>
      </c>
      <c r="BS117" s="372"/>
      <c r="BT117" s="372"/>
      <c r="BU117" s="372">
        <f>Roles!$D$7</f>
        <v>0.12</v>
      </c>
      <c r="BV117" s="372"/>
      <c r="BW117" s="203">
        <f t="shared" si="20"/>
        <v>0</v>
      </c>
      <c r="BX117" s="372"/>
      <c r="BY117" s="372"/>
      <c r="BZ117" s="372">
        <f>Roles!$D$7</f>
        <v>0.12</v>
      </c>
      <c r="CA117" s="372"/>
      <c r="CB117" s="203">
        <f t="shared" si="21"/>
        <v>0</v>
      </c>
      <c r="CC117" s="372"/>
      <c r="CD117" s="372"/>
      <c r="CE117" s="372">
        <f>Roles!$D$7</f>
        <v>0.12</v>
      </c>
      <c r="CF117" s="372"/>
      <c r="CG117" s="203">
        <f t="shared" si="22"/>
        <v>0</v>
      </c>
      <c r="CH117" s="372"/>
      <c r="CI117" s="372"/>
      <c r="CJ117" s="372">
        <f>Roles!$D$7</f>
        <v>0.12</v>
      </c>
      <c r="CK117" s="372"/>
      <c r="CL117" s="203">
        <f t="shared" si="23"/>
        <v>0</v>
      </c>
      <c r="CM117" s="372"/>
      <c r="CN117" s="372"/>
      <c r="CO117" s="372">
        <f>Roles!$D$7</f>
        <v>0.12</v>
      </c>
      <c r="CP117" s="372"/>
      <c r="CQ117" s="203">
        <f t="shared" si="24"/>
        <v>0</v>
      </c>
      <c r="CR117" s="372"/>
      <c r="CS117" s="372"/>
      <c r="CT117" s="372">
        <f>Roles!$D$7</f>
        <v>0.12</v>
      </c>
      <c r="CU117" s="372"/>
      <c r="CV117" s="203">
        <f t="shared" si="25"/>
        <v>0</v>
      </c>
      <c r="CW117" s="372"/>
      <c r="CX117" s="372"/>
      <c r="CY117" s="372">
        <f>Roles!$D$7</f>
        <v>0.12</v>
      </c>
      <c r="CZ117" s="372"/>
      <c r="DA117" s="203">
        <f t="shared" si="26"/>
        <v>0</v>
      </c>
      <c r="DB117" s="372"/>
      <c r="DC117" s="372"/>
      <c r="DD117" s="372">
        <f>Roles!$D$7</f>
        <v>0.12</v>
      </c>
      <c r="DE117" s="372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 t="shared" si="1"/>
        <v>2</v>
      </c>
      <c r="F118" s="80">
        <v>4.0</v>
      </c>
      <c r="G118" s="105">
        <f t="shared" si="2"/>
        <v>0.003445305771</v>
      </c>
      <c r="H118" s="47">
        <f>H116+G118</f>
        <v>0.3617571059</v>
      </c>
      <c r="I118" s="231">
        <f t="shared" ref="I118:I121" si="110">P118+U118+Z118+AE118+AJ118+AO118+AT118+AY118+BD118+BI118+BN118+BS118+BX118+CC118+CH118+CM118+CR118+CW118+DB118</f>
        <v>12</v>
      </c>
      <c r="J118" s="172">
        <f>J116+I118</f>
        <v>847</v>
      </c>
      <c r="K118" s="115">
        <f t="shared" si="3"/>
        <v>0.744288225</v>
      </c>
      <c r="L118" s="232">
        <f t="shared" ref="L118:L121" si="111">S118+X118+AC118+AH118+AM118+AR118+AW118+BB118+BG118+BL118+BQ118+BV118+CA118+CF118+CK118+CP118+CU118+CZ118+DE118</f>
        <v>5.28</v>
      </c>
      <c r="M118" s="172">
        <f>M116+L118</f>
        <v>372.68</v>
      </c>
      <c r="N118" s="7"/>
      <c r="O118" s="203">
        <f t="shared" si="7"/>
        <v>3</v>
      </c>
      <c r="P118" s="378">
        <v>12.0</v>
      </c>
      <c r="Q118" s="372"/>
      <c r="R118" s="372">
        <f>Roles!$D$5</f>
        <v>0.44</v>
      </c>
      <c r="S118" s="372">
        <f t="shared" si="8"/>
        <v>5.28</v>
      </c>
      <c r="T118" s="203">
        <f t="shared" si="9"/>
        <v>0</v>
      </c>
      <c r="U118" s="372"/>
      <c r="V118" s="372"/>
      <c r="W118" s="372">
        <f>Roles!$D$7</f>
        <v>0.12</v>
      </c>
      <c r="X118" s="372"/>
      <c r="Y118" s="203">
        <f t="shared" si="10"/>
        <v>0</v>
      </c>
      <c r="Z118" s="372"/>
      <c r="AA118" s="372"/>
      <c r="AB118" s="372">
        <f>Roles!$D$7</f>
        <v>0.12</v>
      </c>
      <c r="AC118" s="372"/>
      <c r="AD118" s="203">
        <f t="shared" si="11"/>
        <v>0</v>
      </c>
      <c r="AE118" s="372"/>
      <c r="AF118" s="372"/>
      <c r="AG118" s="372">
        <f>Roles!$D$7</f>
        <v>0.12</v>
      </c>
      <c r="AH118" s="372"/>
      <c r="AI118" s="203">
        <f t="shared" si="12"/>
        <v>0</v>
      </c>
      <c r="AJ118" s="372"/>
      <c r="AK118" s="372"/>
      <c r="AL118" s="372">
        <f>Roles!$D$7</f>
        <v>0.12</v>
      </c>
      <c r="AM118" s="372"/>
      <c r="AN118" s="203">
        <f t="shared" si="13"/>
        <v>0</v>
      </c>
      <c r="AO118" s="372"/>
      <c r="AP118" s="372"/>
      <c r="AQ118" s="372">
        <f>Roles!$D$7</f>
        <v>0.12</v>
      </c>
      <c r="AR118" s="372"/>
      <c r="AS118" s="203">
        <f t="shared" si="14"/>
        <v>0</v>
      </c>
      <c r="AT118" s="372"/>
      <c r="AU118" s="372"/>
      <c r="AV118" s="372">
        <f>Roles!$D$7</f>
        <v>0.12</v>
      </c>
      <c r="AW118" s="372"/>
      <c r="AX118" s="203">
        <f t="shared" si="15"/>
        <v>0</v>
      </c>
      <c r="AY118" s="372"/>
      <c r="AZ118" s="372"/>
      <c r="BA118" s="372">
        <f>Roles!$D$7</f>
        <v>0.12</v>
      </c>
      <c r="BB118" s="372"/>
      <c r="BC118" s="203">
        <f t="shared" si="16"/>
        <v>0</v>
      </c>
      <c r="BD118" s="372"/>
      <c r="BE118" s="372"/>
      <c r="BF118" s="372">
        <f>Roles!$D$7</f>
        <v>0.12</v>
      </c>
      <c r="BG118" s="372"/>
      <c r="BH118" s="203">
        <f t="shared" si="17"/>
        <v>0</v>
      </c>
      <c r="BI118" s="372"/>
      <c r="BJ118" s="372"/>
      <c r="BK118" s="372">
        <f>Roles!$D$7</f>
        <v>0.12</v>
      </c>
      <c r="BL118" s="372"/>
      <c r="BM118" s="203">
        <f t="shared" si="18"/>
        <v>0</v>
      </c>
      <c r="BN118" s="372"/>
      <c r="BO118" s="372"/>
      <c r="BP118" s="372">
        <f>Roles!$D$7</f>
        <v>0.12</v>
      </c>
      <c r="BQ118" s="372"/>
      <c r="BR118" s="203">
        <f t="shared" si="19"/>
        <v>0</v>
      </c>
      <c r="BS118" s="372"/>
      <c r="BT118" s="372"/>
      <c r="BU118" s="372">
        <f>Roles!$D$7</f>
        <v>0.12</v>
      </c>
      <c r="BV118" s="372"/>
      <c r="BW118" s="203">
        <f t="shared" si="20"/>
        <v>0</v>
      </c>
      <c r="BX118" s="372"/>
      <c r="BY118" s="372"/>
      <c r="BZ118" s="372">
        <f>Roles!$D$7</f>
        <v>0.12</v>
      </c>
      <c r="CA118" s="372"/>
      <c r="CB118" s="203">
        <f t="shared" si="21"/>
        <v>0</v>
      </c>
      <c r="CC118" s="372"/>
      <c r="CD118" s="372"/>
      <c r="CE118" s="372">
        <f>Roles!$D$7</f>
        <v>0.12</v>
      </c>
      <c r="CF118" s="372"/>
      <c r="CG118" s="203">
        <f t="shared" si="22"/>
        <v>0</v>
      </c>
      <c r="CH118" s="372"/>
      <c r="CI118" s="372"/>
      <c r="CJ118" s="372">
        <f>Roles!$D$7</f>
        <v>0.12</v>
      </c>
      <c r="CK118" s="372"/>
      <c r="CL118" s="203">
        <f t="shared" si="23"/>
        <v>0</v>
      </c>
      <c r="CM118" s="372"/>
      <c r="CN118" s="372"/>
      <c r="CO118" s="372">
        <f>Roles!$D$7</f>
        <v>0.12</v>
      </c>
      <c r="CP118" s="372"/>
      <c r="CQ118" s="203">
        <f t="shared" si="24"/>
        <v>0</v>
      </c>
      <c r="CR118" s="372"/>
      <c r="CS118" s="372"/>
      <c r="CT118" s="372">
        <f>Roles!$D$7</f>
        <v>0.12</v>
      </c>
      <c r="CU118" s="372"/>
      <c r="CV118" s="203">
        <f t="shared" si="25"/>
        <v>0</v>
      </c>
      <c r="CW118" s="372"/>
      <c r="CX118" s="372"/>
      <c r="CY118" s="372">
        <f>Roles!$D$7</f>
        <v>0.12</v>
      </c>
      <c r="CZ118" s="372"/>
      <c r="DA118" s="203">
        <f t="shared" si="26"/>
        <v>0</v>
      </c>
      <c r="DB118" s="372"/>
      <c r="DC118" s="372"/>
      <c r="DD118" s="372">
        <f>Roles!$D$7</f>
        <v>0.12</v>
      </c>
      <c r="DE118" s="372"/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 t="shared" si="1"/>
        <v>1</v>
      </c>
      <c r="F119" s="80">
        <v>3.0</v>
      </c>
      <c r="G119" s="105">
        <f t="shared" si="2"/>
        <v>0.002583979328</v>
      </c>
      <c r="H119" s="47">
        <f t="shared" ref="H119:H121" si="112">H118+G119</f>
        <v>0.3643410853</v>
      </c>
      <c r="I119" s="231">
        <f t="shared" si="110"/>
        <v>6</v>
      </c>
      <c r="J119" s="172">
        <f t="shared" ref="J119:J121" si="113">J118+I119</f>
        <v>853</v>
      </c>
      <c r="K119" s="115">
        <f t="shared" si="3"/>
        <v>0.7495606327</v>
      </c>
      <c r="L119" s="232">
        <f t="shared" si="111"/>
        <v>2.64</v>
      </c>
      <c r="M119" s="172">
        <f t="shared" ref="M119:M121" si="114">M118+L119</f>
        <v>375.32</v>
      </c>
      <c r="N119" s="7"/>
      <c r="O119" s="203">
        <f t="shared" si="7"/>
        <v>2</v>
      </c>
      <c r="P119" s="378">
        <v>6.0</v>
      </c>
      <c r="Q119" s="372"/>
      <c r="R119" s="372">
        <f>Roles!$D$5</f>
        <v>0.44</v>
      </c>
      <c r="S119" s="372">
        <f t="shared" si="8"/>
        <v>2.64</v>
      </c>
      <c r="T119" s="203">
        <f t="shared" si="9"/>
        <v>0</v>
      </c>
      <c r="U119" s="372"/>
      <c r="V119" s="372"/>
      <c r="W119" s="372">
        <f>Roles!$D$7</f>
        <v>0.12</v>
      </c>
      <c r="X119" s="372"/>
      <c r="Y119" s="203">
        <f t="shared" si="10"/>
        <v>0</v>
      </c>
      <c r="Z119" s="372"/>
      <c r="AA119" s="372"/>
      <c r="AB119" s="372">
        <f>Roles!$D$7</f>
        <v>0.12</v>
      </c>
      <c r="AC119" s="372"/>
      <c r="AD119" s="203">
        <f t="shared" si="11"/>
        <v>0</v>
      </c>
      <c r="AE119" s="372"/>
      <c r="AF119" s="372"/>
      <c r="AG119" s="372">
        <f>Roles!$D$7</f>
        <v>0.12</v>
      </c>
      <c r="AH119" s="372"/>
      <c r="AI119" s="203">
        <f t="shared" si="12"/>
        <v>0</v>
      </c>
      <c r="AJ119" s="372"/>
      <c r="AK119" s="372"/>
      <c r="AL119" s="372">
        <f>Roles!$D$7</f>
        <v>0.12</v>
      </c>
      <c r="AM119" s="372"/>
      <c r="AN119" s="203">
        <f t="shared" si="13"/>
        <v>0</v>
      </c>
      <c r="AO119" s="372"/>
      <c r="AP119" s="372"/>
      <c r="AQ119" s="372">
        <f>Roles!$D$7</f>
        <v>0.12</v>
      </c>
      <c r="AR119" s="372"/>
      <c r="AS119" s="203">
        <f t="shared" si="14"/>
        <v>0</v>
      </c>
      <c r="AT119" s="372"/>
      <c r="AU119" s="372"/>
      <c r="AV119" s="372">
        <f>Roles!$D$7</f>
        <v>0.12</v>
      </c>
      <c r="AW119" s="372"/>
      <c r="AX119" s="203">
        <f t="shared" si="15"/>
        <v>0</v>
      </c>
      <c r="AY119" s="372"/>
      <c r="AZ119" s="372"/>
      <c r="BA119" s="372">
        <f>Roles!$D$7</f>
        <v>0.12</v>
      </c>
      <c r="BB119" s="372"/>
      <c r="BC119" s="203">
        <f t="shared" si="16"/>
        <v>0</v>
      </c>
      <c r="BD119" s="372"/>
      <c r="BE119" s="372"/>
      <c r="BF119" s="372">
        <f>Roles!$D$7</f>
        <v>0.12</v>
      </c>
      <c r="BG119" s="372"/>
      <c r="BH119" s="203">
        <f t="shared" si="17"/>
        <v>0</v>
      </c>
      <c r="BI119" s="372"/>
      <c r="BJ119" s="372"/>
      <c r="BK119" s="372">
        <f>Roles!$D$7</f>
        <v>0.12</v>
      </c>
      <c r="BL119" s="372"/>
      <c r="BM119" s="203">
        <f t="shared" si="18"/>
        <v>0</v>
      </c>
      <c r="BN119" s="372"/>
      <c r="BO119" s="372"/>
      <c r="BP119" s="372">
        <f>Roles!$D$7</f>
        <v>0.12</v>
      </c>
      <c r="BQ119" s="372"/>
      <c r="BR119" s="203">
        <f t="shared" si="19"/>
        <v>0</v>
      </c>
      <c r="BS119" s="372"/>
      <c r="BT119" s="372"/>
      <c r="BU119" s="372">
        <f>Roles!$D$7</f>
        <v>0.12</v>
      </c>
      <c r="BV119" s="372"/>
      <c r="BW119" s="203">
        <f t="shared" si="20"/>
        <v>0</v>
      </c>
      <c r="BX119" s="372"/>
      <c r="BY119" s="372"/>
      <c r="BZ119" s="372">
        <f>Roles!$D$7</f>
        <v>0.12</v>
      </c>
      <c r="CA119" s="372"/>
      <c r="CB119" s="203">
        <f t="shared" si="21"/>
        <v>0</v>
      </c>
      <c r="CC119" s="372"/>
      <c r="CD119" s="372"/>
      <c r="CE119" s="372">
        <f>Roles!$D$7</f>
        <v>0.12</v>
      </c>
      <c r="CF119" s="372"/>
      <c r="CG119" s="203">
        <f t="shared" si="22"/>
        <v>0</v>
      </c>
      <c r="CH119" s="372"/>
      <c r="CI119" s="372"/>
      <c r="CJ119" s="372">
        <f>Roles!$D$7</f>
        <v>0.12</v>
      </c>
      <c r="CK119" s="372"/>
      <c r="CL119" s="203">
        <f t="shared" si="23"/>
        <v>0</v>
      </c>
      <c r="CM119" s="372"/>
      <c r="CN119" s="372"/>
      <c r="CO119" s="372">
        <f>Roles!$D$7</f>
        <v>0.12</v>
      </c>
      <c r="CP119" s="372"/>
      <c r="CQ119" s="203">
        <f t="shared" si="24"/>
        <v>0</v>
      </c>
      <c r="CR119" s="372"/>
      <c r="CS119" s="372"/>
      <c r="CT119" s="372">
        <f>Roles!$D$7</f>
        <v>0.12</v>
      </c>
      <c r="CU119" s="372"/>
      <c r="CV119" s="203">
        <f t="shared" si="25"/>
        <v>0</v>
      </c>
      <c r="CW119" s="372"/>
      <c r="CX119" s="372"/>
      <c r="CY119" s="372">
        <f>Roles!$D$7</f>
        <v>0.12</v>
      </c>
      <c r="CZ119" s="372"/>
      <c r="DA119" s="203">
        <f t="shared" si="26"/>
        <v>0</v>
      </c>
      <c r="DB119" s="372"/>
      <c r="DC119" s="372"/>
      <c r="DD119" s="372">
        <f>Roles!$D$7</f>
        <v>0.12</v>
      </c>
      <c r="DE119" s="372"/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 t="shared" si="1"/>
        <v>3</v>
      </c>
      <c r="F120" s="80">
        <v>6.0</v>
      </c>
      <c r="G120" s="105">
        <f t="shared" si="2"/>
        <v>0.005167958656</v>
      </c>
      <c r="H120" s="47">
        <f t="shared" si="112"/>
        <v>0.3695090439</v>
      </c>
      <c r="I120" s="231">
        <f t="shared" si="110"/>
        <v>18</v>
      </c>
      <c r="J120" s="172">
        <f t="shared" si="113"/>
        <v>871</v>
      </c>
      <c r="K120" s="115">
        <f t="shared" si="3"/>
        <v>0.7653778559</v>
      </c>
      <c r="L120" s="232">
        <f t="shared" si="111"/>
        <v>7.92</v>
      </c>
      <c r="M120" s="172">
        <f t="shared" si="114"/>
        <v>383.24</v>
      </c>
      <c r="N120" s="7"/>
      <c r="O120" s="203">
        <f t="shared" si="7"/>
        <v>3</v>
      </c>
      <c r="P120" s="378">
        <v>18.0</v>
      </c>
      <c r="Q120" s="372"/>
      <c r="R120" s="372">
        <f>Roles!$D$5</f>
        <v>0.44</v>
      </c>
      <c r="S120" s="372">
        <f t="shared" si="8"/>
        <v>7.92</v>
      </c>
      <c r="T120" s="203">
        <f t="shared" si="9"/>
        <v>0</v>
      </c>
      <c r="U120" s="372"/>
      <c r="V120" s="372"/>
      <c r="W120" s="372">
        <f>Roles!$D$7</f>
        <v>0.12</v>
      </c>
      <c r="X120" s="372"/>
      <c r="Y120" s="203">
        <f t="shared" si="10"/>
        <v>0</v>
      </c>
      <c r="Z120" s="372"/>
      <c r="AA120" s="372"/>
      <c r="AB120" s="372">
        <f>Roles!$D$7</f>
        <v>0.12</v>
      </c>
      <c r="AC120" s="372"/>
      <c r="AD120" s="203">
        <f t="shared" si="11"/>
        <v>0</v>
      </c>
      <c r="AE120" s="372"/>
      <c r="AF120" s="372"/>
      <c r="AG120" s="372">
        <f>Roles!$D$7</f>
        <v>0.12</v>
      </c>
      <c r="AH120" s="372"/>
      <c r="AI120" s="203">
        <f t="shared" si="12"/>
        <v>0</v>
      </c>
      <c r="AJ120" s="372"/>
      <c r="AK120" s="372"/>
      <c r="AL120" s="372">
        <f>Roles!$D$7</f>
        <v>0.12</v>
      </c>
      <c r="AM120" s="372"/>
      <c r="AN120" s="203">
        <f t="shared" si="13"/>
        <v>0</v>
      </c>
      <c r="AO120" s="372"/>
      <c r="AP120" s="372"/>
      <c r="AQ120" s="372">
        <f>Roles!$D$7</f>
        <v>0.12</v>
      </c>
      <c r="AR120" s="372"/>
      <c r="AS120" s="203">
        <f t="shared" si="14"/>
        <v>0</v>
      </c>
      <c r="AT120" s="372"/>
      <c r="AU120" s="372"/>
      <c r="AV120" s="372">
        <f>Roles!$D$7</f>
        <v>0.12</v>
      </c>
      <c r="AW120" s="372"/>
      <c r="AX120" s="203">
        <f t="shared" si="15"/>
        <v>0</v>
      </c>
      <c r="AY120" s="372"/>
      <c r="AZ120" s="372"/>
      <c r="BA120" s="372">
        <f>Roles!$D$7</f>
        <v>0.12</v>
      </c>
      <c r="BB120" s="372"/>
      <c r="BC120" s="203">
        <f t="shared" si="16"/>
        <v>0</v>
      </c>
      <c r="BD120" s="372"/>
      <c r="BE120" s="372"/>
      <c r="BF120" s="372">
        <f>Roles!$D$7</f>
        <v>0.12</v>
      </c>
      <c r="BG120" s="372"/>
      <c r="BH120" s="203">
        <f t="shared" si="17"/>
        <v>0</v>
      </c>
      <c r="BI120" s="372"/>
      <c r="BJ120" s="372"/>
      <c r="BK120" s="372">
        <f>Roles!$D$7</f>
        <v>0.12</v>
      </c>
      <c r="BL120" s="372"/>
      <c r="BM120" s="203">
        <f t="shared" si="18"/>
        <v>0</v>
      </c>
      <c r="BN120" s="372"/>
      <c r="BO120" s="372"/>
      <c r="BP120" s="372">
        <f>Roles!$D$7</f>
        <v>0.12</v>
      </c>
      <c r="BQ120" s="372"/>
      <c r="BR120" s="203">
        <f t="shared" si="19"/>
        <v>0</v>
      </c>
      <c r="BS120" s="372"/>
      <c r="BT120" s="372"/>
      <c r="BU120" s="372">
        <f>Roles!$D$7</f>
        <v>0.12</v>
      </c>
      <c r="BV120" s="372"/>
      <c r="BW120" s="203">
        <f t="shared" si="20"/>
        <v>0</v>
      </c>
      <c r="BX120" s="372"/>
      <c r="BY120" s="372"/>
      <c r="BZ120" s="372">
        <f>Roles!$D$7</f>
        <v>0.12</v>
      </c>
      <c r="CA120" s="372"/>
      <c r="CB120" s="203">
        <f t="shared" si="21"/>
        <v>0</v>
      </c>
      <c r="CC120" s="372"/>
      <c r="CD120" s="372"/>
      <c r="CE120" s="372">
        <f>Roles!$D$7</f>
        <v>0.12</v>
      </c>
      <c r="CF120" s="372"/>
      <c r="CG120" s="203">
        <f t="shared" si="22"/>
        <v>0</v>
      </c>
      <c r="CH120" s="372"/>
      <c r="CI120" s="372"/>
      <c r="CJ120" s="372">
        <f>Roles!$D$7</f>
        <v>0.12</v>
      </c>
      <c r="CK120" s="372"/>
      <c r="CL120" s="203">
        <f t="shared" si="23"/>
        <v>0</v>
      </c>
      <c r="CM120" s="372"/>
      <c r="CN120" s="372"/>
      <c r="CO120" s="372">
        <f>Roles!$D$7</f>
        <v>0.12</v>
      </c>
      <c r="CP120" s="372"/>
      <c r="CQ120" s="203">
        <f t="shared" si="24"/>
        <v>0</v>
      </c>
      <c r="CR120" s="372"/>
      <c r="CS120" s="372"/>
      <c r="CT120" s="372">
        <f>Roles!$D$7</f>
        <v>0.12</v>
      </c>
      <c r="CU120" s="372"/>
      <c r="CV120" s="203">
        <f t="shared" si="25"/>
        <v>0</v>
      </c>
      <c r="CW120" s="372"/>
      <c r="CX120" s="372"/>
      <c r="CY120" s="372">
        <f>Roles!$D$7</f>
        <v>0.12</v>
      </c>
      <c r="CZ120" s="372"/>
      <c r="DA120" s="203">
        <f t="shared" si="26"/>
        <v>0</v>
      </c>
      <c r="DB120" s="372"/>
      <c r="DC120" s="372"/>
      <c r="DD120" s="372">
        <f>Roles!$D$7</f>
        <v>0.12</v>
      </c>
      <c r="DE120" s="372"/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 t="shared" si="1"/>
        <v>2</v>
      </c>
      <c r="F121" s="80">
        <v>4.0</v>
      </c>
      <c r="G121" s="105">
        <f t="shared" si="2"/>
        <v>0.003445305771</v>
      </c>
      <c r="H121" s="47">
        <f t="shared" si="112"/>
        <v>0.3729543497</v>
      </c>
      <c r="I121" s="231">
        <f t="shared" si="110"/>
        <v>8</v>
      </c>
      <c r="J121" s="172">
        <f t="shared" si="113"/>
        <v>879</v>
      </c>
      <c r="K121" s="115">
        <f t="shared" si="3"/>
        <v>0.7724077329</v>
      </c>
      <c r="L121" s="232">
        <f t="shared" si="111"/>
        <v>3.52</v>
      </c>
      <c r="M121" s="172">
        <f t="shared" si="114"/>
        <v>386.76</v>
      </c>
      <c r="N121" s="7"/>
      <c r="O121" s="203">
        <f t="shared" si="7"/>
        <v>2</v>
      </c>
      <c r="P121" s="378">
        <v>8.0</v>
      </c>
      <c r="Q121" s="372"/>
      <c r="R121" s="372">
        <f>Roles!$D$5</f>
        <v>0.44</v>
      </c>
      <c r="S121" s="372">
        <f t="shared" si="8"/>
        <v>3.52</v>
      </c>
      <c r="T121" s="203">
        <f t="shared" si="9"/>
        <v>0</v>
      </c>
      <c r="U121" s="372"/>
      <c r="V121" s="372"/>
      <c r="W121" s="372">
        <f>Roles!$D$7</f>
        <v>0.12</v>
      </c>
      <c r="X121" s="372"/>
      <c r="Y121" s="203">
        <f t="shared" si="10"/>
        <v>0</v>
      </c>
      <c r="Z121" s="372"/>
      <c r="AA121" s="372"/>
      <c r="AB121" s="372">
        <f>Roles!$D$7</f>
        <v>0.12</v>
      </c>
      <c r="AC121" s="372"/>
      <c r="AD121" s="203">
        <f t="shared" si="11"/>
        <v>0</v>
      </c>
      <c r="AE121" s="372"/>
      <c r="AF121" s="372"/>
      <c r="AG121" s="372">
        <f>Roles!$D$7</f>
        <v>0.12</v>
      </c>
      <c r="AH121" s="372"/>
      <c r="AI121" s="203">
        <f t="shared" si="12"/>
        <v>0</v>
      </c>
      <c r="AJ121" s="372"/>
      <c r="AK121" s="372"/>
      <c r="AL121" s="372">
        <f>Roles!$D$7</f>
        <v>0.12</v>
      </c>
      <c r="AM121" s="372"/>
      <c r="AN121" s="203">
        <f t="shared" si="13"/>
        <v>0</v>
      </c>
      <c r="AO121" s="372"/>
      <c r="AP121" s="372"/>
      <c r="AQ121" s="372">
        <f>Roles!$D$7</f>
        <v>0.12</v>
      </c>
      <c r="AR121" s="372"/>
      <c r="AS121" s="203">
        <f t="shared" si="14"/>
        <v>0</v>
      </c>
      <c r="AT121" s="372"/>
      <c r="AU121" s="372"/>
      <c r="AV121" s="372">
        <f>Roles!$D$7</f>
        <v>0.12</v>
      </c>
      <c r="AW121" s="372"/>
      <c r="AX121" s="203">
        <f t="shared" si="15"/>
        <v>0</v>
      </c>
      <c r="AY121" s="372"/>
      <c r="AZ121" s="372"/>
      <c r="BA121" s="372">
        <f>Roles!$D$7</f>
        <v>0.12</v>
      </c>
      <c r="BB121" s="372"/>
      <c r="BC121" s="203">
        <f t="shared" si="16"/>
        <v>0</v>
      </c>
      <c r="BD121" s="372"/>
      <c r="BE121" s="372"/>
      <c r="BF121" s="372">
        <f>Roles!$D$7</f>
        <v>0.12</v>
      </c>
      <c r="BG121" s="372"/>
      <c r="BH121" s="203">
        <f t="shared" si="17"/>
        <v>0</v>
      </c>
      <c r="BI121" s="372"/>
      <c r="BJ121" s="372"/>
      <c r="BK121" s="372">
        <f>Roles!$D$7</f>
        <v>0.12</v>
      </c>
      <c r="BL121" s="372"/>
      <c r="BM121" s="203">
        <f t="shared" si="18"/>
        <v>0</v>
      </c>
      <c r="BN121" s="372"/>
      <c r="BO121" s="372"/>
      <c r="BP121" s="372">
        <f>Roles!$D$7</f>
        <v>0.12</v>
      </c>
      <c r="BQ121" s="372"/>
      <c r="BR121" s="203">
        <f t="shared" si="19"/>
        <v>0</v>
      </c>
      <c r="BS121" s="372"/>
      <c r="BT121" s="372"/>
      <c r="BU121" s="372">
        <f>Roles!$D$7</f>
        <v>0.12</v>
      </c>
      <c r="BV121" s="372"/>
      <c r="BW121" s="203">
        <f t="shared" si="20"/>
        <v>0</v>
      </c>
      <c r="BX121" s="372"/>
      <c r="BY121" s="372"/>
      <c r="BZ121" s="372">
        <f>Roles!$D$7</f>
        <v>0.12</v>
      </c>
      <c r="CA121" s="372"/>
      <c r="CB121" s="203">
        <f t="shared" si="21"/>
        <v>0</v>
      </c>
      <c r="CC121" s="372"/>
      <c r="CD121" s="372"/>
      <c r="CE121" s="372">
        <f>Roles!$D$7</f>
        <v>0.12</v>
      </c>
      <c r="CF121" s="372"/>
      <c r="CG121" s="203">
        <f t="shared" si="22"/>
        <v>0</v>
      </c>
      <c r="CH121" s="372"/>
      <c r="CI121" s="372"/>
      <c r="CJ121" s="372">
        <f>Roles!$D$7</f>
        <v>0.12</v>
      </c>
      <c r="CK121" s="372"/>
      <c r="CL121" s="203">
        <f t="shared" si="23"/>
        <v>0</v>
      </c>
      <c r="CM121" s="372"/>
      <c r="CN121" s="372"/>
      <c r="CO121" s="372">
        <f>Roles!$D$7</f>
        <v>0.12</v>
      </c>
      <c r="CP121" s="372"/>
      <c r="CQ121" s="203">
        <f t="shared" si="24"/>
        <v>0</v>
      </c>
      <c r="CR121" s="372"/>
      <c r="CS121" s="372"/>
      <c r="CT121" s="372">
        <f>Roles!$D$7</f>
        <v>0.12</v>
      </c>
      <c r="CU121" s="372"/>
      <c r="CV121" s="203">
        <f t="shared" si="25"/>
        <v>0</v>
      </c>
      <c r="CW121" s="372"/>
      <c r="CX121" s="372"/>
      <c r="CY121" s="372">
        <f>Roles!$D$7</f>
        <v>0.12</v>
      </c>
      <c r="CZ121" s="372"/>
      <c r="DA121" s="203">
        <f t="shared" si="26"/>
        <v>0</v>
      </c>
      <c r="DB121" s="372"/>
      <c r="DC121" s="372"/>
      <c r="DD121" s="372">
        <f>Roles!$D$7</f>
        <v>0.12</v>
      </c>
      <c r="DE121" s="372"/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 t="shared" si="1"/>
        <v>6</v>
      </c>
      <c r="F122" s="246">
        <f>SUM(F123:F126)</f>
        <v>12</v>
      </c>
      <c r="G122" s="105">
        <f t="shared" si="2"/>
        <v>0.01033591731</v>
      </c>
      <c r="H122" s="226">
        <f>H126</f>
        <v>0.383290267</v>
      </c>
      <c r="I122" s="247">
        <f>SUM(I123:I126)</f>
        <v>2</v>
      </c>
      <c r="J122" s="247">
        <f>J126</f>
        <v>881</v>
      </c>
      <c r="K122" s="167">
        <f t="shared" si="3"/>
        <v>0.7741652021</v>
      </c>
      <c r="L122" s="247">
        <f>SUM(L123:L126)</f>
        <v>0.88</v>
      </c>
      <c r="M122" s="247">
        <f>M126</f>
        <v>387.64</v>
      </c>
      <c r="N122" s="7"/>
      <c r="O122" s="203">
        <f t="shared" si="7"/>
        <v>0</v>
      </c>
      <c r="P122" s="372"/>
      <c r="Q122" s="372"/>
      <c r="R122" s="372">
        <f>Roles!$D$5</f>
        <v>0.44</v>
      </c>
      <c r="S122" s="372">
        <f t="shared" si="8"/>
        <v>0</v>
      </c>
      <c r="T122" s="203">
        <f t="shared" si="9"/>
        <v>0</v>
      </c>
      <c r="U122" s="372"/>
      <c r="V122" s="372"/>
      <c r="W122" s="372">
        <f>Roles!$D$7</f>
        <v>0.12</v>
      </c>
      <c r="X122" s="372"/>
      <c r="Y122" s="203">
        <f t="shared" si="10"/>
        <v>0</v>
      </c>
      <c r="Z122" s="372"/>
      <c r="AA122" s="372"/>
      <c r="AB122" s="372">
        <f>Roles!$D$7</f>
        <v>0.12</v>
      </c>
      <c r="AC122" s="372"/>
      <c r="AD122" s="203">
        <f t="shared" si="11"/>
        <v>0</v>
      </c>
      <c r="AE122" s="372"/>
      <c r="AF122" s="372"/>
      <c r="AG122" s="372">
        <f>Roles!$D$7</f>
        <v>0.12</v>
      </c>
      <c r="AH122" s="372"/>
      <c r="AI122" s="203">
        <f t="shared" si="12"/>
        <v>0</v>
      </c>
      <c r="AJ122" s="372"/>
      <c r="AK122" s="372"/>
      <c r="AL122" s="372">
        <f>Roles!$D$7</f>
        <v>0.12</v>
      </c>
      <c r="AM122" s="372"/>
      <c r="AN122" s="203">
        <f t="shared" si="13"/>
        <v>0</v>
      </c>
      <c r="AO122" s="372"/>
      <c r="AP122" s="372"/>
      <c r="AQ122" s="372">
        <f>Roles!$D$7</f>
        <v>0.12</v>
      </c>
      <c r="AR122" s="372"/>
      <c r="AS122" s="203">
        <f t="shared" si="14"/>
        <v>0</v>
      </c>
      <c r="AT122" s="372"/>
      <c r="AU122" s="372"/>
      <c r="AV122" s="372">
        <f>Roles!$D$7</f>
        <v>0.12</v>
      </c>
      <c r="AW122" s="372"/>
      <c r="AX122" s="203">
        <f t="shared" si="15"/>
        <v>0</v>
      </c>
      <c r="AY122" s="372"/>
      <c r="AZ122" s="372"/>
      <c r="BA122" s="372">
        <f>Roles!$D$7</f>
        <v>0.12</v>
      </c>
      <c r="BB122" s="372"/>
      <c r="BC122" s="203">
        <f t="shared" si="16"/>
        <v>0</v>
      </c>
      <c r="BD122" s="372"/>
      <c r="BE122" s="372"/>
      <c r="BF122" s="372">
        <f>Roles!$D$7</f>
        <v>0.12</v>
      </c>
      <c r="BG122" s="372"/>
      <c r="BH122" s="203">
        <f t="shared" si="17"/>
        <v>0</v>
      </c>
      <c r="BI122" s="372"/>
      <c r="BJ122" s="372"/>
      <c r="BK122" s="372">
        <f>Roles!$D$7</f>
        <v>0.12</v>
      </c>
      <c r="BL122" s="372"/>
      <c r="BM122" s="203">
        <f t="shared" si="18"/>
        <v>0</v>
      </c>
      <c r="BN122" s="372"/>
      <c r="BO122" s="372"/>
      <c r="BP122" s="372">
        <f>Roles!$D$7</f>
        <v>0.12</v>
      </c>
      <c r="BQ122" s="372"/>
      <c r="BR122" s="203">
        <f t="shared" si="19"/>
        <v>0</v>
      </c>
      <c r="BS122" s="372"/>
      <c r="BT122" s="372"/>
      <c r="BU122" s="372">
        <f>Roles!$D$7</f>
        <v>0.12</v>
      </c>
      <c r="BV122" s="372"/>
      <c r="BW122" s="203">
        <f t="shared" si="20"/>
        <v>0</v>
      </c>
      <c r="BX122" s="372"/>
      <c r="BY122" s="372"/>
      <c r="BZ122" s="372">
        <f>Roles!$D$7</f>
        <v>0.12</v>
      </c>
      <c r="CA122" s="372"/>
      <c r="CB122" s="203">
        <f t="shared" si="21"/>
        <v>0</v>
      </c>
      <c r="CC122" s="372"/>
      <c r="CD122" s="372"/>
      <c r="CE122" s="372">
        <f>Roles!$D$7</f>
        <v>0.12</v>
      </c>
      <c r="CF122" s="372"/>
      <c r="CG122" s="203">
        <f t="shared" si="22"/>
        <v>0</v>
      </c>
      <c r="CH122" s="372"/>
      <c r="CI122" s="372"/>
      <c r="CJ122" s="372">
        <f>Roles!$D$7</f>
        <v>0.12</v>
      </c>
      <c r="CK122" s="372"/>
      <c r="CL122" s="203">
        <f t="shared" si="23"/>
        <v>0</v>
      </c>
      <c r="CM122" s="372"/>
      <c r="CN122" s="372"/>
      <c r="CO122" s="372">
        <f>Roles!$D$7</f>
        <v>0.12</v>
      </c>
      <c r="CP122" s="372"/>
      <c r="CQ122" s="203">
        <f t="shared" si="24"/>
        <v>0</v>
      </c>
      <c r="CR122" s="372"/>
      <c r="CS122" s="372"/>
      <c r="CT122" s="372">
        <f>Roles!$D$7</f>
        <v>0.12</v>
      </c>
      <c r="CU122" s="372"/>
      <c r="CV122" s="203">
        <f t="shared" si="25"/>
        <v>0</v>
      </c>
      <c r="CW122" s="372"/>
      <c r="CX122" s="372"/>
      <c r="CY122" s="372">
        <f>Roles!$D$7</f>
        <v>0.12</v>
      </c>
      <c r="CZ122" s="372"/>
      <c r="DA122" s="203">
        <f t="shared" si="26"/>
        <v>0</v>
      </c>
      <c r="DB122" s="372"/>
      <c r="DC122" s="372"/>
      <c r="DD122" s="372">
        <f>Roles!$D$7</f>
        <v>0.12</v>
      </c>
      <c r="DE122" s="372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 t="shared" si="1"/>
        <v>2</v>
      </c>
      <c r="F123" s="80">
        <v>4.0</v>
      </c>
      <c r="G123" s="105">
        <f t="shared" si="2"/>
        <v>0.003445305771</v>
      </c>
      <c r="H123" s="47">
        <f>H121+G123</f>
        <v>0.3763996555</v>
      </c>
      <c r="I123" s="231">
        <f t="shared" ref="I123:I126" si="115">P123+U123+Z123+AE123+AJ123+AO123+AT123+AY123+BD123+BI123+BN123+BS123+BX123+CC123+CH123+CM123+CR123+CW123+DB123</f>
        <v>2</v>
      </c>
      <c r="J123" s="172">
        <f>J121+I123</f>
        <v>881</v>
      </c>
      <c r="K123" s="115">
        <f t="shared" si="3"/>
        <v>0.7741652021</v>
      </c>
      <c r="L123" s="232">
        <f t="shared" ref="L123:L126" si="116">S123+X123+AC123+AH123+AM123+AR123+AW123+BB123+BG123+BL123+BQ123+BV123+CA123+CF123+CK123+CP123+CU123+CZ123+DE123</f>
        <v>0.88</v>
      </c>
      <c r="M123" s="172">
        <f>M121+L123</f>
        <v>387.64</v>
      </c>
      <c r="N123" s="7"/>
      <c r="O123" s="203">
        <f t="shared" si="7"/>
        <v>0.5</v>
      </c>
      <c r="P123" s="378">
        <v>2.0</v>
      </c>
      <c r="Q123" s="372"/>
      <c r="R123" s="372">
        <f>Roles!$D$5</f>
        <v>0.44</v>
      </c>
      <c r="S123" s="372">
        <f t="shared" si="8"/>
        <v>0.88</v>
      </c>
      <c r="T123" s="203">
        <f t="shared" si="9"/>
        <v>0</v>
      </c>
      <c r="U123" s="372"/>
      <c r="V123" s="372"/>
      <c r="W123" s="372">
        <f>Roles!$D$7</f>
        <v>0.12</v>
      </c>
      <c r="X123" s="372"/>
      <c r="Y123" s="203">
        <f t="shared" si="10"/>
        <v>0</v>
      </c>
      <c r="Z123" s="372"/>
      <c r="AA123" s="372"/>
      <c r="AB123" s="372">
        <f>Roles!$D$7</f>
        <v>0.12</v>
      </c>
      <c r="AC123" s="372"/>
      <c r="AD123" s="203">
        <f t="shared" si="11"/>
        <v>0</v>
      </c>
      <c r="AE123" s="372"/>
      <c r="AF123" s="372"/>
      <c r="AG123" s="372">
        <f>Roles!$D$7</f>
        <v>0.12</v>
      </c>
      <c r="AH123" s="372"/>
      <c r="AI123" s="203">
        <f t="shared" si="12"/>
        <v>0</v>
      </c>
      <c r="AJ123" s="372"/>
      <c r="AK123" s="372"/>
      <c r="AL123" s="372">
        <f>Roles!$D$7</f>
        <v>0.12</v>
      </c>
      <c r="AM123" s="372"/>
      <c r="AN123" s="203">
        <f t="shared" si="13"/>
        <v>0</v>
      </c>
      <c r="AO123" s="372"/>
      <c r="AP123" s="372"/>
      <c r="AQ123" s="372">
        <f>Roles!$D$7</f>
        <v>0.12</v>
      </c>
      <c r="AR123" s="372"/>
      <c r="AS123" s="203">
        <f t="shared" si="14"/>
        <v>0</v>
      </c>
      <c r="AT123" s="372"/>
      <c r="AU123" s="372"/>
      <c r="AV123" s="372">
        <f>Roles!$D$7</f>
        <v>0.12</v>
      </c>
      <c r="AW123" s="372"/>
      <c r="AX123" s="203">
        <f t="shared" si="15"/>
        <v>0</v>
      </c>
      <c r="AY123" s="372"/>
      <c r="AZ123" s="372"/>
      <c r="BA123" s="372">
        <f>Roles!$D$7</f>
        <v>0.12</v>
      </c>
      <c r="BB123" s="372"/>
      <c r="BC123" s="203">
        <f t="shared" si="16"/>
        <v>0</v>
      </c>
      <c r="BD123" s="372"/>
      <c r="BE123" s="372"/>
      <c r="BF123" s="372">
        <f>Roles!$D$7</f>
        <v>0.12</v>
      </c>
      <c r="BG123" s="372"/>
      <c r="BH123" s="203">
        <f t="shared" si="17"/>
        <v>0</v>
      </c>
      <c r="BI123" s="372"/>
      <c r="BJ123" s="372"/>
      <c r="BK123" s="372">
        <f>Roles!$D$7</f>
        <v>0.12</v>
      </c>
      <c r="BL123" s="372"/>
      <c r="BM123" s="203">
        <f t="shared" si="18"/>
        <v>0</v>
      </c>
      <c r="BN123" s="372"/>
      <c r="BO123" s="372"/>
      <c r="BP123" s="372">
        <f>Roles!$D$7</f>
        <v>0.12</v>
      </c>
      <c r="BQ123" s="372"/>
      <c r="BR123" s="203">
        <f t="shared" si="19"/>
        <v>0</v>
      </c>
      <c r="BS123" s="372"/>
      <c r="BT123" s="372"/>
      <c r="BU123" s="372">
        <f>Roles!$D$7</f>
        <v>0.12</v>
      </c>
      <c r="BV123" s="372"/>
      <c r="BW123" s="203">
        <f t="shared" si="20"/>
        <v>0</v>
      </c>
      <c r="BX123" s="372"/>
      <c r="BY123" s="372"/>
      <c r="BZ123" s="372">
        <f>Roles!$D$7</f>
        <v>0.12</v>
      </c>
      <c r="CA123" s="372"/>
      <c r="CB123" s="203">
        <f t="shared" si="21"/>
        <v>0</v>
      </c>
      <c r="CC123" s="372"/>
      <c r="CD123" s="372"/>
      <c r="CE123" s="372">
        <f>Roles!$D$7</f>
        <v>0.12</v>
      </c>
      <c r="CF123" s="372"/>
      <c r="CG123" s="203">
        <f t="shared" si="22"/>
        <v>0</v>
      </c>
      <c r="CH123" s="372"/>
      <c r="CI123" s="372"/>
      <c r="CJ123" s="372">
        <f>Roles!$D$7</f>
        <v>0.12</v>
      </c>
      <c r="CK123" s="372"/>
      <c r="CL123" s="203">
        <f t="shared" si="23"/>
        <v>0</v>
      </c>
      <c r="CM123" s="372"/>
      <c r="CN123" s="372"/>
      <c r="CO123" s="372">
        <f>Roles!$D$7</f>
        <v>0.12</v>
      </c>
      <c r="CP123" s="372"/>
      <c r="CQ123" s="203">
        <f t="shared" si="24"/>
        <v>0</v>
      </c>
      <c r="CR123" s="372"/>
      <c r="CS123" s="372"/>
      <c r="CT123" s="372">
        <f>Roles!$D$7</f>
        <v>0.12</v>
      </c>
      <c r="CU123" s="372"/>
      <c r="CV123" s="203">
        <f t="shared" si="25"/>
        <v>0</v>
      </c>
      <c r="CW123" s="372"/>
      <c r="CX123" s="372"/>
      <c r="CY123" s="372">
        <f>Roles!$D$7</f>
        <v>0.12</v>
      </c>
      <c r="CZ123" s="372"/>
      <c r="DA123" s="203">
        <f t="shared" si="26"/>
        <v>0</v>
      </c>
      <c r="DB123" s="372"/>
      <c r="DC123" s="372"/>
      <c r="DD123" s="372">
        <f>Roles!$D$7</f>
        <v>0.12</v>
      </c>
      <c r="DE123" s="372"/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 t="shared" si="1"/>
        <v>2</v>
      </c>
      <c r="F124" s="80">
        <v>3.0</v>
      </c>
      <c r="G124" s="105">
        <f t="shared" si="2"/>
        <v>0.002583979328</v>
      </c>
      <c r="H124" s="47">
        <f t="shared" ref="H124:H126" si="117">H123+G124</f>
        <v>0.3789836348</v>
      </c>
      <c r="I124" s="231">
        <f t="shared" si="115"/>
        <v>0</v>
      </c>
      <c r="J124" s="172">
        <f t="shared" ref="J124:J126" si="118">J123+I124</f>
        <v>881</v>
      </c>
      <c r="K124" s="115">
        <f t="shared" si="3"/>
        <v>0.7741652021</v>
      </c>
      <c r="L124" s="232">
        <f t="shared" si="116"/>
        <v>0</v>
      </c>
      <c r="M124" s="172">
        <f t="shared" ref="M124:M126" si="119">M123+L124</f>
        <v>387.64</v>
      </c>
      <c r="N124" s="7"/>
      <c r="O124" s="203">
        <f t="shared" si="7"/>
        <v>0</v>
      </c>
      <c r="P124" s="378">
        <v>0.0</v>
      </c>
      <c r="Q124" s="372"/>
      <c r="R124" s="372">
        <f>Roles!$D$5</f>
        <v>0.44</v>
      </c>
      <c r="S124" s="372">
        <f t="shared" si="8"/>
        <v>0</v>
      </c>
      <c r="T124" s="203">
        <f t="shared" si="9"/>
        <v>0</v>
      </c>
      <c r="U124" s="372"/>
      <c r="V124" s="372"/>
      <c r="W124" s="372">
        <f>Roles!$D$7</f>
        <v>0.12</v>
      </c>
      <c r="X124" s="372"/>
      <c r="Y124" s="203">
        <f t="shared" si="10"/>
        <v>0</v>
      </c>
      <c r="Z124" s="372"/>
      <c r="AA124" s="372"/>
      <c r="AB124" s="372">
        <f>Roles!$D$7</f>
        <v>0.12</v>
      </c>
      <c r="AC124" s="372"/>
      <c r="AD124" s="203">
        <f t="shared" si="11"/>
        <v>0</v>
      </c>
      <c r="AE124" s="372"/>
      <c r="AF124" s="372"/>
      <c r="AG124" s="372">
        <f>Roles!$D$7</f>
        <v>0.12</v>
      </c>
      <c r="AH124" s="372"/>
      <c r="AI124" s="203">
        <f t="shared" si="12"/>
        <v>0</v>
      </c>
      <c r="AJ124" s="372"/>
      <c r="AK124" s="372"/>
      <c r="AL124" s="372">
        <f>Roles!$D$7</f>
        <v>0.12</v>
      </c>
      <c r="AM124" s="372"/>
      <c r="AN124" s="203">
        <f t="shared" si="13"/>
        <v>0</v>
      </c>
      <c r="AO124" s="372"/>
      <c r="AP124" s="372"/>
      <c r="AQ124" s="372">
        <f>Roles!$D$7</f>
        <v>0.12</v>
      </c>
      <c r="AR124" s="372"/>
      <c r="AS124" s="203">
        <f t="shared" si="14"/>
        <v>0</v>
      </c>
      <c r="AT124" s="372"/>
      <c r="AU124" s="372"/>
      <c r="AV124" s="372">
        <f>Roles!$D$7</f>
        <v>0.12</v>
      </c>
      <c r="AW124" s="372"/>
      <c r="AX124" s="203">
        <f t="shared" si="15"/>
        <v>0</v>
      </c>
      <c r="AY124" s="372"/>
      <c r="AZ124" s="372"/>
      <c r="BA124" s="372">
        <f>Roles!$D$7</f>
        <v>0.12</v>
      </c>
      <c r="BB124" s="372"/>
      <c r="BC124" s="203">
        <f t="shared" si="16"/>
        <v>0</v>
      </c>
      <c r="BD124" s="372"/>
      <c r="BE124" s="372"/>
      <c r="BF124" s="372">
        <f>Roles!$D$7</f>
        <v>0.12</v>
      </c>
      <c r="BG124" s="372"/>
      <c r="BH124" s="203">
        <f t="shared" si="17"/>
        <v>0</v>
      </c>
      <c r="BI124" s="372"/>
      <c r="BJ124" s="372"/>
      <c r="BK124" s="372">
        <f>Roles!$D$7</f>
        <v>0.12</v>
      </c>
      <c r="BL124" s="372"/>
      <c r="BM124" s="203">
        <f t="shared" si="18"/>
        <v>0</v>
      </c>
      <c r="BN124" s="372"/>
      <c r="BO124" s="372"/>
      <c r="BP124" s="372">
        <f>Roles!$D$7</f>
        <v>0.12</v>
      </c>
      <c r="BQ124" s="372"/>
      <c r="BR124" s="203">
        <f t="shared" si="19"/>
        <v>0</v>
      </c>
      <c r="BS124" s="372"/>
      <c r="BT124" s="372"/>
      <c r="BU124" s="372">
        <f>Roles!$D$7</f>
        <v>0.12</v>
      </c>
      <c r="BV124" s="372"/>
      <c r="BW124" s="203">
        <f t="shared" si="20"/>
        <v>0</v>
      </c>
      <c r="BX124" s="372"/>
      <c r="BY124" s="372"/>
      <c r="BZ124" s="372">
        <f>Roles!$D$7</f>
        <v>0.12</v>
      </c>
      <c r="CA124" s="372"/>
      <c r="CB124" s="203">
        <f t="shared" si="21"/>
        <v>0</v>
      </c>
      <c r="CC124" s="372"/>
      <c r="CD124" s="372"/>
      <c r="CE124" s="372">
        <f>Roles!$D$7</f>
        <v>0.12</v>
      </c>
      <c r="CF124" s="372"/>
      <c r="CG124" s="203">
        <f t="shared" si="22"/>
        <v>0</v>
      </c>
      <c r="CH124" s="372"/>
      <c r="CI124" s="372"/>
      <c r="CJ124" s="372">
        <f>Roles!$D$7</f>
        <v>0.12</v>
      </c>
      <c r="CK124" s="372"/>
      <c r="CL124" s="203">
        <f t="shared" si="23"/>
        <v>0</v>
      </c>
      <c r="CM124" s="372"/>
      <c r="CN124" s="372"/>
      <c r="CO124" s="372">
        <f>Roles!$D$7</f>
        <v>0.12</v>
      </c>
      <c r="CP124" s="372"/>
      <c r="CQ124" s="203">
        <f t="shared" si="24"/>
        <v>0</v>
      </c>
      <c r="CR124" s="372"/>
      <c r="CS124" s="372"/>
      <c r="CT124" s="372">
        <f>Roles!$D$7</f>
        <v>0.12</v>
      </c>
      <c r="CU124" s="372"/>
      <c r="CV124" s="203">
        <f t="shared" si="25"/>
        <v>0</v>
      </c>
      <c r="CW124" s="372"/>
      <c r="CX124" s="372"/>
      <c r="CY124" s="372">
        <f>Roles!$D$7</f>
        <v>0.12</v>
      </c>
      <c r="CZ124" s="372"/>
      <c r="DA124" s="203">
        <f t="shared" si="26"/>
        <v>0</v>
      </c>
      <c r="DB124" s="372"/>
      <c r="DC124" s="372"/>
      <c r="DD124" s="372">
        <f>Roles!$D$7</f>
        <v>0.12</v>
      </c>
      <c r="DE124" s="372"/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 t="shared" si="1"/>
        <v>2</v>
      </c>
      <c r="F125" s="80">
        <v>3.0</v>
      </c>
      <c r="G125" s="105">
        <f t="shared" si="2"/>
        <v>0.002583979328</v>
      </c>
      <c r="H125" s="47">
        <f t="shared" si="117"/>
        <v>0.3815676141</v>
      </c>
      <c r="I125" s="231">
        <f t="shared" si="115"/>
        <v>0</v>
      </c>
      <c r="J125" s="172">
        <f t="shared" si="118"/>
        <v>881</v>
      </c>
      <c r="K125" s="115">
        <f t="shared" si="3"/>
        <v>0.7741652021</v>
      </c>
      <c r="L125" s="232">
        <f t="shared" si="116"/>
        <v>0</v>
      </c>
      <c r="M125" s="172">
        <f t="shared" si="119"/>
        <v>387.64</v>
      </c>
      <c r="N125" s="7"/>
      <c r="O125" s="203">
        <f t="shared" si="7"/>
        <v>0</v>
      </c>
      <c r="P125" s="378">
        <v>0.0</v>
      </c>
      <c r="Q125" s="372"/>
      <c r="R125" s="372">
        <f>Roles!$D$5</f>
        <v>0.44</v>
      </c>
      <c r="S125" s="372">
        <f t="shared" si="8"/>
        <v>0</v>
      </c>
      <c r="T125" s="203">
        <f t="shared" si="9"/>
        <v>0</v>
      </c>
      <c r="U125" s="372"/>
      <c r="V125" s="372"/>
      <c r="W125" s="372">
        <f>Roles!$D$7</f>
        <v>0.12</v>
      </c>
      <c r="X125" s="372"/>
      <c r="Y125" s="203">
        <f t="shared" si="10"/>
        <v>0</v>
      </c>
      <c r="Z125" s="372"/>
      <c r="AA125" s="372"/>
      <c r="AB125" s="372">
        <f>Roles!$D$7</f>
        <v>0.12</v>
      </c>
      <c r="AC125" s="372"/>
      <c r="AD125" s="203">
        <f t="shared" si="11"/>
        <v>0</v>
      </c>
      <c r="AE125" s="372"/>
      <c r="AF125" s="372"/>
      <c r="AG125" s="372">
        <f>Roles!$D$7</f>
        <v>0.12</v>
      </c>
      <c r="AH125" s="372"/>
      <c r="AI125" s="203">
        <f t="shared" si="12"/>
        <v>0</v>
      </c>
      <c r="AJ125" s="372"/>
      <c r="AK125" s="372"/>
      <c r="AL125" s="372">
        <f>Roles!$D$7</f>
        <v>0.12</v>
      </c>
      <c r="AM125" s="372"/>
      <c r="AN125" s="203">
        <f t="shared" si="13"/>
        <v>0</v>
      </c>
      <c r="AO125" s="372"/>
      <c r="AP125" s="372"/>
      <c r="AQ125" s="372">
        <f>Roles!$D$7</f>
        <v>0.12</v>
      </c>
      <c r="AR125" s="372"/>
      <c r="AS125" s="203">
        <f t="shared" si="14"/>
        <v>0</v>
      </c>
      <c r="AT125" s="372"/>
      <c r="AU125" s="372"/>
      <c r="AV125" s="372">
        <f>Roles!$D$7</f>
        <v>0.12</v>
      </c>
      <c r="AW125" s="372"/>
      <c r="AX125" s="203">
        <f t="shared" si="15"/>
        <v>0</v>
      </c>
      <c r="AY125" s="372"/>
      <c r="AZ125" s="372"/>
      <c r="BA125" s="372">
        <f>Roles!$D$7</f>
        <v>0.12</v>
      </c>
      <c r="BB125" s="372"/>
      <c r="BC125" s="203">
        <f t="shared" si="16"/>
        <v>0</v>
      </c>
      <c r="BD125" s="372"/>
      <c r="BE125" s="372"/>
      <c r="BF125" s="372">
        <f>Roles!$D$7</f>
        <v>0.12</v>
      </c>
      <c r="BG125" s="372"/>
      <c r="BH125" s="203">
        <f t="shared" si="17"/>
        <v>0</v>
      </c>
      <c r="BI125" s="372"/>
      <c r="BJ125" s="372"/>
      <c r="BK125" s="372">
        <f>Roles!$D$7</f>
        <v>0.12</v>
      </c>
      <c r="BL125" s="372"/>
      <c r="BM125" s="203">
        <f t="shared" si="18"/>
        <v>0</v>
      </c>
      <c r="BN125" s="372"/>
      <c r="BO125" s="372"/>
      <c r="BP125" s="372">
        <f>Roles!$D$7</f>
        <v>0.12</v>
      </c>
      <c r="BQ125" s="372"/>
      <c r="BR125" s="203">
        <f t="shared" si="19"/>
        <v>0</v>
      </c>
      <c r="BS125" s="372"/>
      <c r="BT125" s="372"/>
      <c r="BU125" s="372">
        <f>Roles!$D$7</f>
        <v>0.12</v>
      </c>
      <c r="BV125" s="372"/>
      <c r="BW125" s="203">
        <f t="shared" si="20"/>
        <v>0</v>
      </c>
      <c r="BX125" s="372"/>
      <c r="BY125" s="372"/>
      <c r="BZ125" s="372">
        <f>Roles!$D$7</f>
        <v>0.12</v>
      </c>
      <c r="CA125" s="372"/>
      <c r="CB125" s="203">
        <f t="shared" si="21"/>
        <v>0</v>
      </c>
      <c r="CC125" s="372"/>
      <c r="CD125" s="372"/>
      <c r="CE125" s="372">
        <f>Roles!$D$7</f>
        <v>0.12</v>
      </c>
      <c r="CF125" s="372"/>
      <c r="CG125" s="203">
        <f t="shared" si="22"/>
        <v>0</v>
      </c>
      <c r="CH125" s="372"/>
      <c r="CI125" s="372"/>
      <c r="CJ125" s="372">
        <f>Roles!$D$7</f>
        <v>0.12</v>
      </c>
      <c r="CK125" s="372"/>
      <c r="CL125" s="203">
        <f t="shared" si="23"/>
        <v>0</v>
      </c>
      <c r="CM125" s="372"/>
      <c r="CN125" s="372"/>
      <c r="CO125" s="372">
        <f>Roles!$D$7</f>
        <v>0.12</v>
      </c>
      <c r="CP125" s="372"/>
      <c r="CQ125" s="203">
        <f t="shared" si="24"/>
        <v>0</v>
      </c>
      <c r="CR125" s="372"/>
      <c r="CS125" s="372"/>
      <c r="CT125" s="372">
        <f>Roles!$D$7</f>
        <v>0.12</v>
      </c>
      <c r="CU125" s="372"/>
      <c r="CV125" s="203">
        <f t="shared" si="25"/>
        <v>0</v>
      </c>
      <c r="CW125" s="372"/>
      <c r="CX125" s="372"/>
      <c r="CY125" s="372">
        <f>Roles!$D$7</f>
        <v>0.12</v>
      </c>
      <c r="CZ125" s="372"/>
      <c r="DA125" s="203">
        <f t="shared" si="26"/>
        <v>0</v>
      </c>
      <c r="DB125" s="372"/>
      <c r="DC125" s="372"/>
      <c r="DD125" s="372">
        <f>Roles!$D$7</f>
        <v>0.12</v>
      </c>
      <c r="DE125" s="372"/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 t="shared" si="1"/>
        <v>2</v>
      </c>
      <c r="F126" s="80">
        <v>2.0</v>
      </c>
      <c r="G126" s="105">
        <f t="shared" si="2"/>
        <v>0.001722652885</v>
      </c>
      <c r="H126" s="47">
        <f t="shared" si="117"/>
        <v>0.383290267</v>
      </c>
      <c r="I126" s="231">
        <f t="shared" si="115"/>
        <v>0</v>
      </c>
      <c r="J126" s="172">
        <f t="shared" si="118"/>
        <v>881</v>
      </c>
      <c r="K126" s="115">
        <f t="shared" si="3"/>
        <v>0.7741652021</v>
      </c>
      <c r="L126" s="232">
        <f t="shared" si="116"/>
        <v>0</v>
      </c>
      <c r="M126" s="172">
        <f t="shared" si="119"/>
        <v>387.64</v>
      </c>
      <c r="N126" s="7"/>
      <c r="O126" s="203">
        <f t="shared" si="7"/>
        <v>0</v>
      </c>
      <c r="P126" s="378">
        <v>0.0</v>
      </c>
      <c r="Q126" s="372"/>
      <c r="R126" s="372">
        <f>Roles!$D$5</f>
        <v>0.44</v>
      </c>
      <c r="S126" s="372">
        <f t="shared" si="8"/>
        <v>0</v>
      </c>
      <c r="T126" s="203">
        <f t="shared" si="9"/>
        <v>0</v>
      </c>
      <c r="U126" s="372"/>
      <c r="V126" s="372"/>
      <c r="W126" s="372">
        <f>Roles!$D$7</f>
        <v>0.12</v>
      </c>
      <c r="X126" s="372"/>
      <c r="Y126" s="203">
        <f t="shared" si="10"/>
        <v>0</v>
      </c>
      <c r="Z126" s="372"/>
      <c r="AA126" s="372"/>
      <c r="AB126" s="372">
        <f>Roles!$D$7</f>
        <v>0.12</v>
      </c>
      <c r="AC126" s="372"/>
      <c r="AD126" s="203">
        <f t="shared" si="11"/>
        <v>0</v>
      </c>
      <c r="AE126" s="372"/>
      <c r="AF126" s="372"/>
      <c r="AG126" s="372">
        <f>Roles!$D$7</f>
        <v>0.12</v>
      </c>
      <c r="AH126" s="372"/>
      <c r="AI126" s="203">
        <f t="shared" si="12"/>
        <v>0</v>
      </c>
      <c r="AJ126" s="372"/>
      <c r="AK126" s="372"/>
      <c r="AL126" s="372">
        <f>Roles!$D$7</f>
        <v>0.12</v>
      </c>
      <c r="AM126" s="372"/>
      <c r="AN126" s="203">
        <f t="shared" si="13"/>
        <v>0</v>
      </c>
      <c r="AO126" s="372"/>
      <c r="AP126" s="372"/>
      <c r="AQ126" s="372">
        <f>Roles!$D$7</f>
        <v>0.12</v>
      </c>
      <c r="AR126" s="372"/>
      <c r="AS126" s="203">
        <f t="shared" si="14"/>
        <v>0</v>
      </c>
      <c r="AT126" s="372"/>
      <c r="AU126" s="372"/>
      <c r="AV126" s="372">
        <f>Roles!$D$7</f>
        <v>0.12</v>
      </c>
      <c r="AW126" s="372"/>
      <c r="AX126" s="203">
        <f t="shared" si="15"/>
        <v>0</v>
      </c>
      <c r="AY126" s="372"/>
      <c r="AZ126" s="372"/>
      <c r="BA126" s="372">
        <f>Roles!$D$7</f>
        <v>0.12</v>
      </c>
      <c r="BB126" s="372"/>
      <c r="BC126" s="203">
        <f t="shared" si="16"/>
        <v>0</v>
      </c>
      <c r="BD126" s="372"/>
      <c r="BE126" s="372"/>
      <c r="BF126" s="372">
        <f>Roles!$D$7</f>
        <v>0.12</v>
      </c>
      <c r="BG126" s="372"/>
      <c r="BH126" s="203">
        <f t="shared" si="17"/>
        <v>0</v>
      </c>
      <c r="BI126" s="372"/>
      <c r="BJ126" s="372"/>
      <c r="BK126" s="372">
        <f>Roles!$D$7</f>
        <v>0.12</v>
      </c>
      <c r="BL126" s="372"/>
      <c r="BM126" s="203">
        <f t="shared" si="18"/>
        <v>0</v>
      </c>
      <c r="BN126" s="372"/>
      <c r="BO126" s="372"/>
      <c r="BP126" s="372">
        <f>Roles!$D$7</f>
        <v>0.12</v>
      </c>
      <c r="BQ126" s="372"/>
      <c r="BR126" s="203">
        <f t="shared" si="19"/>
        <v>0</v>
      </c>
      <c r="BS126" s="372"/>
      <c r="BT126" s="372"/>
      <c r="BU126" s="372">
        <f>Roles!$D$7</f>
        <v>0.12</v>
      </c>
      <c r="BV126" s="372"/>
      <c r="BW126" s="203">
        <f t="shared" si="20"/>
        <v>0</v>
      </c>
      <c r="BX126" s="372"/>
      <c r="BY126" s="372"/>
      <c r="BZ126" s="372">
        <f>Roles!$D$7</f>
        <v>0.12</v>
      </c>
      <c r="CA126" s="372"/>
      <c r="CB126" s="203">
        <f t="shared" si="21"/>
        <v>0</v>
      </c>
      <c r="CC126" s="372"/>
      <c r="CD126" s="372"/>
      <c r="CE126" s="372">
        <f>Roles!$D$7</f>
        <v>0.12</v>
      </c>
      <c r="CF126" s="372"/>
      <c r="CG126" s="203">
        <f t="shared" si="22"/>
        <v>0</v>
      </c>
      <c r="CH126" s="372"/>
      <c r="CI126" s="372"/>
      <c r="CJ126" s="372">
        <f>Roles!$D$7</f>
        <v>0.12</v>
      </c>
      <c r="CK126" s="372"/>
      <c r="CL126" s="203">
        <f t="shared" si="23"/>
        <v>0</v>
      </c>
      <c r="CM126" s="372"/>
      <c r="CN126" s="372"/>
      <c r="CO126" s="372">
        <f>Roles!$D$7</f>
        <v>0.12</v>
      </c>
      <c r="CP126" s="372"/>
      <c r="CQ126" s="203">
        <f t="shared" si="24"/>
        <v>0</v>
      </c>
      <c r="CR126" s="372"/>
      <c r="CS126" s="372"/>
      <c r="CT126" s="372">
        <f>Roles!$D$7</f>
        <v>0.12</v>
      </c>
      <c r="CU126" s="372"/>
      <c r="CV126" s="203">
        <f t="shared" si="25"/>
        <v>0</v>
      </c>
      <c r="CW126" s="372"/>
      <c r="CX126" s="372"/>
      <c r="CY126" s="372">
        <f>Roles!$D$7</f>
        <v>0.12</v>
      </c>
      <c r="CZ126" s="372"/>
      <c r="DA126" s="203">
        <f t="shared" si="26"/>
        <v>0</v>
      </c>
      <c r="DB126" s="372"/>
      <c r="DC126" s="372"/>
      <c r="DD126" s="372">
        <f>Roles!$D$7</f>
        <v>0.12</v>
      </c>
      <c r="DE126" s="372"/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 t="shared" si="1"/>
        <v>8</v>
      </c>
      <c r="F127" s="246">
        <f>SUM(F128:F130)</f>
        <v>64</v>
      </c>
      <c r="G127" s="105">
        <f t="shared" si="2"/>
        <v>0.05512489233</v>
      </c>
      <c r="H127" s="226">
        <f>H130</f>
        <v>0.4384151593</v>
      </c>
      <c r="I127" s="247">
        <f>SUM(I128:I130)</f>
        <v>44</v>
      </c>
      <c r="J127" s="247">
        <f>J130</f>
        <v>925</v>
      </c>
      <c r="K127" s="167">
        <f t="shared" si="3"/>
        <v>0.8128295255</v>
      </c>
      <c r="L127" s="247">
        <f>SUM(L128:L130)</f>
        <v>19.36</v>
      </c>
      <c r="M127" s="247">
        <f>M130</f>
        <v>407</v>
      </c>
      <c r="N127" s="7"/>
      <c r="O127" s="203">
        <f t="shared" si="7"/>
        <v>0</v>
      </c>
      <c r="P127" s="372"/>
      <c r="Q127" s="372"/>
      <c r="R127" s="372">
        <f>Roles!$D$5</f>
        <v>0.44</v>
      </c>
      <c r="S127" s="372">
        <f t="shared" si="8"/>
        <v>0</v>
      </c>
      <c r="T127" s="203">
        <f t="shared" si="9"/>
        <v>0</v>
      </c>
      <c r="U127" s="372"/>
      <c r="V127" s="372"/>
      <c r="W127" s="372">
        <f>Roles!$D$7</f>
        <v>0.12</v>
      </c>
      <c r="X127" s="372"/>
      <c r="Y127" s="203">
        <f t="shared" si="10"/>
        <v>0</v>
      </c>
      <c r="Z127" s="372"/>
      <c r="AA127" s="372"/>
      <c r="AB127" s="372">
        <f>Roles!$D$7</f>
        <v>0.12</v>
      </c>
      <c r="AC127" s="372"/>
      <c r="AD127" s="203">
        <f t="shared" si="11"/>
        <v>0</v>
      </c>
      <c r="AE127" s="372"/>
      <c r="AF127" s="372"/>
      <c r="AG127" s="372">
        <f>Roles!$D$7</f>
        <v>0.12</v>
      </c>
      <c r="AH127" s="372"/>
      <c r="AI127" s="203">
        <f t="shared" si="12"/>
        <v>0</v>
      </c>
      <c r="AJ127" s="372"/>
      <c r="AK127" s="372"/>
      <c r="AL127" s="372">
        <f>Roles!$D$7</f>
        <v>0.12</v>
      </c>
      <c r="AM127" s="372"/>
      <c r="AN127" s="203">
        <f t="shared" si="13"/>
        <v>0</v>
      </c>
      <c r="AO127" s="372"/>
      <c r="AP127" s="372"/>
      <c r="AQ127" s="372">
        <f>Roles!$D$7</f>
        <v>0.12</v>
      </c>
      <c r="AR127" s="372"/>
      <c r="AS127" s="203">
        <f t="shared" si="14"/>
        <v>0</v>
      </c>
      <c r="AT127" s="372"/>
      <c r="AU127" s="372"/>
      <c r="AV127" s="372">
        <f>Roles!$D$7</f>
        <v>0.12</v>
      </c>
      <c r="AW127" s="372"/>
      <c r="AX127" s="203">
        <f t="shared" si="15"/>
        <v>0</v>
      </c>
      <c r="AY127" s="372"/>
      <c r="AZ127" s="372"/>
      <c r="BA127" s="372">
        <f>Roles!$D$7</f>
        <v>0.12</v>
      </c>
      <c r="BB127" s="372"/>
      <c r="BC127" s="203">
        <f t="shared" si="16"/>
        <v>0</v>
      </c>
      <c r="BD127" s="372"/>
      <c r="BE127" s="372"/>
      <c r="BF127" s="372">
        <f>Roles!$D$7</f>
        <v>0.12</v>
      </c>
      <c r="BG127" s="372"/>
      <c r="BH127" s="203">
        <f t="shared" si="17"/>
        <v>0</v>
      </c>
      <c r="BI127" s="372"/>
      <c r="BJ127" s="372"/>
      <c r="BK127" s="372">
        <f>Roles!$D$7</f>
        <v>0.12</v>
      </c>
      <c r="BL127" s="372"/>
      <c r="BM127" s="203">
        <f t="shared" si="18"/>
        <v>0</v>
      </c>
      <c r="BN127" s="372"/>
      <c r="BO127" s="372"/>
      <c r="BP127" s="372">
        <f>Roles!$D$7</f>
        <v>0.12</v>
      </c>
      <c r="BQ127" s="372"/>
      <c r="BR127" s="203">
        <f t="shared" si="19"/>
        <v>0</v>
      </c>
      <c r="BS127" s="372"/>
      <c r="BT127" s="372"/>
      <c r="BU127" s="372">
        <f>Roles!$D$7</f>
        <v>0.12</v>
      </c>
      <c r="BV127" s="372"/>
      <c r="BW127" s="203">
        <f t="shared" si="20"/>
        <v>0</v>
      </c>
      <c r="BX127" s="372"/>
      <c r="BY127" s="372"/>
      <c r="BZ127" s="372">
        <f>Roles!$D$7</f>
        <v>0.12</v>
      </c>
      <c r="CA127" s="372"/>
      <c r="CB127" s="203">
        <f t="shared" si="21"/>
        <v>0</v>
      </c>
      <c r="CC127" s="372"/>
      <c r="CD127" s="372"/>
      <c r="CE127" s="372">
        <f>Roles!$D$7</f>
        <v>0.12</v>
      </c>
      <c r="CF127" s="372"/>
      <c r="CG127" s="203">
        <f t="shared" si="22"/>
        <v>0</v>
      </c>
      <c r="CH127" s="372"/>
      <c r="CI127" s="372"/>
      <c r="CJ127" s="372">
        <f>Roles!$D$7</f>
        <v>0.12</v>
      </c>
      <c r="CK127" s="372"/>
      <c r="CL127" s="203">
        <f t="shared" si="23"/>
        <v>0</v>
      </c>
      <c r="CM127" s="372"/>
      <c r="CN127" s="372"/>
      <c r="CO127" s="372">
        <f>Roles!$D$7</f>
        <v>0.12</v>
      </c>
      <c r="CP127" s="372"/>
      <c r="CQ127" s="203">
        <f t="shared" si="24"/>
        <v>0</v>
      </c>
      <c r="CR127" s="372"/>
      <c r="CS127" s="372"/>
      <c r="CT127" s="372">
        <f>Roles!$D$7</f>
        <v>0.12</v>
      </c>
      <c r="CU127" s="372"/>
      <c r="CV127" s="203">
        <f t="shared" si="25"/>
        <v>0</v>
      </c>
      <c r="CW127" s="372"/>
      <c r="CX127" s="372"/>
      <c r="CY127" s="372">
        <f>Roles!$D$7</f>
        <v>0.12</v>
      </c>
      <c r="CZ127" s="372"/>
      <c r="DA127" s="203">
        <f t="shared" si="26"/>
        <v>0</v>
      </c>
      <c r="DB127" s="372"/>
      <c r="DC127" s="372"/>
      <c r="DD127" s="372">
        <f>Roles!$D$7</f>
        <v>0.12</v>
      </c>
      <c r="DE127" s="372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 t="shared" si="1"/>
        <v>4</v>
      </c>
      <c r="F128" s="80">
        <v>30.0</v>
      </c>
      <c r="G128" s="105">
        <f t="shared" si="2"/>
        <v>0.02583979328</v>
      </c>
      <c r="H128" s="47">
        <f>H126+G128</f>
        <v>0.4091300603</v>
      </c>
      <c r="I128" s="231">
        <f t="shared" ref="I128:I130" si="120">P128+U128+Z128+AE128+AJ128+AO128+AT128+AY128+BD128+BI128+BN128+BS128+BX128+CC128+CH128+CM128+CR128+CW128+DB128</f>
        <v>20</v>
      </c>
      <c r="J128" s="172">
        <f>J126+I128</f>
        <v>901</v>
      </c>
      <c r="K128" s="115">
        <f t="shared" si="3"/>
        <v>0.7917398946</v>
      </c>
      <c r="L128" s="232">
        <f t="shared" ref="L128:L130" si="121">S128+X128+AC128+AH128+AM128+AR128+AW128+BB128+BG128+BL128+BQ128+BV128+CA128+CF128+CK128+CP128+CU128+CZ128+DE128</f>
        <v>8.8</v>
      </c>
      <c r="M128" s="172">
        <f>M126+L128</f>
        <v>396.44</v>
      </c>
      <c r="N128" s="7"/>
      <c r="O128" s="203">
        <f t="shared" si="7"/>
        <v>0.6666666667</v>
      </c>
      <c r="P128" s="378">
        <v>20.0</v>
      </c>
      <c r="Q128" s="372"/>
      <c r="R128" s="372">
        <f>Roles!$D$5</f>
        <v>0.44</v>
      </c>
      <c r="S128" s="372">
        <f t="shared" si="8"/>
        <v>8.8</v>
      </c>
      <c r="T128" s="203">
        <f t="shared" si="9"/>
        <v>0</v>
      </c>
      <c r="U128" s="372"/>
      <c r="V128" s="372"/>
      <c r="W128" s="372">
        <f>Roles!$D$7</f>
        <v>0.12</v>
      </c>
      <c r="X128" s="372"/>
      <c r="Y128" s="203">
        <f t="shared" si="10"/>
        <v>0</v>
      </c>
      <c r="Z128" s="372"/>
      <c r="AA128" s="372"/>
      <c r="AB128" s="372">
        <f>Roles!$D$7</f>
        <v>0.12</v>
      </c>
      <c r="AC128" s="372"/>
      <c r="AD128" s="203">
        <f t="shared" si="11"/>
        <v>0</v>
      </c>
      <c r="AE128" s="372"/>
      <c r="AF128" s="372"/>
      <c r="AG128" s="372">
        <f>Roles!$D$7</f>
        <v>0.12</v>
      </c>
      <c r="AH128" s="372"/>
      <c r="AI128" s="203">
        <f t="shared" si="12"/>
        <v>0</v>
      </c>
      <c r="AJ128" s="372"/>
      <c r="AK128" s="372"/>
      <c r="AL128" s="372">
        <f>Roles!$D$7</f>
        <v>0.12</v>
      </c>
      <c r="AM128" s="372"/>
      <c r="AN128" s="203">
        <f t="shared" si="13"/>
        <v>0</v>
      </c>
      <c r="AO128" s="372"/>
      <c r="AP128" s="372"/>
      <c r="AQ128" s="372">
        <f>Roles!$D$7</f>
        <v>0.12</v>
      </c>
      <c r="AR128" s="372"/>
      <c r="AS128" s="203">
        <f t="shared" si="14"/>
        <v>0</v>
      </c>
      <c r="AT128" s="372"/>
      <c r="AU128" s="372"/>
      <c r="AV128" s="372">
        <f>Roles!$D$7</f>
        <v>0.12</v>
      </c>
      <c r="AW128" s="372"/>
      <c r="AX128" s="203">
        <f t="shared" si="15"/>
        <v>0</v>
      </c>
      <c r="AY128" s="372"/>
      <c r="AZ128" s="372"/>
      <c r="BA128" s="372">
        <f>Roles!$D$7</f>
        <v>0.12</v>
      </c>
      <c r="BB128" s="372"/>
      <c r="BC128" s="203">
        <f t="shared" si="16"/>
        <v>0</v>
      </c>
      <c r="BD128" s="372"/>
      <c r="BE128" s="372"/>
      <c r="BF128" s="372">
        <f>Roles!$D$7</f>
        <v>0.12</v>
      </c>
      <c r="BG128" s="372"/>
      <c r="BH128" s="203">
        <f t="shared" si="17"/>
        <v>0</v>
      </c>
      <c r="BI128" s="372"/>
      <c r="BJ128" s="372"/>
      <c r="BK128" s="372">
        <f>Roles!$D$7</f>
        <v>0.12</v>
      </c>
      <c r="BL128" s="372"/>
      <c r="BM128" s="203">
        <f t="shared" si="18"/>
        <v>0</v>
      </c>
      <c r="BN128" s="372"/>
      <c r="BO128" s="372"/>
      <c r="BP128" s="372">
        <f>Roles!$D$7</f>
        <v>0.12</v>
      </c>
      <c r="BQ128" s="372"/>
      <c r="BR128" s="203">
        <f t="shared" si="19"/>
        <v>0</v>
      </c>
      <c r="BS128" s="372"/>
      <c r="BT128" s="372"/>
      <c r="BU128" s="372">
        <f>Roles!$D$7</f>
        <v>0.12</v>
      </c>
      <c r="BV128" s="372"/>
      <c r="BW128" s="203">
        <f t="shared" si="20"/>
        <v>0</v>
      </c>
      <c r="BX128" s="372"/>
      <c r="BY128" s="372"/>
      <c r="BZ128" s="372">
        <f>Roles!$D$7</f>
        <v>0.12</v>
      </c>
      <c r="CA128" s="372"/>
      <c r="CB128" s="203">
        <f t="shared" si="21"/>
        <v>0</v>
      </c>
      <c r="CC128" s="372"/>
      <c r="CD128" s="372"/>
      <c r="CE128" s="372">
        <f>Roles!$D$7</f>
        <v>0.12</v>
      </c>
      <c r="CF128" s="372"/>
      <c r="CG128" s="203">
        <f t="shared" si="22"/>
        <v>0</v>
      </c>
      <c r="CH128" s="372"/>
      <c r="CI128" s="372"/>
      <c r="CJ128" s="372">
        <f>Roles!$D$7</f>
        <v>0.12</v>
      </c>
      <c r="CK128" s="372"/>
      <c r="CL128" s="203">
        <f t="shared" si="23"/>
        <v>0</v>
      </c>
      <c r="CM128" s="372"/>
      <c r="CN128" s="372"/>
      <c r="CO128" s="372">
        <f>Roles!$D$7</f>
        <v>0.12</v>
      </c>
      <c r="CP128" s="372"/>
      <c r="CQ128" s="203">
        <f t="shared" si="24"/>
        <v>0</v>
      </c>
      <c r="CR128" s="372"/>
      <c r="CS128" s="372"/>
      <c r="CT128" s="372">
        <f>Roles!$D$7</f>
        <v>0.12</v>
      </c>
      <c r="CU128" s="372"/>
      <c r="CV128" s="203">
        <f t="shared" si="25"/>
        <v>0</v>
      </c>
      <c r="CW128" s="372"/>
      <c r="CX128" s="372"/>
      <c r="CY128" s="372">
        <f>Roles!$D$7</f>
        <v>0.12</v>
      </c>
      <c r="CZ128" s="372"/>
      <c r="DA128" s="203">
        <f t="shared" si="26"/>
        <v>0</v>
      </c>
      <c r="DB128" s="372"/>
      <c r="DC128" s="372"/>
      <c r="DD128" s="372">
        <f>Roles!$D$7</f>
        <v>0.12</v>
      </c>
      <c r="DE128" s="372"/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 t="shared" si="1"/>
        <v>4</v>
      </c>
      <c r="F129" s="80">
        <v>30.0</v>
      </c>
      <c r="G129" s="105">
        <f t="shared" si="2"/>
        <v>0.02583979328</v>
      </c>
      <c r="H129" s="47">
        <f t="shared" ref="H129:H130" si="122">H128+G129</f>
        <v>0.4349698536</v>
      </c>
      <c r="I129" s="231">
        <f t="shared" si="120"/>
        <v>20</v>
      </c>
      <c r="J129" s="172">
        <f t="shared" ref="J129:J130" si="123">J128+I129</f>
        <v>921</v>
      </c>
      <c r="K129" s="115">
        <f t="shared" si="3"/>
        <v>0.809314587</v>
      </c>
      <c r="L129" s="232">
        <f t="shared" si="121"/>
        <v>8.8</v>
      </c>
      <c r="M129" s="172">
        <f t="shared" ref="M129:M130" si="124">M128+L129</f>
        <v>405.24</v>
      </c>
      <c r="N129" s="7"/>
      <c r="O129" s="203">
        <f t="shared" si="7"/>
        <v>0.6666666667</v>
      </c>
      <c r="P129" s="378">
        <v>20.0</v>
      </c>
      <c r="Q129" s="372"/>
      <c r="R129" s="372">
        <f>Roles!$D$5</f>
        <v>0.44</v>
      </c>
      <c r="S129" s="372">
        <f t="shared" si="8"/>
        <v>8.8</v>
      </c>
      <c r="T129" s="203">
        <f t="shared" si="9"/>
        <v>0</v>
      </c>
      <c r="U129" s="372"/>
      <c r="V129" s="372"/>
      <c r="W129" s="372">
        <f>Roles!$D$7</f>
        <v>0.12</v>
      </c>
      <c r="X129" s="372"/>
      <c r="Y129" s="203">
        <f t="shared" si="10"/>
        <v>0</v>
      </c>
      <c r="Z129" s="372"/>
      <c r="AA129" s="372"/>
      <c r="AB129" s="372">
        <f>Roles!$D$7</f>
        <v>0.12</v>
      </c>
      <c r="AC129" s="372"/>
      <c r="AD129" s="203">
        <f t="shared" si="11"/>
        <v>0</v>
      </c>
      <c r="AE129" s="372"/>
      <c r="AF129" s="372"/>
      <c r="AG129" s="372">
        <f>Roles!$D$7</f>
        <v>0.12</v>
      </c>
      <c r="AH129" s="372"/>
      <c r="AI129" s="203">
        <f t="shared" si="12"/>
        <v>0</v>
      </c>
      <c r="AJ129" s="372"/>
      <c r="AK129" s="372"/>
      <c r="AL129" s="372">
        <f>Roles!$D$7</f>
        <v>0.12</v>
      </c>
      <c r="AM129" s="372"/>
      <c r="AN129" s="203">
        <f t="shared" si="13"/>
        <v>0</v>
      </c>
      <c r="AO129" s="372"/>
      <c r="AP129" s="372"/>
      <c r="AQ129" s="372">
        <f>Roles!$D$7</f>
        <v>0.12</v>
      </c>
      <c r="AR129" s="372"/>
      <c r="AS129" s="203">
        <f t="shared" si="14"/>
        <v>0</v>
      </c>
      <c r="AT129" s="372"/>
      <c r="AU129" s="372"/>
      <c r="AV129" s="372">
        <f>Roles!$D$7</f>
        <v>0.12</v>
      </c>
      <c r="AW129" s="372"/>
      <c r="AX129" s="203">
        <f t="shared" si="15"/>
        <v>0</v>
      </c>
      <c r="AY129" s="372"/>
      <c r="AZ129" s="372"/>
      <c r="BA129" s="372">
        <f>Roles!$D$7</f>
        <v>0.12</v>
      </c>
      <c r="BB129" s="372"/>
      <c r="BC129" s="203">
        <f t="shared" si="16"/>
        <v>0</v>
      </c>
      <c r="BD129" s="372"/>
      <c r="BE129" s="372"/>
      <c r="BF129" s="372">
        <f>Roles!$D$7</f>
        <v>0.12</v>
      </c>
      <c r="BG129" s="372"/>
      <c r="BH129" s="203">
        <f t="shared" si="17"/>
        <v>0</v>
      </c>
      <c r="BI129" s="372"/>
      <c r="BJ129" s="372"/>
      <c r="BK129" s="372">
        <f>Roles!$D$7</f>
        <v>0.12</v>
      </c>
      <c r="BL129" s="372"/>
      <c r="BM129" s="203">
        <f t="shared" si="18"/>
        <v>0</v>
      </c>
      <c r="BN129" s="372"/>
      <c r="BO129" s="372"/>
      <c r="BP129" s="372">
        <f>Roles!$D$7</f>
        <v>0.12</v>
      </c>
      <c r="BQ129" s="372"/>
      <c r="BR129" s="203">
        <f t="shared" si="19"/>
        <v>0</v>
      </c>
      <c r="BS129" s="372"/>
      <c r="BT129" s="372"/>
      <c r="BU129" s="372">
        <f>Roles!$D$7</f>
        <v>0.12</v>
      </c>
      <c r="BV129" s="372"/>
      <c r="BW129" s="203">
        <f t="shared" si="20"/>
        <v>0</v>
      </c>
      <c r="BX129" s="372"/>
      <c r="BY129" s="372"/>
      <c r="BZ129" s="372">
        <f>Roles!$D$7</f>
        <v>0.12</v>
      </c>
      <c r="CA129" s="372"/>
      <c r="CB129" s="203">
        <f t="shared" si="21"/>
        <v>0</v>
      </c>
      <c r="CC129" s="372"/>
      <c r="CD129" s="372"/>
      <c r="CE129" s="372">
        <f>Roles!$D$7</f>
        <v>0.12</v>
      </c>
      <c r="CF129" s="372"/>
      <c r="CG129" s="203">
        <f t="shared" si="22"/>
        <v>0</v>
      </c>
      <c r="CH129" s="372"/>
      <c r="CI129" s="372"/>
      <c r="CJ129" s="372">
        <f>Roles!$D$7</f>
        <v>0.12</v>
      </c>
      <c r="CK129" s="372"/>
      <c r="CL129" s="203">
        <f t="shared" si="23"/>
        <v>0</v>
      </c>
      <c r="CM129" s="372"/>
      <c r="CN129" s="372"/>
      <c r="CO129" s="372">
        <f>Roles!$D$7</f>
        <v>0.12</v>
      </c>
      <c r="CP129" s="372"/>
      <c r="CQ129" s="203">
        <f t="shared" si="24"/>
        <v>0</v>
      </c>
      <c r="CR129" s="372"/>
      <c r="CS129" s="372"/>
      <c r="CT129" s="372">
        <f>Roles!$D$7</f>
        <v>0.12</v>
      </c>
      <c r="CU129" s="372"/>
      <c r="CV129" s="203">
        <f t="shared" si="25"/>
        <v>0</v>
      </c>
      <c r="CW129" s="372"/>
      <c r="CX129" s="372"/>
      <c r="CY129" s="372">
        <f>Roles!$D$7</f>
        <v>0.12</v>
      </c>
      <c r="CZ129" s="372"/>
      <c r="DA129" s="203">
        <f t="shared" si="26"/>
        <v>0</v>
      </c>
      <c r="DB129" s="372"/>
      <c r="DC129" s="372"/>
      <c r="DD129" s="372">
        <f>Roles!$D$7</f>
        <v>0.12</v>
      </c>
      <c r="DE129" s="372"/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 t="shared" si="1"/>
        <v>4</v>
      </c>
      <c r="F130" s="80">
        <v>4.0</v>
      </c>
      <c r="G130" s="105">
        <f t="shared" si="2"/>
        <v>0.003445305771</v>
      </c>
      <c r="H130" s="47">
        <f t="shared" si="122"/>
        <v>0.4384151593</v>
      </c>
      <c r="I130" s="231">
        <f t="shared" si="120"/>
        <v>4</v>
      </c>
      <c r="J130" s="172">
        <f t="shared" si="123"/>
        <v>925</v>
      </c>
      <c r="K130" s="115">
        <f t="shared" si="3"/>
        <v>0.8128295255</v>
      </c>
      <c r="L130" s="232">
        <f t="shared" si="121"/>
        <v>1.76</v>
      </c>
      <c r="M130" s="172">
        <f t="shared" si="124"/>
        <v>407</v>
      </c>
      <c r="N130" s="7"/>
      <c r="O130" s="203">
        <f t="shared" si="7"/>
        <v>1</v>
      </c>
      <c r="P130" s="378">
        <v>4.0</v>
      </c>
      <c r="Q130" s="372"/>
      <c r="R130" s="372">
        <f>Roles!$D$5</f>
        <v>0.44</v>
      </c>
      <c r="S130" s="372">
        <f t="shared" si="8"/>
        <v>1.76</v>
      </c>
      <c r="T130" s="203">
        <f t="shared" si="9"/>
        <v>0</v>
      </c>
      <c r="U130" s="372"/>
      <c r="V130" s="372"/>
      <c r="W130" s="372">
        <f>Roles!$D$7</f>
        <v>0.12</v>
      </c>
      <c r="X130" s="372"/>
      <c r="Y130" s="203">
        <f t="shared" si="10"/>
        <v>0</v>
      </c>
      <c r="Z130" s="372"/>
      <c r="AA130" s="372"/>
      <c r="AB130" s="372">
        <f>Roles!$D$7</f>
        <v>0.12</v>
      </c>
      <c r="AC130" s="372"/>
      <c r="AD130" s="203">
        <f t="shared" si="11"/>
        <v>0</v>
      </c>
      <c r="AE130" s="372"/>
      <c r="AF130" s="372"/>
      <c r="AG130" s="372">
        <f>Roles!$D$7</f>
        <v>0.12</v>
      </c>
      <c r="AH130" s="372"/>
      <c r="AI130" s="203">
        <f t="shared" si="12"/>
        <v>0</v>
      </c>
      <c r="AJ130" s="372"/>
      <c r="AK130" s="372"/>
      <c r="AL130" s="372">
        <f>Roles!$D$7</f>
        <v>0.12</v>
      </c>
      <c r="AM130" s="372"/>
      <c r="AN130" s="203">
        <f t="shared" si="13"/>
        <v>0</v>
      </c>
      <c r="AO130" s="372"/>
      <c r="AP130" s="372"/>
      <c r="AQ130" s="372">
        <f>Roles!$D$7</f>
        <v>0.12</v>
      </c>
      <c r="AR130" s="372"/>
      <c r="AS130" s="203">
        <f t="shared" si="14"/>
        <v>0</v>
      </c>
      <c r="AT130" s="372"/>
      <c r="AU130" s="372"/>
      <c r="AV130" s="372">
        <f>Roles!$D$7</f>
        <v>0.12</v>
      </c>
      <c r="AW130" s="372"/>
      <c r="AX130" s="203">
        <f t="shared" si="15"/>
        <v>0</v>
      </c>
      <c r="AY130" s="372"/>
      <c r="AZ130" s="372"/>
      <c r="BA130" s="372">
        <f>Roles!$D$7</f>
        <v>0.12</v>
      </c>
      <c r="BB130" s="372"/>
      <c r="BC130" s="203">
        <f t="shared" si="16"/>
        <v>0</v>
      </c>
      <c r="BD130" s="372"/>
      <c r="BE130" s="372"/>
      <c r="BF130" s="372">
        <f>Roles!$D$7</f>
        <v>0.12</v>
      </c>
      <c r="BG130" s="372"/>
      <c r="BH130" s="203">
        <f t="shared" si="17"/>
        <v>0</v>
      </c>
      <c r="BI130" s="372"/>
      <c r="BJ130" s="372"/>
      <c r="BK130" s="372">
        <f>Roles!$D$7</f>
        <v>0.12</v>
      </c>
      <c r="BL130" s="372"/>
      <c r="BM130" s="203">
        <f t="shared" si="18"/>
        <v>0</v>
      </c>
      <c r="BN130" s="372"/>
      <c r="BO130" s="372"/>
      <c r="BP130" s="372">
        <f>Roles!$D$7</f>
        <v>0.12</v>
      </c>
      <c r="BQ130" s="372"/>
      <c r="BR130" s="203">
        <f t="shared" si="19"/>
        <v>0</v>
      </c>
      <c r="BS130" s="372"/>
      <c r="BT130" s="372"/>
      <c r="BU130" s="372">
        <f>Roles!$D$7</f>
        <v>0.12</v>
      </c>
      <c r="BV130" s="372"/>
      <c r="BW130" s="203">
        <f t="shared" si="20"/>
        <v>0</v>
      </c>
      <c r="BX130" s="372"/>
      <c r="BY130" s="372"/>
      <c r="BZ130" s="372">
        <f>Roles!$D$7</f>
        <v>0.12</v>
      </c>
      <c r="CA130" s="372"/>
      <c r="CB130" s="203">
        <f t="shared" si="21"/>
        <v>0</v>
      </c>
      <c r="CC130" s="372"/>
      <c r="CD130" s="372"/>
      <c r="CE130" s="372">
        <f>Roles!$D$7</f>
        <v>0.12</v>
      </c>
      <c r="CF130" s="372"/>
      <c r="CG130" s="203">
        <f t="shared" si="22"/>
        <v>0</v>
      </c>
      <c r="CH130" s="372"/>
      <c r="CI130" s="372"/>
      <c r="CJ130" s="372">
        <f>Roles!$D$7</f>
        <v>0.12</v>
      </c>
      <c r="CK130" s="372"/>
      <c r="CL130" s="203">
        <f t="shared" si="23"/>
        <v>0</v>
      </c>
      <c r="CM130" s="372"/>
      <c r="CN130" s="372"/>
      <c r="CO130" s="372">
        <f>Roles!$D$7</f>
        <v>0.12</v>
      </c>
      <c r="CP130" s="372"/>
      <c r="CQ130" s="203">
        <f t="shared" si="24"/>
        <v>0</v>
      </c>
      <c r="CR130" s="372"/>
      <c r="CS130" s="372"/>
      <c r="CT130" s="372">
        <f>Roles!$D$7</f>
        <v>0.12</v>
      </c>
      <c r="CU130" s="372"/>
      <c r="CV130" s="203">
        <f t="shared" si="25"/>
        <v>0</v>
      </c>
      <c r="CW130" s="372"/>
      <c r="CX130" s="372"/>
      <c r="CY130" s="372">
        <f>Roles!$D$7</f>
        <v>0.12</v>
      </c>
      <c r="CZ130" s="372"/>
      <c r="DA130" s="203">
        <f t="shared" si="26"/>
        <v>0</v>
      </c>
      <c r="DB130" s="372"/>
      <c r="DC130" s="372"/>
      <c r="DD130" s="372">
        <f>Roles!$D$7</f>
        <v>0.12</v>
      </c>
      <c r="DE130" s="372"/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 t="shared" si="1"/>
        <v>6</v>
      </c>
      <c r="F131" s="246">
        <f>SUM(F132:F134)</f>
        <v>51</v>
      </c>
      <c r="G131" s="105">
        <f t="shared" si="2"/>
        <v>0.04392764858</v>
      </c>
      <c r="H131" s="226">
        <f>H134</f>
        <v>0.4823428079</v>
      </c>
      <c r="I131" s="247">
        <f>SUM(I132:I134)</f>
        <v>1</v>
      </c>
      <c r="J131" s="247">
        <f>J134</f>
        <v>926</v>
      </c>
      <c r="K131" s="167">
        <f t="shared" si="3"/>
        <v>0.8137082601</v>
      </c>
      <c r="L131" s="247">
        <f>SUM(L132:L134)</f>
        <v>0.44</v>
      </c>
      <c r="M131" s="247">
        <f>M134</f>
        <v>407.44</v>
      </c>
      <c r="N131" s="7"/>
      <c r="O131" s="203">
        <f t="shared" si="7"/>
        <v>0</v>
      </c>
      <c r="P131" s="372"/>
      <c r="Q131" s="372"/>
      <c r="R131" s="372">
        <f>Roles!$D$5</f>
        <v>0.44</v>
      </c>
      <c r="S131" s="372">
        <f t="shared" si="8"/>
        <v>0</v>
      </c>
      <c r="T131" s="203">
        <f t="shared" si="9"/>
        <v>0</v>
      </c>
      <c r="U131" s="372"/>
      <c r="V131" s="372"/>
      <c r="W131" s="372">
        <f>Roles!$D$7</f>
        <v>0.12</v>
      </c>
      <c r="X131" s="372"/>
      <c r="Y131" s="203">
        <f t="shared" si="10"/>
        <v>0</v>
      </c>
      <c r="Z131" s="372"/>
      <c r="AA131" s="372"/>
      <c r="AB131" s="372">
        <f>Roles!$D$7</f>
        <v>0.12</v>
      </c>
      <c r="AC131" s="372"/>
      <c r="AD131" s="203">
        <f t="shared" si="11"/>
        <v>0</v>
      </c>
      <c r="AE131" s="372"/>
      <c r="AF131" s="372"/>
      <c r="AG131" s="372">
        <f>Roles!$D$7</f>
        <v>0.12</v>
      </c>
      <c r="AH131" s="372"/>
      <c r="AI131" s="203">
        <f t="shared" si="12"/>
        <v>0</v>
      </c>
      <c r="AJ131" s="372"/>
      <c r="AK131" s="372"/>
      <c r="AL131" s="372">
        <f>Roles!$D$7</f>
        <v>0.12</v>
      </c>
      <c r="AM131" s="372"/>
      <c r="AN131" s="203">
        <f t="shared" si="13"/>
        <v>0</v>
      </c>
      <c r="AO131" s="372"/>
      <c r="AP131" s="372"/>
      <c r="AQ131" s="372">
        <f>Roles!$D$7</f>
        <v>0.12</v>
      </c>
      <c r="AR131" s="372"/>
      <c r="AS131" s="203">
        <f t="shared" si="14"/>
        <v>0</v>
      </c>
      <c r="AT131" s="372"/>
      <c r="AU131" s="372"/>
      <c r="AV131" s="372">
        <f>Roles!$D$7</f>
        <v>0.12</v>
      </c>
      <c r="AW131" s="372"/>
      <c r="AX131" s="203">
        <f t="shared" si="15"/>
        <v>0</v>
      </c>
      <c r="AY131" s="372"/>
      <c r="AZ131" s="372"/>
      <c r="BA131" s="372">
        <f>Roles!$D$7</f>
        <v>0.12</v>
      </c>
      <c r="BB131" s="372"/>
      <c r="BC131" s="203">
        <f t="shared" si="16"/>
        <v>0</v>
      </c>
      <c r="BD131" s="372"/>
      <c r="BE131" s="372"/>
      <c r="BF131" s="372">
        <f>Roles!$D$7</f>
        <v>0.12</v>
      </c>
      <c r="BG131" s="372"/>
      <c r="BH131" s="203">
        <f t="shared" si="17"/>
        <v>0</v>
      </c>
      <c r="BI131" s="372"/>
      <c r="BJ131" s="372"/>
      <c r="BK131" s="372">
        <f>Roles!$D$7</f>
        <v>0.12</v>
      </c>
      <c r="BL131" s="372"/>
      <c r="BM131" s="203">
        <f t="shared" si="18"/>
        <v>0</v>
      </c>
      <c r="BN131" s="372"/>
      <c r="BO131" s="372"/>
      <c r="BP131" s="372">
        <f>Roles!$D$7</f>
        <v>0.12</v>
      </c>
      <c r="BQ131" s="372"/>
      <c r="BR131" s="203">
        <f t="shared" si="19"/>
        <v>0</v>
      </c>
      <c r="BS131" s="372"/>
      <c r="BT131" s="372"/>
      <c r="BU131" s="372">
        <f>Roles!$D$7</f>
        <v>0.12</v>
      </c>
      <c r="BV131" s="372"/>
      <c r="BW131" s="203">
        <f t="shared" si="20"/>
        <v>0</v>
      </c>
      <c r="BX131" s="372"/>
      <c r="BY131" s="372"/>
      <c r="BZ131" s="372">
        <f>Roles!$D$7</f>
        <v>0.12</v>
      </c>
      <c r="CA131" s="372"/>
      <c r="CB131" s="203">
        <f t="shared" si="21"/>
        <v>0</v>
      </c>
      <c r="CC131" s="372"/>
      <c r="CD131" s="372"/>
      <c r="CE131" s="372">
        <f>Roles!$D$7</f>
        <v>0.12</v>
      </c>
      <c r="CF131" s="372"/>
      <c r="CG131" s="203">
        <f t="shared" si="22"/>
        <v>0</v>
      </c>
      <c r="CH131" s="372"/>
      <c r="CI131" s="372"/>
      <c r="CJ131" s="372">
        <f>Roles!$D$7</f>
        <v>0.12</v>
      </c>
      <c r="CK131" s="372"/>
      <c r="CL131" s="203">
        <f t="shared" si="23"/>
        <v>0</v>
      </c>
      <c r="CM131" s="372"/>
      <c r="CN131" s="372"/>
      <c r="CO131" s="372">
        <f>Roles!$D$7</f>
        <v>0.12</v>
      </c>
      <c r="CP131" s="372"/>
      <c r="CQ131" s="203">
        <f t="shared" si="24"/>
        <v>0</v>
      </c>
      <c r="CR131" s="372"/>
      <c r="CS131" s="372"/>
      <c r="CT131" s="372">
        <f>Roles!$D$7</f>
        <v>0.12</v>
      </c>
      <c r="CU131" s="372"/>
      <c r="CV131" s="203">
        <f t="shared" si="25"/>
        <v>0</v>
      </c>
      <c r="CW131" s="372"/>
      <c r="CX131" s="372"/>
      <c r="CY131" s="372">
        <f>Roles!$D$7</f>
        <v>0.12</v>
      </c>
      <c r="CZ131" s="372"/>
      <c r="DA131" s="203">
        <f t="shared" si="26"/>
        <v>0</v>
      </c>
      <c r="DB131" s="372"/>
      <c r="DC131" s="372"/>
      <c r="DD131" s="372">
        <f>Roles!$D$7</f>
        <v>0.12</v>
      </c>
      <c r="DE131" s="372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 t="shared" si="1"/>
        <v>1</v>
      </c>
      <c r="F132" s="80">
        <v>1.0</v>
      </c>
      <c r="G132" s="105">
        <f t="shared" si="2"/>
        <v>0.0008613264427</v>
      </c>
      <c r="H132" s="47">
        <f>H130+G132</f>
        <v>0.4392764858</v>
      </c>
      <c r="I132" s="231">
        <f t="shared" ref="I132:I134" si="125">P132+U132+Z132+AE132+AJ132+AO132+AT132+AY132+BD132+BI132+BN132+BS132+BX132+CC132+CH132+CM132+CR132+CW132+DB132</f>
        <v>1</v>
      </c>
      <c r="J132" s="172">
        <f>J130+I132</f>
        <v>926</v>
      </c>
      <c r="K132" s="115">
        <f t="shared" si="3"/>
        <v>0.8137082601</v>
      </c>
      <c r="L132" s="232">
        <f t="shared" ref="L132:L134" si="126">S132+X132+AC132+AH132+AM132+AR132+AW132+BB132+BG132+BL132+BQ132+BV132+CA132+CF132+CK132+CP132+CU132+CZ132+DE132</f>
        <v>0.44</v>
      </c>
      <c r="M132" s="172">
        <f>M130+L132</f>
        <v>407.44</v>
      </c>
      <c r="N132" s="7"/>
      <c r="O132" s="203">
        <f t="shared" si="7"/>
        <v>1</v>
      </c>
      <c r="P132" s="378">
        <v>1.0</v>
      </c>
      <c r="Q132" s="372"/>
      <c r="R132" s="372">
        <f>Roles!$D$5</f>
        <v>0.44</v>
      </c>
      <c r="S132" s="372">
        <f t="shared" si="8"/>
        <v>0.44</v>
      </c>
      <c r="T132" s="203">
        <f t="shared" si="9"/>
        <v>0</v>
      </c>
      <c r="U132" s="372"/>
      <c r="V132" s="372"/>
      <c r="W132" s="372">
        <f>Roles!$D$7</f>
        <v>0.12</v>
      </c>
      <c r="X132" s="372"/>
      <c r="Y132" s="203">
        <f t="shared" si="10"/>
        <v>0</v>
      </c>
      <c r="Z132" s="372"/>
      <c r="AA132" s="372"/>
      <c r="AB132" s="372">
        <f>Roles!$D$7</f>
        <v>0.12</v>
      </c>
      <c r="AC132" s="372"/>
      <c r="AD132" s="203">
        <f t="shared" si="11"/>
        <v>0</v>
      </c>
      <c r="AE132" s="372"/>
      <c r="AF132" s="372"/>
      <c r="AG132" s="372">
        <f>Roles!$D$7</f>
        <v>0.12</v>
      </c>
      <c r="AH132" s="372"/>
      <c r="AI132" s="203">
        <f t="shared" si="12"/>
        <v>0</v>
      </c>
      <c r="AJ132" s="372"/>
      <c r="AK132" s="372"/>
      <c r="AL132" s="372">
        <f>Roles!$D$7</f>
        <v>0.12</v>
      </c>
      <c r="AM132" s="372"/>
      <c r="AN132" s="203">
        <f t="shared" si="13"/>
        <v>0</v>
      </c>
      <c r="AO132" s="372"/>
      <c r="AP132" s="372"/>
      <c r="AQ132" s="372">
        <f>Roles!$D$7</f>
        <v>0.12</v>
      </c>
      <c r="AR132" s="372"/>
      <c r="AS132" s="203">
        <f t="shared" si="14"/>
        <v>0</v>
      </c>
      <c r="AT132" s="372"/>
      <c r="AU132" s="372"/>
      <c r="AV132" s="372">
        <f>Roles!$D$7</f>
        <v>0.12</v>
      </c>
      <c r="AW132" s="372"/>
      <c r="AX132" s="203">
        <f t="shared" si="15"/>
        <v>0</v>
      </c>
      <c r="AY132" s="372"/>
      <c r="AZ132" s="372"/>
      <c r="BA132" s="372">
        <f>Roles!$D$7</f>
        <v>0.12</v>
      </c>
      <c r="BB132" s="372"/>
      <c r="BC132" s="203">
        <f t="shared" si="16"/>
        <v>0</v>
      </c>
      <c r="BD132" s="372"/>
      <c r="BE132" s="372"/>
      <c r="BF132" s="372">
        <f>Roles!$D$7</f>
        <v>0.12</v>
      </c>
      <c r="BG132" s="372"/>
      <c r="BH132" s="203">
        <f t="shared" si="17"/>
        <v>0</v>
      </c>
      <c r="BI132" s="372"/>
      <c r="BJ132" s="372"/>
      <c r="BK132" s="372">
        <f>Roles!$D$7</f>
        <v>0.12</v>
      </c>
      <c r="BL132" s="372"/>
      <c r="BM132" s="203">
        <f t="shared" si="18"/>
        <v>0</v>
      </c>
      <c r="BN132" s="372"/>
      <c r="BO132" s="372"/>
      <c r="BP132" s="372">
        <f>Roles!$D$7</f>
        <v>0.12</v>
      </c>
      <c r="BQ132" s="372"/>
      <c r="BR132" s="203">
        <f t="shared" si="19"/>
        <v>0</v>
      </c>
      <c r="BS132" s="372"/>
      <c r="BT132" s="372"/>
      <c r="BU132" s="372">
        <f>Roles!$D$7</f>
        <v>0.12</v>
      </c>
      <c r="BV132" s="372"/>
      <c r="BW132" s="203">
        <f t="shared" si="20"/>
        <v>0</v>
      </c>
      <c r="BX132" s="372"/>
      <c r="BY132" s="372"/>
      <c r="BZ132" s="372">
        <f>Roles!$D$7</f>
        <v>0.12</v>
      </c>
      <c r="CA132" s="372"/>
      <c r="CB132" s="203">
        <f t="shared" si="21"/>
        <v>0</v>
      </c>
      <c r="CC132" s="372"/>
      <c r="CD132" s="372"/>
      <c r="CE132" s="372">
        <f>Roles!$D$7</f>
        <v>0.12</v>
      </c>
      <c r="CF132" s="372"/>
      <c r="CG132" s="203">
        <f t="shared" si="22"/>
        <v>0</v>
      </c>
      <c r="CH132" s="372"/>
      <c r="CI132" s="372"/>
      <c r="CJ132" s="372">
        <f>Roles!$D$7</f>
        <v>0.12</v>
      </c>
      <c r="CK132" s="372"/>
      <c r="CL132" s="203">
        <f t="shared" si="23"/>
        <v>0</v>
      </c>
      <c r="CM132" s="372"/>
      <c r="CN132" s="372"/>
      <c r="CO132" s="372">
        <f>Roles!$D$7</f>
        <v>0.12</v>
      </c>
      <c r="CP132" s="372"/>
      <c r="CQ132" s="203">
        <f t="shared" si="24"/>
        <v>0</v>
      </c>
      <c r="CR132" s="372"/>
      <c r="CS132" s="372"/>
      <c r="CT132" s="372">
        <f>Roles!$D$7</f>
        <v>0.12</v>
      </c>
      <c r="CU132" s="372"/>
      <c r="CV132" s="203">
        <f t="shared" si="25"/>
        <v>0</v>
      </c>
      <c r="CW132" s="372"/>
      <c r="CX132" s="372"/>
      <c r="CY132" s="372">
        <f>Roles!$D$7</f>
        <v>0.12</v>
      </c>
      <c r="CZ132" s="372"/>
      <c r="DA132" s="203">
        <f t="shared" si="26"/>
        <v>0</v>
      </c>
      <c r="DB132" s="372"/>
      <c r="DC132" s="372"/>
      <c r="DD132" s="372">
        <f>Roles!$D$7</f>
        <v>0.12</v>
      </c>
      <c r="DE132" s="372"/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 t="shared" si="1"/>
        <v>3</v>
      </c>
      <c r="F133" s="80">
        <v>25.0</v>
      </c>
      <c r="G133" s="105">
        <f t="shared" si="2"/>
        <v>0.02153316107</v>
      </c>
      <c r="H133" s="47">
        <f t="shared" ref="H133:H134" si="127">H132+G133</f>
        <v>0.4608096469</v>
      </c>
      <c r="I133" s="231">
        <f t="shared" si="125"/>
        <v>0</v>
      </c>
      <c r="J133" s="172">
        <f t="shared" ref="J133:J134" si="128">J132+I133</f>
        <v>926</v>
      </c>
      <c r="K133" s="115">
        <f t="shared" si="3"/>
        <v>0.8137082601</v>
      </c>
      <c r="L133" s="232">
        <f t="shared" si="126"/>
        <v>0</v>
      </c>
      <c r="M133" s="172">
        <f t="shared" ref="M133:M134" si="129">M132+L133</f>
        <v>407.44</v>
      </c>
      <c r="N133" s="7"/>
      <c r="O133" s="203">
        <f t="shared" si="7"/>
        <v>0</v>
      </c>
      <c r="P133" s="378">
        <v>0.0</v>
      </c>
      <c r="Q133" s="372"/>
      <c r="R133" s="372">
        <f>Roles!$D$5</f>
        <v>0.44</v>
      </c>
      <c r="S133" s="372">
        <f t="shared" si="8"/>
        <v>0</v>
      </c>
      <c r="T133" s="203">
        <f t="shared" si="9"/>
        <v>0</v>
      </c>
      <c r="U133" s="372"/>
      <c r="V133" s="372"/>
      <c r="W133" s="372">
        <f>Roles!$D$7</f>
        <v>0.12</v>
      </c>
      <c r="X133" s="372"/>
      <c r="Y133" s="203">
        <f t="shared" si="10"/>
        <v>0</v>
      </c>
      <c r="Z133" s="372"/>
      <c r="AA133" s="372"/>
      <c r="AB133" s="372">
        <f>Roles!$D$7</f>
        <v>0.12</v>
      </c>
      <c r="AC133" s="372"/>
      <c r="AD133" s="203">
        <f t="shared" si="11"/>
        <v>0</v>
      </c>
      <c r="AE133" s="372"/>
      <c r="AF133" s="372"/>
      <c r="AG133" s="372">
        <f>Roles!$D$7</f>
        <v>0.12</v>
      </c>
      <c r="AH133" s="372"/>
      <c r="AI133" s="203">
        <f t="shared" si="12"/>
        <v>0</v>
      </c>
      <c r="AJ133" s="372"/>
      <c r="AK133" s="372"/>
      <c r="AL133" s="372">
        <f>Roles!$D$7</f>
        <v>0.12</v>
      </c>
      <c r="AM133" s="372"/>
      <c r="AN133" s="203">
        <f t="shared" si="13"/>
        <v>0</v>
      </c>
      <c r="AO133" s="372"/>
      <c r="AP133" s="372"/>
      <c r="AQ133" s="372">
        <f>Roles!$D$7</f>
        <v>0.12</v>
      </c>
      <c r="AR133" s="372"/>
      <c r="AS133" s="203">
        <f t="shared" si="14"/>
        <v>0</v>
      </c>
      <c r="AT133" s="372"/>
      <c r="AU133" s="372"/>
      <c r="AV133" s="372">
        <f>Roles!$D$7</f>
        <v>0.12</v>
      </c>
      <c r="AW133" s="372"/>
      <c r="AX133" s="203">
        <f t="shared" si="15"/>
        <v>0</v>
      </c>
      <c r="AY133" s="372"/>
      <c r="AZ133" s="372"/>
      <c r="BA133" s="372">
        <f>Roles!$D$7</f>
        <v>0.12</v>
      </c>
      <c r="BB133" s="372"/>
      <c r="BC133" s="203">
        <f t="shared" si="16"/>
        <v>0</v>
      </c>
      <c r="BD133" s="372"/>
      <c r="BE133" s="372"/>
      <c r="BF133" s="372">
        <f>Roles!$D$7</f>
        <v>0.12</v>
      </c>
      <c r="BG133" s="372"/>
      <c r="BH133" s="203">
        <f t="shared" si="17"/>
        <v>0</v>
      </c>
      <c r="BI133" s="372"/>
      <c r="BJ133" s="372"/>
      <c r="BK133" s="372">
        <f>Roles!$D$7</f>
        <v>0.12</v>
      </c>
      <c r="BL133" s="372"/>
      <c r="BM133" s="203">
        <f t="shared" si="18"/>
        <v>0</v>
      </c>
      <c r="BN133" s="372"/>
      <c r="BO133" s="372"/>
      <c r="BP133" s="372">
        <f>Roles!$D$7</f>
        <v>0.12</v>
      </c>
      <c r="BQ133" s="372"/>
      <c r="BR133" s="203">
        <f t="shared" si="19"/>
        <v>0</v>
      </c>
      <c r="BS133" s="372"/>
      <c r="BT133" s="372"/>
      <c r="BU133" s="372">
        <f>Roles!$D$7</f>
        <v>0.12</v>
      </c>
      <c r="BV133" s="372"/>
      <c r="BW133" s="203">
        <f t="shared" si="20"/>
        <v>0</v>
      </c>
      <c r="BX133" s="372"/>
      <c r="BY133" s="372"/>
      <c r="BZ133" s="372">
        <f>Roles!$D$7</f>
        <v>0.12</v>
      </c>
      <c r="CA133" s="372"/>
      <c r="CB133" s="203">
        <f t="shared" si="21"/>
        <v>0</v>
      </c>
      <c r="CC133" s="372"/>
      <c r="CD133" s="372"/>
      <c r="CE133" s="372">
        <f>Roles!$D$7</f>
        <v>0.12</v>
      </c>
      <c r="CF133" s="372"/>
      <c r="CG133" s="203">
        <f t="shared" si="22"/>
        <v>0</v>
      </c>
      <c r="CH133" s="372"/>
      <c r="CI133" s="372"/>
      <c r="CJ133" s="372">
        <f>Roles!$D$7</f>
        <v>0.12</v>
      </c>
      <c r="CK133" s="372"/>
      <c r="CL133" s="203">
        <f t="shared" si="23"/>
        <v>0</v>
      </c>
      <c r="CM133" s="372"/>
      <c r="CN133" s="372"/>
      <c r="CO133" s="372">
        <f>Roles!$D$7</f>
        <v>0.12</v>
      </c>
      <c r="CP133" s="372"/>
      <c r="CQ133" s="203">
        <f t="shared" si="24"/>
        <v>0</v>
      </c>
      <c r="CR133" s="372"/>
      <c r="CS133" s="372"/>
      <c r="CT133" s="372">
        <f>Roles!$D$7</f>
        <v>0.12</v>
      </c>
      <c r="CU133" s="372"/>
      <c r="CV133" s="203">
        <f t="shared" si="25"/>
        <v>0</v>
      </c>
      <c r="CW133" s="372"/>
      <c r="CX133" s="372"/>
      <c r="CY133" s="372">
        <f>Roles!$D$7</f>
        <v>0.12</v>
      </c>
      <c r="CZ133" s="372"/>
      <c r="DA133" s="203">
        <f t="shared" si="26"/>
        <v>0</v>
      </c>
      <c r="DB133" s="372"/>
      <c r="DC133" s="372"/>
      <c r="DD133" s="372">
        <f>Roles!$D$7</f>
        <v>0.12</v>
      </c>
      <c r="DE133" s="372"/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 t="shared" si="1"/>
        <v>3</v>
      </c>
      <c r="F134" s="80">
        <v>25.0</v>
      </c>
      <c r="G134" s="105">
        <f t="shared" si="2"/>
        <v>0.02153316107</v>
      </c>
      <c r="H134" s="47">
        <f t="shared" si="127"/>
        <v>0.4823428079</v>
      </c>
      <c r="I134" s="231">
        <f t="shared" si="125"/>
        <v>0</v>
      </c>
      <c r="J134" s="172">
        <f t="shared" si="128"/>
        <v>926</v>
      </c>
      <c r="K134" s="115">
        <f t="shared" si="3"/>
        <v>0.8137082601</v>
      </c>
      <c r="L134" s="232">
        <f t="shared" si="126"/>
        <v>0</v>
      </c>
      <c r="M134" s="172">
        <f t="shared" si="129"/>
        <v>407.44</v>
      </c>
      <c r="N134" s="7"/>
      <c r="O134" s="203">
        <f t="shared" si="7"/>
        <v>0</v>
      </c>
      <c r="P134" s="378">
        <v>0.0</v>
      </c>
      <c r="Q134" s="372"/>
      <c r="R134" s="372">
        <f>Roles!$D$5</f>
        <v>0.44</v>
      </c>
      <c r="S134" s="372">
        <f t="shared" si="8"/>
        <v>0</v>
      </c>
      <c r="T134" s="203">
        <f t="shared" si="9"/>
        <v>0</v>
      </c>
      <c r="U134" s="372"/>
      <c r="V134" s="372"/>
      <c r="W134" s="372">
        <f>Roles!$D$7</f>
        <v>0.12</v>
      </c>
      <c r="X134" s="372"/>
      <c r="Y134" s="203">
        <f t="shared" si="10"/>
        <v>0</v>
      </c>
      <c r="Z134" s="372"/>
      <c r="AA134" s="372"/>
      <c r="AB134" s="372">
        <f>Roles!$D$7</f>
        <v>0.12</v>
      </c>
      <c r="AC134" s="372"/>
      <c r="AD134" s="203">
        <f t="shared" si="11"/>
        <v>0</v>
      </c>
      <c r="AE134" s="372"/>
      <c r="AF134" s="372"/>
      <c r="AG134" s="372">
        <f>Roles!$D$7</f>
        <v>0.12</v>
      </c>
      <c r="AH134" s="372"/>
      <c r="AI134" s="203">
        <f t="shared" si="12"/>
        <v>0</v>
      </c>
      <c r="AJ134" s="372"/>
      <c r="AK134" s="372"/>
      <c r="AL134" s="372">
        <f>Roles!$D$7</f>
        <v>0.12</v>
      </c>
      <c r="AM134" s="372"/>
      <c r="AN134" s="203">
        <f t="shared" si="13"/>
        <v>0</v>
      </c>
      <c r="AO134" s="372"/>
      <c r="AP134" s="372"/>
      <c r="AQ134" s="372">
        <f>Roles!$D$7</f>
        <v>0.12</v>
      </c>
      <c r="AR134" s="372"/>
      <c r="AS134" s="203">
        <f t="shared" si="14"/>
        <v>0</v>
      </c>
      <c r="AT134" s="372"/>
      <c r="AU134" s="372"/>
      <c r="AV134" s="372">
        <f>Roles!$D$7</f>
        <v>0.12</v>
      </c>
      <c r="AW134" s="372"/>
      <c r="AX134" s="203">
        <f t="shared" si="15"/>
        <v>0</v>
      </c>
      <c r="AY134" s="372"/>
      <c r="AZ134" s="372"/>
      <c r="BA134" s="372">
        <f>Roles!$D$7</f>
        <v>0.12</v>
      </c>
      <c r="BB134" s="372"/>
      <c r="BC134" s="203">
        <f t="shared" si="16"/>
        <v>0</v>
      </c>
      <c r="BD134" s="372"/>
      <c r="BE134" s="372"/>
      <c r="BF134" s="372">
        <f>Roles!$D$7</f>
        <v>0.12</v>
      </c>
      <c r="BG134" s="372"/>
      <c r="BH134" s="203">
        <f t="shared" si="17"/>
        <v>0</v>
      </c>
      <c r="BI134" s="372"/>
      <c r="BJ134" s="372"/>
      <c r="BK134" s="372">
        <f>Roles!$D$7</f>
        <v>0.12</v>
      </c>
      <c r="BL134" s="372"/>
      <c r="BM134" s="203">
        <f t="shared" si="18"/>
        <v>0</v>
      </c>
      <c r="BN134" s="372"/>
      <c r="BO134" s="372"/>
      <c r="BP134" s="372">
        <f>Roles!$D$7</f>
        <v>0.12</v>
      </c>
      <c r="BQ134" s="372"/>
      <c r="BR134" s="203">
        <f t="shared" si="19"/>
        <v>0</v>
      </c>
      <c r="BS134" s="372"/>
      <c r="BT134" s="372"/>
      <c r="BU134" s="372">
        <f>Roles!$D$7</f>
        <v>0.12</v>
      </c>
      <c r="BV134" s="372"/>
      <c r="BW134" s="203">
        <f t="shared" si="20"/>
        <v>0</v>
      </c>
      <c r="BX134" s="372"/>
      <c r="BY134" s="372"/>
      <c r="BZ134" s="372">
        <f>Roles!$D$7</f>
        <v>0.12</v>
      </c>
      <c r="CA134" s="372"/>
      <c r="CB134" s="203">
        <f t="shared" si="21"/>
        <v>0</v>
      </c>
      <c r="CC134" s="372"/>
      <c r="CD134" s="372"/>
      <c r="CE134" s="372">
        <f>Roles!$D$7</f>
        <v>0.12</v>
      </c>
      <c r="CF134" s="372"/>
      <c r="CG134" s="203">
        <f t="shared" si="22"/>
        <v>0</v>
      </c>
      <c r="CH134" s="372"/>
      <c r="CI134" s="372"/>
      <c r="CJ134" s="372">
        <f>Roles!$D$7</f>
        <v>0.12</v>
      </c>
      <c r="CK134" s="372"/>
      <c r="CL134" s="203">
        <f t="shared" si="23"/>
        <v>0</v>
      </c>
      <c r="CM134" s="372"/>
      <c r="CN134" s="372"/>
      <c r="CO134" s="372">
        <f>Roles!$D$7</f>
        <v>0.12</v>
      </c>
      <c r="CP134" s="372"/>
      <c r="CQ134" s="203">
        <f t="shared" si="24"/>
        <v>0</v>
      </c>
      <c r="CR134" s="372"/>
      <c r="CS134" s="372"/>
      <c r="CT134" s="372">
        <f>Roles!$D$7</f>
        <v>0.12</v>
      </c>
      <c r="CU134" s="372"/>
      <c r="CV134" s="203">
        <f t="shared" si="25"/>
        <v>0</v>
      </c>
      <c r="CW134" s="372"/>
      <c r="CX134" s="372"/>
      <c r="CY134" s="372">
        <f>Roles!$D$7</f>
        <v>0.12</v>
      </c>
      <c r="CZ134" s="372"/>
      <c r="DA134" s="203">
        <f t="shared" si="26"/>
        <v>0</v>
      </c>
      <c r="DB134" s="372"/>
      <c r="DC134" s="372"/>
      <c r="DD134" s="372">
        <f>Roles!$D$7</f>
        <v>0.12</v>
      </c>
      <c r="DE134" s="372"/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 t="shared" si="1"/>
        <v>4</v>
      </c>
      <c r="F135" s="246">
        <f>SUM(F136:F138)</f>
        <v>26</v>
      </c>
      <c r="G135" s="105">
        <f t="shared" si="2"/>
        <v>0.02239448751</v>
      </c>
      <c r="H135" s="226">
        <f>H138</f>
        <v>0.5047372954</v>
      </c>
      <c r="I135" s="247">
        <f>SUM(I136:I138)</f>
        <v>1</v>
      </c>
      <c r="J135" s="247">
        <f>J138</f>
        <v>927</v>
      </c>
      <c r="K135" s="167">
        <f t="shared" si="3"/>
        <v>0.8145869947</v>
      </c>
      <c r="L135" s="247">
        <f>SUM(L136:L138)</f>
        <v>0.44</v>
      </c>
      <c r="M135" s="247">
        <f>M138</f>
        <v>407.88</v>
      </c>
      <c r="N135" s="7"/>
      <c r="O135" s="203">
        <f t="shared" si="7"/>
        <v>0</v>
      </c>
      <c r="P135" s="372"/>
      <c r="Q135" s="372"/>
      <c r="R135" s="372">
        <f>Roles!$D$5</f>
        <v>0.44</v>
      </c>
      <c r="S135" s="372">
        <f t="shared" si="8"/>
        <v>0</v>
      </c>
      <c r="T135" s="203">
        <f t="shared" si="9"/>
        <v>0</v>
      </c>
      <c r="U135" s="372"/>
      <c r="V135" s="372"/>
      <c r="W135" s="372">
        <f>Roles!$D$7</f>
        <v>0.12</v>
      </c>
      <c r="X135" s="372"/>
      <c r="Y135" s="203">
        <f t="shared" si="10"/>
        <v>0</v>
      </c>
      <c r="Z135" s="372"/>
      <c r="AA135" s="372"/>
      <c r="AB135" s="372">
        <f>Roles!$D$7</f>
        <v>0.12</v>
      </c>
      <c r="AC135" s="372"/>
      <c r="AD135" s="203">
        <f t="shared" si="11"/>
        <v>0</v>
      </c>
      <c r="AE135" s="372"/>
      <c r="AF135" s="372"/>
      <c r="AG135" s="372">
        <f>Roles!$D$7</f>
        <v>0.12</v>
      </c>
      <c r="AH135" s="372"/>
      <c r="AI135" s="203">
        <f t="shared" si="12"/>
        <v>0</v>
      </c>
      <c r="AJ135" s="372"/>
      <c r="AK135" s="372"/>
      <c r="AL135" s="372">
        <f>Roles!$D$7</f>
        <v>0.12</v>
      </c>
      <c r="AM135" s="372"/>
      <c r="AN135" s="203">
        <f t="shared" si="13"/>
        <v>0</v>
      </c>
      <c r="AO135" s="372"/>
      <c r="AP135" s="372"/>
      <c r="AQ135" s="372">
        <f>Roles!$D$7</f>
        <v>0.12</v>
      </c>
      <c r="AR135" s="372"/>
      <c r="AS135" s="203">
        <f t="shared" si="14"/>
        <v>0</v>
      </c>
      <c r="AT135" s="372"/>
      <c r="AU135" s="372"/>
      <c r="AV135" s="372">
        <f>Roles!$D$7</f>
        <v>0.12</v>
      </c>
      <c r="AW135" s="372"/>
      <c r="AX135" s="203">
        <f t="shared" si="15"/>
        <v>0</v>
      </c>
      <c r="AY135" s="372"/>
      <c r="AZ135" s="372"/>
      <c r="BA135" s="372">
        <f>Roles!$D$7</f>
        <v>0.12</v>
      </c>
      <c r="BB135" s="372"/>
      <c r="BC135" s="203">
        <f t="shared" si="16"/>
        <v>0</v>
      </c>
      <c r="BD135" s="372"/>
      <c r="BE135" s="372"/>
      <c r="BF135" s="372">
        <f>Roles!$D$7</f>
        <v>0.12</v>
      </c>
      <c r="BG135" s="372"/>
      <c r="BH135" s="203">
        <f t="shared" si="17"/>
        <v>0</v>
      </c>
      <c r="BI135" s="372"/>
      <c r="BJ135" s="372"/>
      <c r="BK135" s="372">
        <f>Roles!$D$7</f>
        <v>0.12</v>
      </c>
      <c r="BL135" s="372"/>
      <c r="BM135" s="203">
        <f t="shared" si="18"/>
        <v>0</v>
      </c>
      <c r="BN135" s="372"/>
      <c r="BO135" s="372"/>
      <c r="BP135" s="372">
        <f>Roles!$D$7</f>
        <v>0.12</v>
      </c>
      <c r="BQ135" s="372"/>
      <c r="BR135" s="203">
        <f t="shared" si="19"/>
        <v>0</v>
      </c>
      <c r="BS135" s="372"/>
      <c r="BT135" s="372"/>
      <c r="BU135" s="372">
        <f>Roles!$D$7</f>
        <v>0.12</v>
      </c>
      <c r="BV135" s="372"/>
      <c r="BW135" s="203">
        <f t="shared" si="20"/>
        <v>0</v>
      </c>
      <c r="BX135" s="372"/>
      <c r="BY135" s="372"/>
      <c r="BZ135" s="372">
        <f>Roles!$D$7</f>
        <v>0.12</v>
      </c>
      <c r="CA135" s="372"/>
      <c r="CB135" s="203">
        <f t="shared" si="21"/>
        <v>0</v>
      </c>
      <c r="CC135" s="372"/>
      <c r="CD135" s="372"/>
      <c r="CE135" s="372">
        <f>Roles!$D$7</f>
        <v>0.12</v>
      </c>
      <c r="CF135" s="372"/>
      <c r="CG135" s="203">
        <f t="shared" si="22"/>
        <v>0</v>
      </c>
      <c r="CH135" s="372"/>
      <c r="CI135" s="372"/>
      <c r="CJ135" s="372">
        <f>Roles!$D$7</f>
        <v>0.12</v>
      </c>
      <c r="CK135" s="372"/>
      <c r="CL135" s="203">
        <f t="shared" si="23"/>
        <v>0</v>
      </c>
      <c r="CM135" s="372"/>
      <c r="CN135" s="372"/>
      <c r="CO135" s="372">
        <f>Roles!$D$7</f>
        <v>0.12</v>
      </c>
      <c r="CP135" s="372"/>
      <c r="CQ135" s="203">
        <f t="shared" si="24"/>
        <v>0</v>
      </c>
      <c r="CR135" s="372"/>
      <c r="CS135" s="372"/>
      <c r="CT135" s="372">
        <f>Roles!$D$7</f>
        <v>0.12</v>
      </c>
      <c r="CU135" s="372"/>
      <c r="CV135" s="203">
        <f t="shared" si="25"/>
        <v>0</v>
      </c>
      <c r="CW135" s="372"/>
      <c r="CX135" s="372"/>
      <c r="CY135" s="372">
        <f>Roles!$D$7</f>
        <v>0.12</v>
      </c>
      <c r="CZ135" s="372"/>
      <c r="DA135" s="203">
        <f t="shared" si="26"/>
        <v>0</v>
      </c>
      <c r="DB135" s="372"/>
      <c r="DC135" s="372"/>
      <c r="DD135" s="372">
        <f>Roles!$D$7</f>
        <v>0.12</v>
      </c>
      <c r="DE135" s="372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 t="shared" si="1"/>
        <v>2</v>
      </c>
      <c r="F136" s="80">
        <v>10.0</v>
      </c>
      <c r="G136" s="105">
        <f t="shared" si="2"/>
        <v>0.008613264427</v>
      </c>
      <c r="H136" s="47">
        <f>H134+G136</f>
        <v>0.4909560724</v>
      </c>
      <c r="I136" s="231">
        <f t="shared" ref="I136:I138" si="130">P136+U136+Z136+AE136+AJ136+AO136+AT136+AY136+BD136+BI136+BN136+BS136+BX136+CC136+CH136+CM136+CR136+CW136+DB136</f>
        <v>0</v>
      </c>
      <c r="J136" s="172">
        <f>J134+I136</f>
        <v>926</v>
      </c>
      <c r="K136" s="115">
        <f t="shared" si="3"/>
        <v>0.8137082601</v>
      </c>
      <c r="L136" s="232">
        <f t="shared" ref="L136:L138" si="131">S136+X136+AC136+AH136+AM136+AR136+AW136+BB136+BG136+BL136+BQ136+BV136+CA136+CF136+CK136+CP136+CU136+CZ136+DE136</f>
        <v>0</v>
      </c>
      <c r="M136" s="172">
        <f>M134+L136</f>
        <v>407.44</v>
      </c>
      <c r="N136" s="7"/>
      <c r="O136" s="203">
        <f t="shared" si="7"/>
        <v>0</v>
      </c>
      <c r="P136" s="378">
        <v>0.0</v>
      </c>
      <c r="Q136" s="372"/>
      <c r="R136" s="372">
        <f>Roles!$D$5</f>
        <v>0.44</v>
      </c>
      <c r="S136" s="372">
        <f t="shared" si="8"/>
        <v>0</v>
      </c>
      <c r="T136" s="203">
        <f t="shared" si="9"/>
        <v>0</v>
      </c>
      <c r="U136" s="372"/>
      <c r="V136" s="372"/>
      <c r="W136" s="372">
        <f>Roles!$D$7</f>
        <v>0.12</v>
      </c>
      <c r="X136" s="372"/>
      <c r="Y136" s="203">
        <f t="shared" si="10"/>
        <v>0</v>
      </c>
      <c r="Z136" s="372"/>
      <c r="AA136" s="372"/>
      <c r="AB136" s="372">
        <f>Roles!$D$7</f>
        <v>0.12</v>
      </c>
      <c r="AC136" s="372"/>
      <c r="AD136" s="203">
        <f t="shared" si="11"/>
        <v>0</v>
      </c>
      <c r="AE136" s="372"/>
      <c r="AF136" s="372"/>
      <c r="AG136" s="372">
        <f>Roles!$D$7</f>
        <v>0.12</v>
      </c>
      <c r="AH136" s="372"/>
      <c r="AI136" s="203">
        <f t="shared" si="12"/>
        <v>0</v>
      </c>
      <c r="AJ136" s="372"/>
      <c r="AK136" s="372"/>
      <c r="AL136" s="372">
        <f>Roles!$D$7</f>
        <v>0.12</v>
      </c>
      <c r="AM136" s="372"/>
      <c r="AN136" s="203">
        <f t="shared" si="13"/>
        <v>0</v>
      </c>
      <c r="AO136" s="372"/>
      <c r="AP136" s="372"/>
      <c r="AQ136" s="372">
        <f>Roles!$D$7</f>
        <v>0.12</v>
      </c>
      <c r="AR136" s="372"/>
      <c r="AS136" s="203">
        <f t="shared" si="14"/>
        <v>0</v>
      </c>
      <c r="AT136" s="372"/>
      <c r="AU136" s="372"/>
      <c r="AV136" s="372">
        <f>Roles!$D$7</f>
        <v>0.12</v>
      </c>
      <c r="AW136" s="372"/>
      <c r="AX136" s="203">
        <f t="shared" si="15"/>
        <v>0</v>
      </c>
      <c r="AY136" s="372"/>
      <c r="AZ136" s="372"/>
      <c r="BA136" s="372">
        <f>Roles!$D$7</f>
        <v>0.12</v>
      </c>
      <c r="BB136" s="372"/>
      <c r="BC136" s="203">
        <f t="shared" si="16"/>
        <v>0</v>
      </c>
      <c r="BD136" s="372"/>
      <c r="BE136" s="372"/>
      <c r="BF136" s="372">
        <f>Roles!$D$7</f>
        <v>0.12</v>
      </c>
      <c r="BG136" s="372"/>
      <c r="BH136" s="203">
        <f t="shared" si="17"/>
        <v>0</v>
      </c>
      <c r="BI136" s="372"/>
      <c r="BJ136" s="372"/>
      <c r="BK136" s="372">
        <f>Roles!$D$7</f>
        <v>0.12</v>
      </c>
      <c r="BL136" s="372"/>
      <c r="BM136" s="203">
        <f t="shared" si="18"/>
        <v>0</v>
      </c>
      <c r="BN136" s="372"/>
      <c r="BO136" s="372"/>
      <c r="BP136" s="372">
        <f>Roles!$D$7</f>
        <v>0.12</v>
      </c>
      <c r="BQ136" s="372"/>
      <c r="BR136" s="203">
        <f t="shared" si="19"/>
        <v>0</v>
      </c>
      <c r="BS136" s="372"/>
      <c r="BT136" s="372"/>
      <c r="BU136" s="372">
        <f>Roles!$D$7</f>
        <v>0.12</v>
      </c>
      <c r="BV136" s="372"/>
      <c r="BW136" s="203">
        <f t="shared" si="20"/>
        <v>0</v>
      </c>
      <c r="BX136" s="372"/>
      <c r="BY136" s="372"/>
      <c r="BZ136" s="372">
        <f>Roles!$D$7</f>
        <v>0.12</v>
      </c>
      <c r="CA136" s="372"/>
      <c r="CB136" s="203">
        <f t="shared" si="21"/>
        <v>0</v>
      </c>
      <c r="CC136" s="372"/>
      <c r="CD136" s="372"/>
      <c r="CE136" s="372">
        <f>Roles!$D$7</f>
        <v>0.12</v>
      </c>
      <c r="CF136" s="372"/>
      <c r="CG136" s="203">
        <f t="shared" si="22"/>
        <v>0</v>
      </c>
      <c r="CH136" s="372"/>
      <c r="CI136" s="372"/>
      <c r="CJ136" s="372">
        <f>Roles!$D$7</f>
        <v>0.12</v>
      </c>
      <c r="CK136" s="372"/>
      <c r="CL136" s="203">
        <f t="shared" si="23"/>
        <v>0</v>
      </c>
      <c r="CM136" s="372"/>
      <c r="CN136" s="372"/>
      <c r="CO136" s="372">
        <f>Roles!$D$7</f>
        <v>0.12</v>
      </c>
      <c r="CP136" s="372"/>
      <c r="CQ136" s="203">
        <f t="shared" si="24"/>
        <v>0</v>
      </c>
      <c r="CR136" s="372"/>
      <c r="CS136" s="372"/>
      <c r="CT136" s="372">
        <f>Roles!$D$7</f>
        <v>0.12</v>
      </c>
      <c r="CU136" s="372"/>
      <c r="CV136" s="203">
        <f t="shared" si="25"/>
        <v>0</v>
      </c>
      <c r="CW136" s="372"/>
      <c r="CX136" s="372"/>
      <c r="CY136" s="372">
        <f>Roles!$D$7</f>
        <v>0.12</v>
      </c>
      <c r="CZ136" s="372"/>
      <c r="DA136" s="203">
        <f t="shared" si="26"/>
        <v>0</v>
      </c>
      <c r="DB136" s="372"/>
      <c r="DC136" s="372"/>
      <c r="DD136" s="372">
        <f>Roles!$D$7</f>
        <v>0.12</v>
      </c>
      <c r="DE136" s="372"/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 t="shared" si="1"/>
        <v>1</v>
      </c>
      <c r="F137" s="80">
        <v>1.0</v>
      </c>
      <c r="G137" s="105">
        <f t="shared" si="2"/>
        <v>0.0008613264427</v>
      </c>
      <c r="H137" s="186">
        <f t="shared" ref="H137:H138" si="132">H136+G137</f>
        <v>0.4918173988</v>
      </c>
      <c r="I137" s="231">
        <f t="shared" si="130"/>
        <v>1</v>
      </c>
      <c r="J137" s="233">
        <f t="shared" ref="J137:J138" si="133">J136+I137</f>
        <v>927</v>
      </c>
      <c r="K137" s="340">
        <f t="shared" si="3"/>
        <v>0.8145869947</v>
      </c>
      <c r="L137" s="232">
        <f t="shared" si="131"/>
        <v>0.44</v>
      </c>
      <c r="M137" s="233">
        <f t="shared" ref="M137:M138" si="134">M136+L137</f>
        <v>407.88</v>
      </c>
      <c r="N137" s="7"/>
      <c r="O137" s="203">
        <f t="shared" si="7"/>
        <v>1</v>
      </c>
      <c r="P137" s="378">
        <v>1.0</v>
      </c>
      <c r="Q137" s="372"/>
      <c r="R137" s="372">
        <f>Roles!$D$5</f>
        <v>0.44</v>
      </c>
      <c r="S137" s="372">
        <f t="shared" si="8"/>
        <v>0.44</v>
      </c>
      <c r="T137" s="203">
        <f t="shared" si="9"/>
        <v>0</v>
      </c>
      <c r="U137" s="372"/>
      <c r="V137" s="372"/>
      <c r="W137" s="372">
        <f>Roles!$D$7</f>
        <v>0.12</v>
      </c>
      <c r="X137" s="372"/>
      <c r="Y137" s="203">
        <f t="shared" si="10"/>
        <v>0</v>
      </c>
      <c r="Z137" s="372"/>
      <c r="AA137" s="372"/>
      <c r="AB137" s="372">
        <f>Roles!$D$7</f>
        <v>0.12</v>
      </c>
      <c r="AC137" s="372"/>
      <c r="AD137" s="203">
        <f t="shared" si="11"/>
        <v>0</v>
      </c>
      <c r="AE137" s="372"/>
      <c r="AF137" s="372"/>
      <c r="AG137" s="372">
        <f>Roles!$D$7</f>
        <v>0.12</v>
      </c>
      <c r="AH137" s="372"/>
      <c r="AI137" s="203">
        <f t="shared" si="12"/>
        <v>0</v>
      </c>
      <c r="AJ137" s="372"/>
      <c r="AK137" s="372"/>
      <c r="AL137" s="372">
        <f>Roles!$D$7</f>
        <v>0.12</v>
      </c>
      <c r="AM137" s="372"/>
      <c r="AN137" s="203">
        <f t="shared" si="13"/>
        <v>0</v>
      </c>
      <c r="AO137" s="372"/>
      <c r="AP137" s="372"/>
      <c r="AQ137" s="372">
        <f>Roles!$D$7</f>
        <v>0.12</v>
      </c>
      <c r="AR137" s="372"/>
      <c r="AS137" s="203">
        <f t="shared" si="14"/>
        <v>0</v>
      </c>
      <c r="AT137" s="372"/>
      <c r="AU137" s="372"/>
      <c r="AV137" s="372">
        <f>Roles!$D$7</f>
        <v>0.12</v>
      </c>
      <c r="AW137" s="372"/>
      <c r="AX137" s="203">
        <f t="shared" si="15"/>
        <v>0</v>
      </c>
      <c r="AY137" s="372"/>
      <c r="AZ137" s="372"/>
      <c r="BA137" s="372">
        <f>Roles!$D$7</f>
        <v>0.12</v>
      </c>
      <c r="BB137" s="372"/>
      <c r="BC137" s="203">
        <f t="shared" si="16"/>
        <v>0</v>
      </c>
      <c r="BD137" s="372"/>
      <c r="BE137" s="372"/>
      <c r="BF137" s="372">
        <f>Roles!$D$7</f>
        <v>0.12</v>
      </c>
      <c r="BG137" s="372"/>
      <c r="BH137" s="203">
        <f t="shared" si="17"/>
        <v>0</v>
      </c>
      <c r="BI137" s="372"/>
      <c r="BJ137" s="372"/>
      <c r="BK137" s="372">
        <f>Roles!$D$7</f>
        <v>0.12</v>
      </c>
      <c r="BL137" s="372"/>
      <c r="BM137" s="203">
        <f t="shared" si="18"/>
        <v>0</v>
      </c>
      <c r="BN137" s="372"/>
      <c r="BO137" s="372"/>
      <c r="BP137" s="372">
        <f>Roles!$D$7</f>
        <v>0.12</v>
      </c>
      <c r="BQ137" s="372"/>
      <c r="BR137" s="203">
        <f t="shared" si="19"/>
        <v>0</v>
      </c>
      <c r="BS137" s="372"/>
      <c r="BT137" s="372"/>
      <c r="BU137" s="372">
        <f>Roles!$D$7</f>
        <v>0.12</v>
      </c>
      <c r="BV137" s="372"/>
      <c r="BW137" s="203">
        <f t="shared" si="20"/>
        <v>0</v>
      </c>
      <c r="BX137" s="372"/>
      <c r="BY137" s="372"/>
      <c r="BZ137" s="372">
        <f>Roles!$D$7</f>
        <v>0.12</v>
      </c>
      <c r="CA137" s="372"/>
      <c r="CB137" s="203">
        <f t="shared" si="21"/>
        <v>0</v>
      </c>
      <c r="CC137" s="372"/>
      <c r="CD137" s="372"/>
      <c r="CE137" s="372">
        <f>Roles!$D$7</f>
        <v>0.12</v>
      </c>
      <c r="CF137" s="372"/>
      <c r="CG137" s="203">
        <f t="shared" si="22"/>
        <v>0</v>
      </c>
      <c r="CH137" s="372"/>
      <c r="CI137" s="372"/>
      <c r="CJ137" s="372">
        <f>Roles!$D$7</f>
        <v>0.12</v>
      </c>
      <c r="CK137" s="372"/>
      <c r="CL137" s="203">
        <f t="shared" si="23"/>
        <v>0</v>
      </c>
      <c r="CM137" s="372"/>
      <c r="CN137" s="372"/>
      <c r="CO137" s="372">
        <f>Roles!$D$7</f>
        <v>0.12</v>
      </c>
      <c r="CP137" s="372"/>
      <c r="CQ137" s="203">
        <f t="shared" si="24"/>
        <v>0</v>
      </c>
      <c r="CR137" s="372"/>
      <c r="CS137" s="372"/>
      <c r="CT137" s="372">
        <f>Roles!$D$7</f>
        <v>0.12</v>
      </c>
      <c r="CU137" s="372"/>
      <c r="CV137" s="203">
        <f t="shared" si="25"/>
        <v>0</v>
      </c>
      <c r="CW137" s="372"/>
      <c r="CX137" s="372"/>
      <c r="CY137" s="372">
        <f>Roles!$D$7</f>
        <v>0.12</v>
      </c>
      <c r="CZ137" s="372"/>
      <c r="DA137" s="203">
        <f t="shared" si="26"/>
        <v>0</v>
      </c>
      <c r="DB137" s="372"/>
      <c r="DC137" s="372"/>
      <c r="DD137" s="372">
        <f>Roles!$D$7</f>
        <v>0.12</v>
      </c>
      <c r="DE137" s="372"/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 t="shared" si="1"/>
        <v>2</v>
      </c>
      <c r="F138" s="80">
        <v>15.0</v>
      </c>
      <c r="G138" s="105">
        <f t="shared" si="2"/>
        <v>0.01291989664</v>
      </c>
      <c r="H138" s="186">
        <f t="shared" si="132"/>
        <v>0.5047372954</v>
      </c>
      <c r="I138" s="231">
        <f t="shared" si="130"/>
        <v>0</v>
      </c>
      <c r="J138" s="172">
        <f t="shared" si="133"/>
        <v>927</v>
      </c>
      <c r="K138" s="115">
        <f t="shared" si="3"/>
        <v>0.8145869947</v>
      </c>
      <c r="L138" s="232">
        <f t="shared" si="131"/>
        <v>0</v>
      </c>
      <c r="M138" s="172">
        <f t="shared" si="134"/>
        <v>407.88</v>
      </c>
      <c r="N138" s="7"/>
      <c r="O138" s="203">
        <f t="shared" si="7"/>
        <v>0</v>
      </c>
      <c r="P138" s="378">
        <v>0.0</v>
      </c>
      <c r="Q138" s="372"/>
      <c r="R138" s="372">
        <f>Roles!$D$5</f>
        <v>0.44</v>
      </c>
      <c r="S138" s="372">
        <f t="shared" si="8"/>
        <v>0</v>
      </c>
      <c r="T138" s="203">
        <f t="shared" si="9"/>
        <v>0</v>
      </c>
      <c r="U138" s="372"/>
      <c r="V138" s="372"/>
      <c r="W138" s="372">
        <f>Roles!$D$7</f>
        <v>0.12</v>
      </c>
      <c r="X138" s="372"/>
      <c r="Y138" s="203">
        <f t="shared" si="10"/>
        <v>0</v>
      </c>
      <c r="Z138" s="372"/>
      <c r="AA138" s="372"/>
      <c r="AB138" s="372">
        <f>Roles!$D$7</f>
        <v>0.12</v>
      </c>
      <c r="AC138" s="372"/>
      <c r="AD138" s="203">
        <f t="shared" si="11"/>
        <v>0</v>
      </c>
      <c r="AE138" s="372"/>
      <c r="AF138" s="372"/>
      <c r="AG138" s="372">
        <f>Roles!$D$7</f>
        <v>0.12</v>
      </c>
      <c r="AH138" s="372"/>
      <c r="AI138" s="203">
        <f t="shared" si="12"/>
        <v>0</v>
      </c>
      <c r="AJ138" s="372"/>
      <c r="AK138" s="372"/>
      <c r="AL138" s="372">
        <f>Roles!$D$7</f>
        <v>0.12</v>
      </c>
      <c r="AM138" s="372"/>
      <c r="AN138" s="203">
        <f t="shared" si="13"/>
        <v>0</v>
      </c>
      <c r="AO138" s="372"/>
      <c r="AP138" s="372"/>
      <c r="AQ138" s="372">
        <f>Roles!$D$7</f>
        <v>0.12</v>
      </c>
      <c r="AR138" s="372"/>
      <c r="AS138" s="203">
        <f t="shared" si="14"/>
        <v>0</v>
      </c>
      <c r="AT138" s="372"/>
      <c r="AU138" s="372"/>
      <c r="AV138" s="372">
        <f>Roles!$D$7</f>
        <v>0.12</v>
      </c>
      <c r="AW138" s="372"/>
      <c r="AX138" s="203">
        <f t="shared" si="15"/>
        <v>0</v>
      </c>
      <c r="AY138" s="372"/>
      <c r="AZ138" s="372"/>
      <c r="BA138" s="372">
        <f>Roles!$D$7</f>
        <v>0.12</v>
      </c>
      <c r="BB138" s="372"/>
      <c r="BC138" s="203">
        <f t="shared" si="16"/>
        <v>0</v>
      </c>
      <c r="BD138" s="372"/>
      <c r="BE138" s="372"/>
      <c r="BF138" s="372">
        <f>Roles!$D$7</f>
        <v>0.12</v>
      </c>
      <c r="BG138" s="372"/>
      <c r="BH138" s="203">
        <f t="shared" si="17"/>
        <v>0</v>
      </c>
      <c r="BI138" s="372"/>
      <c r="BJ138" s="372"/>
      <c r="BK138" s="372">
        <f>Roles!$D$7</f>
        <v>0.12</v>
      </c>
      <c r="BL138" s="372"/>
      <c r="BM138" s="203">
        <f t="shared" si="18"/>
        <v>0</v>
      </c>
      <c r="BN138" s="372"/>
      <c r="BO138" s="372"/>
      <c r="BP138" s="372">
        <f>Roles!$D$7</f>
        <v>0.12</v>
      </c>
      <c r="BQ138" s="372"/>
      <c r="BR138" s="203">
        <f t="shared" si="19"/>
        <v>0</v>
      </c>
      <c r="BS138" s="372"/>
      <c r="BT138" s="372"/>
      <c r="BU138" s="372">
        <f>Roles!$D$7</f>
        <v>0.12</v>
      </c>
      <c r="BV138" s="372"/>
      <c r="BW138" s="203">
        <f t="shared" si="20"/>
        <v>0</v>
      </c>
      <c r="BX138" s="372"/>
      <c r="BY138" s="372"/>
      <c r="BZ138" s="372">
        <f>Roles!$D$7</f>
        <v>0.12</v>
      </c>
      <c r="CA138" s="372"/>
      <c r="CB138" s="203">
        <f t="shared" si="21"/>
        <v>0</v>
      </c>
      <c r="CC138" s="372"/>
      <c r="CD138" s="372"/>
      <c r="CE138" s="372">
        <f>Roles!$D$7</f>
        <v>0.12</v>
      </c>
      <c r="CF138" s="372"/>
      <c r="CG138" s="203">
        <f t="shared" si="22"/>
        <v>0</v>
      </c>
      <c r="CH138" s="372"/>
      <c r="CI138" s="372"/>
      <c r="CJ138" s="372">
        <f>Roles!$D$7</f>
        <v>0.12</v>
      </c>
      <c r="CK138" s="372"/>
      <c r="CL138" s="203">
        <f t="shared" si="23"/>
        <v>0</v>
      </c>
      <c r="CM138" s="372"/>
      <c r="CN138" s="372"/>
      <c r="CO138" s="372">
        <f>Roles!$D$7</f>
        <v>0.12</v>
      </c>
      <c r="CP138" s="372"/>
      <c r="CQ138" s="203">
        <f t="shared" si="24"/>
        <v>0</v>
      </c>
      <c r="CR138" s="372"/>
      <c r="CS138" s="372"/>
      <c r="CT138" s="372">
        <f>Roles!$D$7</f>
        <v>0.12</v>
      </c>
      <c r="CU138" s="372"/>
      <c r="CV138" s="203">
        <f t="shared" si="25"/>
        <v>0</v>
      </c>
      <c r="CW138" s="372"/>
      <c r="CX138" s="372"/>
      <c r="CY138" s="372">
        <f>Roles!$D$7</f>
        <v>0.12</v>
      </c>
      <c r="CZ138" s="372"/>
      <c r="DA138" s="203">
        <f t="shared" si="26"/>
        <v>0</v>
      </c>
      <c r="DB138" s="372"/>
      <c r="DC138" s="372"/>
      <c r="DD138" s="372">
        <f>Roles!$D$7</f>
        <v>0.12</v>
      </c>
      <c r="DE138" s="372"/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 t="shared" si="1"/>
        <v>3</v>
      </c>
      <c r="F139" s="246">
        <f>SUM(F140:F144)</f>
        <v>28</v>
      </c>
      <c r="G139" s="105">
        <f t="shared" si="2"/>
        <v>0.0241171404</v>
      </c>
      <c r="H139" s="226">
        <f>H144</f>
        <v>0.5288544358</v>
      </c>
      <c r="I139" s="247">
        <f>SUM(I140:I144)</f>
        <v>4</v>
      </c>
      <c r="J139" s="247">
        <f>J144</f>
        <v>931</v>
      </c>
      <c r="K139" s="167">
        <f t="shared" si="3"/>
        <v>0.8181019332</v>
      </c>
      <c r="L139" s="247">
        <f>SUM(L140:L144)</f>
        <v>1.76</v>
      </c>
      <c r="M139" s="247">
        <f>M144</f>
        <v>409.64</v>
      </c>
      <c r="N139" s="7"/>
      <c r="O139" s="203">
        <f t="shared" si="7"/>
        <v>0</v>
      </c>
      <c r="P139" s="372"/>
      <c r="Q139" s="372"/>
      <c r="R139" s="372">
        <f>Roles!$D$5</f>
        <v>0.44</v>
      </c>
      <c r="S139" s="372">
        <f t="shared" si="8"/>
        <v>0</v>
      </c>
      <c r="T139" s="203">
        <f t="shared" si="9"/>
        <v>0</v>
      </c>
      <c r="U139" s="372"/>
      <c r="V139" s="372"/>
      <c r="W139" s="372">
        <f>Roles!$D$7</f>
        <v>0.12</v>
      </c>
      <c r="X139" s="372"/>
      <c r="Y139" s="203">
        <f t="shared" si="10"/>
        <v>0</v>
      </c>
      <c r="Z139" s="372"/>
      <c r="AA139" s="372"/>
      <c r="AB139" s="372">
        <f>Roles!$D$7</f>
        <v>0.12</v>
      </c>
      <c r="AC139" s="372"/>
      <c r="AD139" s="203">
        <f t="shared" si="11"/>
        <v>0</v>
      </c>
      <c r="AE139" s="372"/>
      <c r="AF139" s="372"/>
      <c r="AG139" s="372">
        <f>Roles!$D$7</f>
        <v>0.12</v>
      </c>
      <c r="AH139" s="372"/>
      <c r="AI139" s="203">
        <f t="shared" si="12"/>
        <v>0</v>
      </c>
      <c r="AJ139" s="372"/>
      <c r="AK139" s="372"/>
      <c r="AL139" s="372">
        <f>Roles!$D$7</f>
        <v>0.12</v>
      </c>
      <c r="AM139" s="372"/>
      <c r="AN139" s="203">
        <f t="shared" si="13"/>
        <v>0</v>
      </c>
      <c r="AO139" s="372"/>
      <c r="AP139" s="372"/>
      <c r="AQ139" s="372">
        <f>Roles!$D$7</f>
        <v>0.12</v>
      </c>
      <c r="AR139" s="372"/>
      <c r="AS139" s="203">
        <f t="shared" si="14"/>
        <v>0</v>
      </c>
      <c r="AT139" s="372"/>
      <c r="AU139" s="372"/>
      <c r="AV139" s="372">
        <f>Roles!$D$7</f>
        <v>0.12</v>
      </c>
      <c r="AW139" s="372"/>
      <c r="AX139" s="203">
        <f t="shared" si="15"/>
        <v>0</v>
      </c>
      <c r="AY139" s="372"/>
      <c r="AZ139" s="372"/>
      <c r="BA139" s="372">
        <f>Roles!$D$7</f>
        <v>0.12</v>
      </c>
      <c r="BB139" s="372"/>
      <c r="BC139" s="203">
        <f t="shared" si="16"/>
        <v>0</v>
      </c>
      <c r="BD139" s="372"/>
      <c r="BE139" s="372"/>
      <c r="BF139" s="372">
        <f>Roles!$D$7</f>
        <v>0.12</v>
      </c>
      <c r="BG139" s="372"/>
      <c r="BH139" s="203">
        <f t="shared" si="17"/>
        <v>0</v>
      </c>
      <c r="BI139" s="372"/>
      <c r="BJ139" s="372"/>
      <c r="BK139" s="372">
        <f>Roles!$D$7</f>
        <v>0.12</v>
      </c>
      <c r="BL139" s="372"/>
      <c r="BM139" s="203">
        <f t="shared" si="18"/>
        <v>0</v>
      </c>
      <c r="BN139" s="372"/>
      <c r="BO139" s="372"/>
      <c r="BP139" s="372">
        <f>Roles!$D$7</f>
        <v>0.12</v>
      </c>
      <c r="BQ139" s="372"/>
      <c r="BR139" s="203">
        <f t="shared" si="19"/>
        <v>0</v>
      </c>
      <c r="BS139" s="372"/>
      <c r="BT139" s="372"/>
      <c r="BU139" s="372">
        <f>Roles!$D$7</f>
        <v>0.12</v>
      </c>
      <c r="BV139" s="372"/>
      <c r="BW139" s="203">
        <f t="shared" si="20"/>
        <v>0</v>
      </c>
      <c r="BX139" s="372"/>
      <c r="BY139" s="372"/>
      <c r="BZ139" s="372">
        <f>Roles!$D$7</f>
        <v>0.12</v>
      </c>
      <c r="CA139" s="372"/>
      <c r="CB139" s="203">
        <f t="shared" si="21"/>
        <v>0</v>
      </c>
      <c r="CC139" s="372"/>
      <c r="CD139" s="372"/>
      <c r="CE139" s="372">
        <f>Roles!$D$7</f>
        <v>0.12</v>
      </c>
      <c r="CF139" s="372"/>
      <c r="CG139" s="203">
        <f t="shared" si="22"/>
        <v>0</v>
      </c>
      <c r="CH139" s="372"/>
      <c r="CI139" s="372"/>
      <c r="CJ139" s="372">
        <f>Roles!$D$7</f>
        <v>0.12</v>
      </c>
      <c r="CK139" s="372"/>
      <c r="CL139" s="203">
        <f t="shared" si="23"/>
        <v>0</v>
      </c>
      <c r="CM139" s="372"/>
      <c r="CN139" s="372"/>
      <c r="CO139" s="372">
        <f>Roles!$D$7</f>
        <v>0.12</v>
      </c>
      <c r="CP139" s="372"/>
      <c r="CQ139" s="203">
        <f t="shared" si="24"/>
        <v>0</v>
      </c>
      <c r="CR139" s="372"/>
      <c r="CS139" s="372"/>
      <c r="CT139" s="372">
        <f>Roles!$D$7</f>
        <v>0.12</v>
      </c>
      <c r="CU139" s="372"/>
      <c r="CV139" s="203">
        <f t="shared" si="25"/>
        <v>0</v>
      </c>
      <c r="CW139" s="372"/>
      <c r="CX139" s="372"/>
      <c r="CY139" s="372">
        <f>Roles!$D$7</f>
        <v>0.12</v>
      </c>
      <c r="CZ139" s="372"/>
      <c r="DA139" s="203">
        <f t="shared" si="26"/>
        <v>0</v>
      </c>
      <c r="DB139" s="372"/>
      <c r="DC139" s="372"/>
      <c r="DD139" s="372">
        <f>Roles!$D$7</f>
        <v>0.12</v>
      </c>
      <c r="DE139" s="372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 t="shared" si="1"/>
        <v>2</v>
      </c>
      <c r="F140" s="80">
        <v>10.0</v>
      </c>
      <c r="G140" s="105">
        <f t="shared" si="2"/>
        <v>0.008613264427</v>
      </c>
      <c r="H140" s="47">
        <f>H138+G140</f>
        <v>0.5133505599</v>
      </c>
      <c r="I140" s="231">
        <f t="shared" ref="I140:I144" si="135">P140+U140+Z140+AE140+AJ140+AO140+AT140+AY140+BD140+BI140+BN140+BS140+BX140+CC140+CH140+CM140+CR140+CW140+DB140</f>
        <v>0</v>
      </c>
      <c r="J140" s="172">
        <f>J138+I140</f>
        <v>927</v>
      </c>
      <c r="K140" s="115">
        <f t="shared" si="3"/>
        <v>0.8145869947</v>
      </c>
      <c r="L140" s="232">
        <f t="shared" ref="L140:L144" si="136">S140+X140+AC140+AH140+AM140+AR140+AW140+BB140+BG140+BL140+BQ140+BV140+CA140+CF140+CK140+CP140+CU140+CZ140+DE140</f>
        <v>0</v>
      </c>
      <c r="M140" s="172">
        <f>M138+L140</f>
        <v>407.88</v>
      </c>
      <c r="N140" s="7"/>
      <c r="O140" s="203">
        <f t="shared" si="7"/>
        <v>0</v>
      </c>
      <c r="P140" s="378">
        <v>0.0</v>
      </c>
      <c r="Q140" s="372"/>
      <c r="R140" s="372">
        <f>Roles!$D$5</f>
        <v>0.44</v>
      </c>
      <c r="S140" s="372">
        <f t="shared" si="8"/>
        <v>0</v>
      </c>
      <c r="T140" s="203">
        <f t="shared" si="9"/>
        <v>0</v>
      </c>
      <c r="U140" s="372"/>
      <c r="V140" s="372"/>
      <c r="W140" s="372">
        <f>Roles!$D$7</f>
        <v>0.12</v>
      </c>
      <c r="X140" s="372"/>
      <c r="Y140" s="203">
        <f t="shared" si="10"/>
        <v>0</v>
      </c>
      <c r="Z140" s="372"/>
      <c r="AA140" s="372"/>
      <c r="AB140" s="372">
        <f>Roles!$D$7</f>
        <v>0.12</v>
      </c>
      <c r="AC140" s="372"/>
      <c r="AD140" s="203">
        <f t="shared" si="11"/>
        <v>0</v>
      </c>
      <c r="AE140" s="372"/>
      <c r="AF140" s="372"/>
      <c r="AG140" s="372">
        <f>Roles!$D$7</f>
        <v>0.12</v>
      </c>
      <c r="AH140" s="372"/>
      <c r="AI140" s="203">
        <f t="shared" si="12"/>
        <v>0</v>
      </c>
      <c r="AJ140" s="372"/>
      <c r="AK140" s="372"/>
      <c r="AL140" s="372">
        <f>Roles!$D$7</f>
        <v>0.12</v>
      </c>
      <c r="AM140" s="372"/>
      <c r="AN140" s="203">
        <f t="shared" si="13"/>
        <v>0</v>
      </c>
      <c r="AO140" s="372"/>
      <c r="AP140" s="372"/>
      <c r="AQ140" s="372">
        <f>Roles!$D$7</f>
        <v>0.12</v>
      </c>
      <c r="AR140" s="372"/>
      <c r="AS140" s="203">
        <f t="shared" si="14"/>
        <v>0</v>
      </c>
      <c r="AT140" s="372"/>
      <c r="AU140" s="372"/>
      <c r="AV140" s="372">
        <f>Roles!$D$7</f>
        <v>0.12</v>
      </c>
      <c r="AW140" s="372"/>
      <c r="AX140" s="203">
        <f t="shared" si="15"/>
        <v>0</v>
      </c>
      <c r="AY140" s="372"/>
      <c r="AZ140" s="372"/>
      <c r="BA140" s="372">
        <f>Roles!$D$7</f>
        <v>0.12</v>
      </c>
      <c r="BB140" s="372"/>
      <c r="BC140" s="203">
        <f t="shared" si="16"/>
        <v>0</v>
      </c>
      <c r="BD140" s="372"/>
      <c r="BE140" s="372"/>
      <c r="BF140" s="372">
        <f>Roles!$D$7</f>
        <v>0.12</v>
      </c>
      <c r="BG140" s="372"/>
      <c r="BH140" s="203">
        <f t="shared" si="17"/>
        <v>0</v>
      </c>
      <c r="BI140" s="372"/>
      <c r="BJ140" s="372"/>
      <c r="BK140" s="372">
        <f>Roles!$D$7</f>
        <v>0.12</v>
      </c>
      <c r="BL140" s="372"/>
      <c r="BM140" s="203">
        <f t="shared" si="18"/>
        <v>0</v>
      </c>
      <c r="BN140" s="372"/>
      <c r="BO140" s="372"/>
      <c r="BP140" s="372">
        <f>Roles!$D$7</f>
        <v>0.12</v>
      </c>
      <c r="BQ140" s="372"/>
      <c r="BR140" s="203">
        <f t="shared" si="19"/>
        <v>0</v>
      </c>
      <c r="BS140" s="372"/>
      <c r="BT140" s="372"/>
      <c r="BU140" s="372">
        <f>Roles!$D$7</f>
        <v>0.12</v>
      </c>
      <c r="BV140" s="372"/>
      <c r="BW140" s="203">
        <f t="shared" si="20"/>
        <v>0</v>
      </c>
      <c r="BX140" s="372"/>
      <c r="BY140" s="372"/>
      <c r="BZ140" s="372">
        <f>Roles!$D$7</f>
        <v>0.12</v>
      </c>
      <c r="CA140" s="372"/>
      <c r="CB140" s="203">
        <f t="shared" si="21"/>
        <v>0</v>
      </c>
      <c r="CC140" s="372"/>
      <c r="CD140" s="372"/>
      <c r="CE140" s="372">
        <f>Roles!$D$7</f>
        <v>0.12</v>
      </c>
      <c r="CF140" s="372"/>
      <c r="CG140" s="203">
        <f t="shared" si="22"/>
        <v>0</v>
      </c>
      <c r="CH140" s="372"/>
      <c r="CI140" s="372"/>
      <c r="CJ140" s="372">
        <f>Roles!$D$7</f>
        <v>0.12</v>
      </c>
      <c r="CK140" s="372"/>
      <c r="CL140" s="203">
        <f t="shared" si="23"/>
        <v>0</v>
      </c>
      <c r="CM140" s="372"/>
      <c r="CN140" s="372"/>
      <c r="CO140" s="372">
        <f>Roles!$D$7</f>
        <v>0.12</v>
      </c>
      <c r="CP140" s="372"/>
      <c r="CQ140" s="203">
        <f t="shared" si="24"/>
        <v>0</v>
      </c>
      <c r="CR140" s="372"/>
      <c r="CS140" s="372"/>
      <c r="CT140" s="372">
        <f>Roles!$D$7</f>
        <v>0.12</v>
      </c>
      <c r="CU140" s="372"/>
      <c r="CV140" s="203">
        <f t="shared" si="25"/>
        <v>0</v>
      </c>
      <c r="CW140" s="372"/>
      <c r="CX140" s="372"/>
      <c r="CY140" s="372">
        <f>Roles!$D$7</f>
        <v>0.12</v>
      </c>
      <c r="CZ140" s="372"/>
      <c r="DA140" s="203">
        <f t="shared" si="26"/>
        <v>0</v>
      </c>
      <c r="DB140" s="372"/>
      <c r="DC140" s="372"/>
      <c r="DD140" s="372">
        <f>Roles!$D$7</f>
        <v>0.12</v>
      </c>
      <c r="DE140" s="372"/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 t="shared" si="1"/>
        <v>2</v>
      </c>
      <c r="F141" s="80">
        <v>4.0</v>
      </c>
      <c r="G141" s="105">
        <f t="shared" si="2"/>
        <v>0.003445305771</v>
      </c>
      <c r="H141" s="47">
        <f t="shared" ref="H141:H145" si="137">H140+G141</f>
        <v>0.5167958656</v>
      </c>
      <c r="I141" s="231">
        <f t="shared" si="135"/>
        <v>4</v>
      </c>
      <c r="J141" s="172">
        <f t="shared" ref="J141:J145" si="138">J140+I141</f>
        <v>931</v>
      </c>
      <c r="K141" s="115">
        <f t="shared" si="3"/>
        <v>0.8181019332</v>
      </c>
      <c r="L141" s="232">
        <f t="shared" si="136"/>
        <v>1.76</v>
      </c>
      <c r="M141" s="172">
        <f t="shared" ref="M141:M145" si="139">M140+L141</f>
        <v>409.64</v>
      </c>
      <c r="N141" s="7"/>
      <c r="O141" s="203">
        <f t="shared" si="7"/>
        <v>1</v>
      </c>
      <c r="P141" s="378">
        <v>4.0</v>
      </c>
      <c r="Q141" s="372"/>
      <c r="R141" s="372">
        <f>Roles!$D$5</f>
        <v>0.44</v>
      </c>
      <c r="S141" s="372">
        <f t="shared" si="8"/>
        <v>1.76</v>
      </c>
      <c r="T141" s="203">
        <f t="shared" si="9"/>
        <v>0</v>
      </c>
      <c r="U141" s="372"/>
      <c r="V141" s="372"/>
      <c r="W141" s="372">
        <f>Roles!$D$7</f>
        <v>0.12</v>
      </c>
      <c r="X141" s="372"/>
      <c r="Y141" s="203">
        <f t="shared" si="10"/>
        <v>0</v>
      </c>
      <c r="Z141" s="372"/>
      <c r="AA141" s="372"/>
      <c r="AB141" s="372">
        <f>Roles!$D$7</f>
        <v>0.12</v>
      </c>
      <c r="AC141" s="372"/>
      <c r="AD141" s="203">
        <f t="shared" si="11"/>
        <v>0</v>
      </c>
      <c r="AE141" s="372"/>
      <c r="AF141" s="372"/>
      <c r="AG141" s="372">
        <f>Roles!$D$7</f>
        <v>0.12</v>
      </c>
      <c r="AH141" s="372"/>
      <c r="AI141" s="203">
        <f t="shared" si="12"/>
        <v>0</v>
      </c>
      <c r="AJ141" s="372"/>
      <c r="AK141" s="372"/>
      <c r="AL141" s="372">
        <f>Roles!$D$7</f>
        <v>0.12</v>
      </c>
      <c r="AM141" s="372"/>
      <c r="AN141" s="203">
        <f t="shared" si="13"/>
        <v>0</v>
      </c>
      <c r="AO141" s="372"/>
      <c r="AP141" s="372"/>
      <c r="AQ141" s="372">
        <f>Roles!$D$7</f>
        <v>0.12</v>
      </c>
      <c r="AR141" s="372"/>
      <c r="AS141" s="203">
        <f t="shared" si="14"/>
        <v>0</v>
      </c>
      <c r="AT141" s="372"/>
      <c r="AU141" s="372"/>
      <c r="AV141" s="372">
        <f>Roles!$D$7</f>
        <v>0.12</v>
      </c>
      <c r="AW141" s="372"/>
      <c r="AX141" s="203">
        <f t="shared" si="15"/>
        <v>0</v>
      </c>
      <c r="AY141" s="372"/>
      <c r="AZ141" s="372"/>
      <c r="BA141" s="372">
        <f>Roles!$D$7</f>
        <v>0.12</v>
      </c>
      <c r="BB141" s="372"/>
      <c r="BC141" s="203">
        <f t="shared" si="16"/>
        <v>0</v>
      </c>
      <c r="BD141" s="372"/>
      <c r="BE141" s="372"/>
      <c r="BF141" s="372">
        <f>Roles!$D$7</f>
        <v>0.12</v>
      </c>
      <c r="BG141" s="372"/>
      <c r="BH141" s="203">
        <f t="shared" si="17"/>
        <v>0</v>
      </c>
      <c r="BI141" s="372"/>
      <c r="BJ141" s="372"/>
      <c r="BK141" s="372">
        <f>Roles!$D$7</f>
        <v>0.12</v>
      </c>
      <c r="BL141" s="372"/>
      <c r="BM141" s="203">
        <f t="shared" si="18"/>
        <v>0</v>
      </c>
      <c r="BN141" s="372"/>
      <c r="BO141" s="372"/>
      <c r="BP141" s="372">
        <f>Roles!$D$7</f>
        <v>0.12</v>
      </c>
      <c r="BQ141" s="372"/>
      <c r="BR141" s="203">
        <f t="shared" si="19"/>
        <v>0</v>
      </c>
      <c r="BS141" s="372"/>
      <c r="BT141" s="372"/>
      <c r="BU141" s="372">
        <f>Roles!$D$7</f>
        <v>0.12</v>
      </c>
      <c r="BV141" s="372"/>
      <c r="BW141" s="203">
        <f t="shared" si="20"/>
        <v>0</v>
      </c>
      <c r="BX141" s="372"/>
      <c r="BY141" s="372"/>
      <c r="BZ141" s="372">
        <f>Roles!$D$7</f>
        <v>0.12</v>
      </c>
      <c r="CA141" s="372"/>
      <c r="CB141" s="203">
        <f t="shared" si="21"/>
        <v>0</v>
      </c>
      <c r="CC141" s="372"/>
      <c r="CD141" s="372"/>
      <c r="CE141" s="372">
        <f>Roles!$D$7</f>
        <v>0.12</v>
      </c>
      <c r="CF141" s="372"/>
      <c r="CG141" s="203">
        <f t="shared" si="22"/>
        <v>0</v>
      </c>
      <c r="CH141" s="372"/>
      <c r="CI141" s="372"/>
      <c r="CJ141" s="372">
        <f>Roles!$D$7</f>
        <v>0.12</v>
      </c>
      <c r="CK141" s="372"/>
      <c r="CL141" s="203">
        <f t="shared" si="23"/>
        <v>0</v>
      </c>
      <c r="CM141" s="372"/>
      <c r="CN141" s="372"/>
      <c r="CO141" s="372">
        <f>Roles!$D$7</f>
        <v>0.12</v>
      </c>
      <c r="CP141" s="372"/>
      <c r="CQ141" s="203">
        <f t="shared" si="24"/>
        <v>0</v>
      </c>
      <c r="CR141" s="372"/>
      <c r="CS141" s="372"/>
      <c r="CT141" s="372">
        <f>Roles!$D$7</f>
        <v>0.12</v>
      </c>
      <c r="CU141" s="372"/>
      <c r="CV141" s="203">
        <f t="shared" si="25"/>
        <v>0</v>
      </c>
      <c r="CW141" s="372"/>
      <c r="CX141" s="372"/>
      <c r="CY141" s="372">
        <f>Roles!$D$7</f>
        <v>0.12</v>
      </c>
      <c r="CZ141" s="372"/>
      <c r="DA141" s="203">
        <f t="shared" si="26"/>
        <v>0</v>
      </c>
      <c r="DB141" s="372"/>
      <c r="DC141" s="372"/>
      <c r="DD141" s="372">
        <f>Roles!$D$7</f>
        <v>0.12</v>
      </c>
      <c r="DE141" s="372"/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 t="shared" si="1"/>
        <v>1</v>
      </c>
      <c r="F142" s="80">
        <v>2.0</v>
      </c>
      <c r="G142" s="105">
        <f t="shared" si="2"/>
        <v>0.001722652885</v>
      </c>
      <c r="H142" s="47">
        <f t="shared" si="137"/>
        <v>0.5185185185</v>
      </c>
      <c r="I142" s="231">
        <f t="shared" si="135"/>
        <v>0</v>
      </c>
      <c r="J142" s="172">
        <f t="shared" si="138"/>
        <v>931</v>
      </c>
      <c r="K142" s="115">
        <f t="shared" si="3"/>
        <v>0.8181019332</v>
      </c>
      <c r="L142" s="232">
        <f t="shared" si="136"/>
        <v>0</v>
      </c>
      <c r="M142" s="172">
        <f t="shared" si="139"/>
        <v>409.64</v>
      </c>
      <c r="N142" s="7"/>
      <c r="O142" s="203">
        <f t="shared" si="7"/>
        <v>0</v>
      </c>
      <c r="P142" s="378">
        <v>0.0</v>
      </c>
      <c r="Q142" s="372"/>
      <c r="R142" s="372">
        <f>Roles!$D$5</f>
        <v>0.44</v>
      </c>
      <c r="S142" s="372">
        <f t="shared" si="8"/>
        <v>0</v>
      </c>
      <c r="T142" s="203">
        <f t="shared" si="9"/>
        <v>0</v>
      </c>
      <c r="U142" s="372"/>
      <c r="V142" s="372"/>
      <c r="W142" s="372">
        <f>Roles!$D$7</f>
        <v>0.12</v>
      </c>
      <c r="X142" s="372"/>
      <c r="Y142" s="203">
        <f t="shared" si="10"/>
        <v>0</v>
      </c>
      <c r="Z142" s="372"/>
      <c r="AA142" s="372"/>
      <c r="AB142" s="372">
        <f>Roles!$D$7</f>
        <v>0.12</v>
      </c>
      <c r="AC142" s="372"/>
      <c r="AD142" s="203">
        <f t="shared" si="11"/>
        <v>0</v>
      </c>
      <c r="AE142" s="372"/>
      <c r="AF142" s="372"/>
      <c r="AG142" s="372">
        <f>Roles!$D$7</f>
        <v>0.12</v>
      </c>
      <c r="AH142" s="372"/>
      <c r="AI142" s="203">
        <f t="shared" si="12"/>
        <v>0</v>
      </c>
      <c r="AJ142" s="372"/>
      <c r="AK142" s="372"/>
      <c r="AL142" s="372">
        <f>Roles!$D$7</f>
        <v>0.12</v>
      </c>
      <c r="AM142" s="372"/>
      <c r="AN142" s="203">
        <f t="shared" si="13"/>
        <v>0</v>
      </c>
      <c r="AO142" s="372"/>
      <c r="AP142" s="372"/>
      <c r="AQ142" s="372">
        <f>Roles!$D$7</f>
        <v>0.12</v>
      </c>
      <c r="AR142" s="372"/>
      <c r="AS142" s="203">
        <f t="shared" si="14"/>
        <v>0</v>
      </c>
      <c r="AT142" s="372"/>
      <c r="AU142" s="372"/>
      <c r="AV142" s="372">
        <f>Roles!$D$7</f>
        <v>0.12</v>
      </c>
      <c r="AW142" s="372"/>
      <c r="AX142" s="203">
        <f t="shared" si="15"/>
        <v>0</v>
      </c>
      <c r="AY142" s="372"/>
      <c r="AZ142" s="372"/>
      <c r="BA142" s="372">
        <f>Roles!$D$7</f>
        <v>0.12</v>
      </c>
      <c r="BB142" s="372"/>
      <c r="BC142" s="203">
        <f t="shared" si="16"/>
        <v>0</v>
      </c>
      <c r="BD142" s="372"/>
      <c r="BE142" s="372"/>
      <c r="BF142" s="372">
        <f>Roles!$D$7</f>
        <v>0.12</v>
      </c>
      <c r="BG142" s="372"/>
      <c r="BH142" s="203">
        <f t="shared" si="17"/>
        <v>0</v>
      </c>
      <c r="BI142" s="372"/>
      <c r="BJ142" s="372"/>
      <c r="BK142" s="372">
        <f>Roles!$D$7</f>
        <v>0.12</v>
      </c>
      <c r="BL142" s="372"/>
      <c r="BM142" s="203">
        <f t="shared" si="18"/>
        <v>0</v>
      </c>
      <c r="BN142" s="372"/>
      <c r="BO142" s="372"/>
      <c r="BP142" s="372">
        <f>Roles!$D$7</f>
        <v>0.12</v>
      </c>
      <c r="BQ142" s="372"/>
      <c r="BR142" s="203">
        <f t="shared" si="19"/>
        <v>0</v>
      </c>
      <c r="BS142" s="372"/>
      <c r="BT142" s="372"/>
      <c r="BU142" s="372">
        <f>Roles!$D$7</f>
        <v>0.12</v>
      </c>
      <c r="BV142" s="372"/>
      <c r="BW142" s="203">
        <f t="shared" si="20"/>
        <v>0</v>
      </c>
      <c r="BX142" s="372"/>
      <c r="BY142" s="372"/>
      <c r="BZ142" s="372">
        <f>Roles!$D$7</f>
        <v>0.12</v>
      </c>
      <c r="CA142" s="372"/>
      <c r="CB142" s="203">
        <f t="shared" si="21"/>
        <v>0</v>
      </c>
      <c r="CC142" s="372"/>
      <c r="CD142" s="372"/>
      <c r="CE142" s="372">
        <f>Roles!$D$7</f>
        <v>0.12</v>
      </c>
      <c r="CF142" s="372"/>
      <c r="CG142" s="203">
        <f t="shared" si="22"/>
        <v>0</v>
      </c>
      <c r="CH142" s="372"/>
      <c r="CI142" s="372"/>
      <c r="CJ142" s="372">
        <f>Roles!$D$7</f>
        <v>0.12</v>
      </c>
      <c r="CK142" s="372"/>
      <c r="CL142" s="203">
        <f t="shared" si="23"/>
        <v>0</v>
      </c>
      <c r="CM142" s="372"/>
      <c r="CN142" s="372"/>
      <c r="CO142" s="372">
        <f>Roles!$D$7</f>
        <v>0.12</v>
      </c>
      <c r="CP142" s="372"/>
      <c r="CQ142" s="203">
        <f t="shared" si="24"/>
        <v>0</v>
      </c>
      <c r="CR142" s="372"/>
      <c r="CS142" s="372"/>
      <c r="CT142" s="372">
        <f>Roles!$D$7</f>
        <v>0.12</v>
      </c>
      <c r="CU142" s="372"/>
      <c r="CV142" s="203">
        <f t="shared" si="25"/>
        <v>0</v>
      </c>
      <c r="CW142" s="372"/>
      <c r="CX142" s="372"/>
      <c r="CY142" s="372">
        <f>Roles!$D$7</f>
        <v>0.12</v>
      </c>
      <c r="CZ142" s="372"/>
      <c r="DA142" s="203">
        <f t="shared" si="26"/>
        <v>0</v>
      </c>
      <c r="DB142" s="372"/>
      <c r="DC142" s="372"/>
      <c r="DD142" s="372">
        <f>Roles!$D$7</f>
        <v>0.12</v>
      </c>
      <c r="DE142" s="372"/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 t="shared" si="1"/>
        <v>2</v>
      </c>
      <c r="F143" s="80">
        <v>10.0</v>
      </c>
      <c r="G143" s="105">
        <f t="shared" si="2"/>
        <v>0.008613264427</v>
      </c>
      <c r="H143" s="47">
        <f t="shared" si="137"/>
        <v>0.5271317829</v>
      </c>
      <c r="I143" s="231">
        <f t="shared" si="135"/>
        <v>0</v>
      </c>
      <c r="J143" s="172">
        <f t="shared" si="138"/>
        <v>931</v>
      </c>
      <c r="K143" s="115">
        <f t="shared" si="3"/>
        <v>0.8181019332</v>
      </c>
      <c r="L143" s="232">
        <f t="shared" si="136"/>
        <v>0</v>
      </c>
      <c r="M143" s="172">
        <f t="shared" si="139"/>
        <v>409.64</v>
      </c>
      <c r="N143" s="7"/>
      <c r="O143" s="203">
        <f t="shared" si="7"/>
        <v>0</v>
      </c>
      <c r="P143" s="378">
        <v>0.0</v>
      </c>
      <c r="Q143" s="372"/>
      <c r="R143" s="372">
        <f>Roles!$D$5</f>
        <v>0.44</v>
      </c>
      <c r="S143" s="372">
        <f t="shared" si="8"/>
        <v>0</v>
      </c>
      <c r="T143" s="203">
        <f t="shared" si="9"/>
        <v>0</v>
      </c>
      <c r="U143" s="372"/>
      <c r="V143" s="372"/>
      <c r="W143" s="372">
        <f>Roles!$D$7</f>
        <v>0.12</v>
      </c>
      <c r="X143" s="372"/>
      <c r="Y143" s="203">
        <f t="shared" si="10"/>
        <v>0</v>
      </c>
      <c r="Z143" s="372"/>
      <c r="AA143" s="372"/>
      <c r="AB143" s="372">
        <f>Roles!$D$7</f>
        <v>0.12</v>
      </c>
      <c r="AC143" s="372"/>
      <c r="AD143" s="203">
        <f t="shared" si="11"/>
        <v>0</v>
      </c>
      <c r="AE143" s="372"/>
      <c r="AF143" s="372"/>
      <c r="AG143" s="372">
        <f>Roles!$D$7</f>
        <v>0.12</v>
      </c>
      <c r="AH143" s="372"/>
      <c r="AI143" s="203">
        <f t="shared" si="12"/>
        <v>0</v>
      </c>
      <c r="AJ143" s="372"/>
      <c r="AK143" s="372"/>
      <c r="AL143" s="372">
        <f>Roles!$D$7</f>
        <v>0.12</v>
      </c>
      <c r="AM143" s="372"/>
      <c r="AN143" s="203">
        <f t="shared" si="13"/>
        <v>0</v>
      </c>
      <c r="AO143" s="372"/>
      <c r="AP143" s="372"/>
      <c r="AQ143" s="372">
        <f>Roles!$D$7</f>
        <v>0.12</v>
      </c>
      <c r="AR143" s="372"/>
      <c r="AS143" s="203">
        <f t="shared" si="14"/>
        <v>0</v>
      </c>
      <c r="AT143" s="372"/>
      <c r="AU143" s="372"/>
      <c r="AV143" s="372">
        <f>Roles!$D$7</f>
        <v>0.12</v>
      </c>
      <c r="AW143" s="372"/>
      <c r="AX143" s="203">
        <f t="shared" si="15"/>
        <v>0</v>
      </c>
      <c r="AY143" s="372"/>
      <c r="AZ143" s="372"/>
      <c r="BA143" s="372">
        <f>Roles!$D$7</f>
        <v>0.12</v>
      </c>
      <c r="BB143" s="372"/>
      <c r="BC143" s="203">
        <f t="shared" si="16"/>
        <v>0</v>
      </c>
      <c r="BD143" s="372"/>
      <c r="BE143" s="372"/>
      <c r="BF143" s="372">
        <f>Roles!$D$7</f>
        <v>0.12</v>
      </c>
      <c r="BG143" s="372"/>
      <c r="BH143" s="203">
        <f t="shared" si="17"/>
        <v>0</v>
      </c>
      <c r="BI143" s="372"/>
      <c r="BJ143" s="372"/>
      <c r="BK143" s="372">
        <f>Roles!$D$7</f>
        <v>0.12</v>
      </c>
      <c r="BL143" s="372"/>
      <c r="BM143" s="203">
        <f t="shared" si="18"/>
        <v>0</v>
      </c>
      <c r="BN143" s="372"/>
      <c r="BO143" s="372"/>
      <c r="BP143" s="372">
        <f>Roles!$D$7</f>
        <v>0.12</v>
      </c>
      <c r="BQ143" s="372"/>
      <c r="BR143" s="203">
        <f t="shared" si="19"/>
        <v>0</v>
      </c>
      <c r="BS143" s="372"/>
      <c r="BT143" s="372"/>
      <c r="BU143" s="372">
        <f>Roles!$D$7</f>
        <v>0.12</v>
      </c>
      <c r="BV143" s="372"/>
      <c r="BW143" s="203">
        <f t="shared" si="20"/>
        <v>0</v>
      </c>
      <c r="BX143" s="372"/>
      <c r="BY143" s="372"/>
      <c r="BZ143" s="372">
        <f>Roles!$D$7</f>
        <v>0.12</v>
      </c>
      <c r="CA143" s="372"/>
      <c r="CB143" s="203">
        <f t="shared" si="21"/>
        <v>0</v>
      </c>
      <c r="CC143" s="372"/>
      <c r="CD143" s="372"/>
      <c r="CE143" s="372">
        <f>Roles!$D$7</f>
        <v>0.12</v>
      </c>
      <c r="CF143" s="372"/>
      <c r="CG143" s="203">
        <f t="shared" si="22"/>
        <v>0</v>
      </c>
      <c r="CH143" s="372"/>
      <c r="CI143" s="372"/>
      <c r="CJ143" s="372">
        <f>Roles!$D$7</f>
        <v>0.12</v>
      </c>
      <c r="CK143" s="372"/>
      <c r="CL143" s="203">
        <f t="shared" si="23"/>
        <v>0</v>
      </c>
      <c r="CM143" s="372"/>
      <c r="CN143" s="372"/>
      <c r="CO143" s="372">
        <f>Roles!$D$7</f>
        <v>0.12</v>
      </c>
      <c r="CP143" s="372"/>
      <c r="CQ143" s="203">
        <f t="shared" si="24"/>
        <v>0</v>
      </c>
      <c r="CR143" s="372"/>
      <c r="CS143" s="372"/>
      <c r="CT143" s="372">
        <f>Roles!$D$7</f>
        <v>0.12</v>
      </c>
      <c r="CU143" s="372"/>
      <c r="CV143" s="203">
        <f t="shared" si="25"/>
        <v>0</v>
      </c>
      <c r="CW143" s="372"/>
      <c r="CX143" s="372"/>
      <c r="CY143" s="372">
        <f>Roles!$D$7</f>
        <v>0.12</v>
      </c>
      <c r="CZ143" s="372"/>
      <c r="DA143" s="203">
        <f t="shared" si="26"/>
        <v>0</v>
      </c>
      <c r="DB143" s="372"/>
      <c r="DC143" s="372"/>
      <c r="DD143" s="372">
        <f>Roles!$D$7</f>
        <v>0.12</v>
      </c>
      <c r="DE143" s="372"/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 t="shared" si="1"/>
        <v>1</v>
      </c>
      <c r="F144" s="80">
        <v>2.0</v>
      </c>
      <c r="G144" s="105">
        <f t="shared" si="2"/>
        <v>0.001722652885</v>
      </c>
      <c r="H144" s="47">
        <f t="shared" si="137"/>
        <v>0.5288544358</v>
      </c>
      <c r="I144" s="231">
        <f t="shared" si="135"/>
        <v>0</v>
      </c>
      <c r="J144" s="172">
        <f t="shared" si="138"/>
        <v>931</v>
      </c>
      <c r="K144" s="115">
        <f t="shared" si="3"/>
        <v>0.8181019332</v>
      </c>
      <c r="L144" s="232">
        <f t="shared" si="136"/>
        <v>0</v>
      </c>
      <c r="M144" s="172">
        <f t="shared" si="139"/>
        <v>409.64</v>
      </c>
      <c r="N144" s="7"/>
      <c r="O144" s="203">
        <f t="shared" si="7"/>
        <v>0</v>
      </c>
      <c r="P144" s="378">
        <v>0.0</v>
      </c>
      <c r="Q144" s="372"/>
      <c r="R144" s="372">
        <f>Roles!$D$5</f>
        <v>0.44</v>
      </c>
      <c r="S144" s="372">
        <f t="shared" si="8"/>
        <v>0</v>
      </c>
      <c r="T144" s="203">
        <f t="shared" si="9"/>
        <v>0</v>
      </c>
      <c r="U144" s="372"/>
      <c r="V144" s="372"/>
      <c r="W144" s="372">
        <f>Roles!$D$7</f>
        <v>0.12</v>
      </c>
      <c r="X144" s="372"/>
      <c r="Y144" s="203">
        <f t="shared" si="10"/>
        <v>0</v>
      </c>
      <c r="Z144" s="372"/>
      <c r="AA144" s="372"/>
      <c r="AB144" s="372">
        <f>Roles!$D$7</f>
        <v>0.12</v>
      </c>
      <c r="AC144" s="372"/>
      <c r="AD144" s="203">
        <f t="shared" si="11"/>
        <v>0</v>
      </c>
      <c r="AE144" s="372"/>
      <c r="AF144" s="372"/>
      <c r="AG144" s="372">
        <f>Roles!$D$7</f>
        <v>0.12</v>
      </c>
      <c r="AH144" s="372"/>
      <c r="AI144" s="203">
        <f t="shared" si="12"/>
        <v>0</v>
      </c>
      <c r="AJ144" s="372"/>
      <c r="AK144" s="372"/>
      <c r="AL144" s="372">
        <f>Roles!$D$7</f>
        <v>0.12</v>
      </c>
      <c r="AM144" s="372"/>
      <c r="AN144" s="203">
        <f t="shared" si="13"/>
        <v>0</v>
      </c>
      <c r="AO144" s="372"/>
      <c r="AP144" s="372"/>
      <c r="AQ144" s="372">
        <f>Roles!$D$7</f>
        <v>0.12</v>
      </c>
      <c r="AR144" s="372"/>
      <c r="AS144" s="203">
        <f t="shared" si="14"/>
        <v>0</v>
      </c>
      <c r="AT144" s="372"/>
      <c r="AU144" s="372"/>
      <c r="AV144" s="372">
        <f>Roles!$D$7</f>
        <v>0.12</v>
      </c>
      <c r="AW144" s="372"/>
      <c r="AX144" s="203">
        <f t="shared" si="15"/>
        <v>0</v>
      </c>
      <c r="AY144" s="372"/>
      <c r="AZ144" s="372"/>
      <c r="BA144" s="372">
        <f>Roles!$D$7</f>
        <v>0.12</v>
      </c>
      <c r="BB144" s="372"/>
      <c r="BC144" s="203">
        <f t="shared" si="16"/>
        <v>0</v>
      </c>
      <c r="BD144" s="372"/>
      <c r="BE144" s="372"/>
      <c r="BF144" s="372">
        <f>Roles!$D$7</f>
        <v>0.12</v>
      </c>
      <c r="BG144" s="372"/>
      <c r="BH144" s="203">
        <f t="shared" si="17"/>
        <v>0</v>
      </c>
      <c r="BI144" s="372"/>
      <c r="BJ144" s="372"/>
      <c r="BK144" s="372">
        <f>Roles!$D$7</f>
        <v>0.12</v>
      </c>
      <c r="BL144" s="372"/>
      <c r="BM144" s="203">
        <f t="shared" si="18"/>
        <v>0</v>
      </c>
      <c r="BN144" s="372"/>
      <c r="BO144" s="372"/>
      <c r="BP144" s="372">
        <f>Roles!$D$7</f>
        <v>0.12</v>
      </c>
      <c r="BQ144" s="372"/>
      <c r="BR144" s="203">
        <f t="shared" si="19"/>
        <v>0</v>
      </c>
      <c r="BS144" s="372"/>
      <c r="BT144" s="372"/>
      <c r="BU144" s="372">
        <f>Roles!$D$7</f>
        <v>0.12</v>
      </c>
      <c r="BV144" s="372"/>
      <c r="BW144" s="203">
        <f t="shared" si="20"/>
        <v>0</v>
      </c>
      <c r="BX144" s="372"/>
      <c r="BY144" s="372"/>
      <c r="BZ144" s="372">
        <f>Roles!$D$7</f>
        <v>0.12</v>
      </c>
      <c r="CA144" s="372"/>
      <c r="CB144" s="203">
        <f t="shared" si="21"/>
        <v>0</v>
      </c>
      <c r="CC144" s="372"/>
      <c r="CD144" s="372"/>
      <c r="CE144" s="372">
        <f>Roles!$D$7</f>
        <v>0.12</v>
      </c>
      <c r="CF144" s="372"/>
      <c r="CG144" s="203">
        <f t="shared" si="22"/>
        <v>0</v>
      </c>
      <c r="CH144" s="372"/>
      <c r="CI144" s="372"/>
      <c r="CJ144" s="372">
        <f>Roles!$D$7</f>
        <v>0.12</v>
      </c>
      <c r="CK144" s="372"/>
      <c r="CL144" s="203">
        <f t="shared" si="23"/>
        <v>0</v>
      </c>
      <c r="CM144" s="372"/>
      <c r="CN144" s="372"/>
      <c r="CO144" s="372">
        <f>Roles!$D$7</f>
        <v>0.12</v>
      </c>
      <c r="CP144" s="372"/>
      <c r="CQ144" s="203">
        <f t="shared" si="24"/>
        <v>0</v>
      </c>
      <c r="CR144" s="372"/>
      <c r="CS144" s="372"/>
      <c r="CT144" s="372">
        <f>Roles!$D$7</f>
        <v>0.12</v>
      </c>
      <c r="CU144" s="372"/>
      <c r="CV144" s="203">
        <f t="shared" si="25"/>
        <v>0</v>
      </c>
      <c r="CW144" s="372"/>
      <c r="CX144" s="372"/>
      <c r="CY144" s="372">
        <f>Roles!$D$7</f>
        <v>0.12</v>
      </c>
      <c r="CZ144" s="372"/>
      <c r="DA144" s="203">
        <f t="shared" si="26"/>
        <v>0</v>
      </c>
      <c r="DB144" s="372"/>
      <c r="DC144" s="372"/>
      <c r="DD144" s="372">
        <f>Roles!$D$7</f>
        <v>0.12</v>
      </c>
      <c r="DE144" s="372"/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 t="shared" si="1"/>
        <v>1</v>
      </c>
      <c r="F145" s="136">
        <v>0.0</v>
      </c>
      <c r="G145" s="105">
        <f t="shared" si="2"/>
        <v>0</v>
      </c>
      <c r="H145" s="115">
        <f t="shared" si="137"/>
        <v>0.5288544358</v>
      </c>
      <c r="I145" s="110">
        <f>F145</f>
        <v>0</v>
      </c>
      <c r="J145" s="110">
        <f t="shared" si="138"/>
        <v>931</v>
      </c>
      <c r="K145" s="115">
        <f t="shared" si="3"/>
        <v>0.8181019332</v>
      </c>
      <c r="L145" s="110">
        <v>0.0</v>
      </c>
      <c r="M145" s="110">
        <f t="shared" si="139"/>
        <v>409.64</v>
      </c>
      <c r="N145" s="7"/>
      <c r="O145" s="203" t="str">
        <f t="shared" si="7"/>
        <v>#DIV/0!</v>
      </c>
      <c r="P145" s="372"/>
      <c r="Q145" s="372"/>
      <c r="R145" s="372">
        <f>Roles!$D$5</f>
        <v>0.44</v>
      </c>
      <c r="S145" s="372">
        <f t="shared" si="8"/>
        <v>0</v>
      </c>
      <c r="T145" s="203" t="str">
        <f t="shared" si="9"/>
        <v>#DIV/0!</v>
      </c>
      <c r="U145" s="372"/>
      <c r="V145" s="372"/>
      <c r="W145" s="372">
        <f>Roles!$D$7</f>
        <v>0.12</v>
      </c>
      <c r="X145" s="372"/>
      <c r="Y145" s="203" t="str">
        <f t="shared" si="10"/>
        <v>#DIV/0!</v>
      </c>
      <c r="Z145" s="372"/>
      <c r="AA145" s="372"/>
      <c r="AB145" s="372">
        <f>Roles!$D$7</f>
        <v>0.12</v>
      </c>
      <c r="AC145" s="372"/>
      <c r="AD145" s="203" t="str">
        <f t="shared" si="11"/>
        <v>#DIV/0!</v>
      </c>
      <c r="AE145" s="372"/>
      <c r="AF145" s="372"/>
      <c r="AG145" s="372">
        <f>Roles!$D$7</f>
        <v>0.12</v>
      </c>
      <c r="AH145" s="372"/>
      <c r="AI145" s="203" t="str">
        <f t="shared" si="12"/>
        <v>#DIV/0!</v>
      </c>
      <c r="AJ145" s="372"/>
      <c r="AK145" s="372"/>
      <c r="AL145" s="372">
        <f>Roles!$D$7</f>
        <v>0.12</v>
      </c>
      <c r="AM145" s="372"/>
      <c r="AN145" s="203" t="str">
        <f t="shared" si="13"/>
        <v>#DIV/0!</v>
      </c>
      <c r="AO145" s="372"/>
      <c r="AP145" s="372"/>
      <c r="AQ145" s="372">
        <f>Roles!$D$7</f>
        <v>0.12</v>
      </c>
      <c r="AR145" s="372"/>
      <c r="AS145" s="203" t="str">
        <f t="shared" si="14"/>
        <v>#DIV/0!</v>
      </c>
      <c r="AT145" s="372"/>
      <c r="AU145" s="372"/>
      <c r="AV145" s="372">
        <f>Roles!$D$7</f>
        <v>0.12</v>
      </c>
      <c r="AW145" s="372"/>
      <c r="AX145" s="203" t="str">
        <f t="shared" si="15"/>
        <v>#DIV/0!</v>
      </c>
      <c r="AY145" s="372"/>
      <c r="AZ145" s="372"/>
      <c r="BA145" s="372">
        <f>Roles!$D$7</f>
        <v>0.12</v>
      </c>
      <c r="BB145" s="372"/>
      <c r="BC145" s="203" t="str">
        <f t="shared" si="16"/>
        <v>#DIV/0!</v>
      </c>
      <c r="BD145" s="372"/>
      <c r="BE145" s="372"/>
      <c r="BF145" s="372">
        <f>Roles!$D$7</f>
        <v>0.12</v>
      </c>
      <c r="BG145" s="372"/>
      <c r="BH145" s="203" t="str">
        <f t="shared" si="17"/>
        <v>#DIV/0!</v>
      </c>
      <c r="BI145" s="372"/>
      <c r="BJ145" s="372"/>
      <c r="BK145" s="372">
        <f>Roles!$D$7</f>
        <v>0.12</v>
      </c>
      <c r="BL145" s="372"/>
      <c r="BM145" s="203" t="str">
        <f t="shared" si="18"/>
        <v>#DIV/0!</v>
      </c>
      <c r="BN145" s="372"/>
      <c r="BO145" s="372"/>
      <c r="BP145" s="372">
        <f>Roles!$D$7</f>
        <v>0.12</v>
      </c>
      <c r="BQ145" s="372"/>
      <c r="BR145" s="203" t="str">
        <f t="shared" si="19"/>
        <v>#DIV/0!</v>
      </c>
      <c r="BS145" s="372"/>
      <c r="BT145" s="372"/>
      <c r="BU145" s="372">
        <f>Roles!$D$7</f>
        <v>0.12</v>
      </c>
      <c r="BV145" s="372"/>
      <c r="BW145" s="203" t="str">
        <f t="shared" si="20"/>
        <v>#DIV/0!</v>
      </c>
      <c r="BX145" s="372"/>
      <c r="BY145" s="372"/>
      <c r="BZ145" s="372">
        <f>Roles!$D$7</f>
        <v>0.12</v>
      </c>
      <c r="CA145" s="372"/>
      <c r="CB145" s="203" t="str">
        <f t="shared" si="21"/>
        <v>#DIV/0!</v>
      </c>
      <c r="CC145" s="372"/>
      <c r="CD145" s="372"/>
      <c r="CE145" s="372">
        <f>Roles!$D$7</f>
        <v>0.12</v>
      </c>
      <c r="CF145" s="372"/>
      <c r="CG145" s="203" t="str">
        <f t="shared" si="22"/>
        <v>#DIV/0!</v>
      </c>
      <c r="CH145" s="372"/>
      <c r="CI145" s="372"/>
      <c r="CJ145" s="372">
        <f>Roles!$D$7</f>
        <v>0.12</v>
      </c>
      <c r="CK145" s="372"/>
      <c r="CL145" s="203" t="str">
        <f t="shared" si="23"/>
        <v>#DIV/0!</v>
      </c>
      <c r="CM145" s="372"/>
      <c r="CN145" s="372"/>
      <c r="CO145" s="372">
        <f>Roles!$D$7</f>
        <v>0.12</v>
      </c>
      <c r="CP145" s="372"/>
      <c r="CQ145" s="203" t="str">
        <f t="shared" si="24"/>
        <v>#DIV/0!</v>
      </c>
      <c r="CR145" s="372"/>
      <c r="CS145" s="372"/>
      <c r="CT145" s="372">
        <f>Roles!$D$7</f>
        <v>0.12</v>
      </c>
      <c r="CU145" s="372"/>
      <c r="CV145" s="203" t="str">
        <f t="shared" si="25"/>
        <v>#DIV/0!</v>
      </c>
      <c r="CW145" s="372"/>
      <c r="CX145" s="372"/>
      <c r="CY145" s="372">
        <f>Roles!$D$7</f>
        <v>0.12</v>
      </c>
      <c r="CZ145" s="372"/>
      <c r="DA145" s="203" t="str">
        <f t="shared" si="26"/>
        <v>#DIV/0!</v>
      </c>
      <c r="DB145" s="372"/>
      <c r="DC145" s="372"/>
      <c r="DD145" s="372">
        <f>Roles!$D$7</f>
        <v>0.12</v>
      </c>
      <c r="DE145" s="372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 t="shared" si="1"/>
        <v>21</v>
      </c>
      <c r="F146" s="240">
        <f>F147+F154+F160+F166+F170+F174+F179</f>
        <v>219</v>
      </c>
      <c r="G146" s="105">
        <f t="shared" si="2"/>
        <v>0.188630491</v>
      </c>
      <c r="H146" s="224">
        <f>H184</f>
        <v>0.7174849268</v>
      </c>
      <c r="I146" s="241">
        <f>I147+I154+I160+I166+I170+I174+I179</f>
        <v>100</v>
      </c>
      <c r="J146" s="241">
        <f>J184</f>
        <v>1031</v>
      </c>
      <c r="K146" s="138">
        <f t="shared" si="3"/>
        <v>0.9059753954</v>
      </c>
      <c r="L146" s="241">
        <f>L147+L154+L160+L166+L170+L174+L179</f>
        <v>44</v>
      </c>
      <c r="M146" s="241">
        <f>M184</f>
        <v>453.64</v>
      </c>
      <c r="N146" s="7"/>
      <c r="O146" s="203">
        <f t="shared" si="7"/>
        <v>0</v>
      </c>
      <c r="P146" s="372"/>
      <c r="Q146" s="372"/>
      <c r="R146" s="372">
        <f>Roles!$D$5</f>
        <v>0.44</v>
      </c>
      <c r="S146" s="372">
        <f t="shared" si="8"/>
        <v>0</v>
      </c>
      <c r="T146" s="203">
        <f t="shared" si="9"/>
        <v>0</v>
      </c>
      <c r="U146" s="372"/>
      <c r="V146" s="372"/>
      <c r="W146" s="372">
        <f>Roles!$D$7</f>
        <v>0.12</v>
      </c>
      <c r="X146" s="372"/>
      <c r="Y146" s="203">
        <f t="shared" si="10"/>
        <v>0</v>
      </c>
      <c r="Z146" s="372"/>
      <c r="AA146" s="372"/>
      <c r="AB146" s="372">
        <f>Roles!$D$7</f>
        <v>0.12</v>
      </c>
      <c r="AC146" s="372"/>
      <c r="AD146" s="203">
        <f t="shared" si="11"/>
        <v>0</v>
      </c>
      <c r="AE146" s="372"/>
      <c r="AF146" s="372"/>
      <c r="AG146" s="372">
        <f>Roles!$D$7</f>
        <v>0.12</v>
      </c>
      <c r="AH146" s="372"/>
      <c r="AI146" s="203">
        <f t="shared" si="12"/>
        <v>0</v>
      </c>
      <c r="AJ146" s="372"/>
      <c r="AK146" s="372"/>
      <c r="AL146" s="372">
        <f>Roles!$D$7</f>
        <v>0.12</v>
      </c>
      <c r="AM146" s="372"/>
      <c r="AN146" s="203">
        <f t="shared" si="13"/>
        <v>0</v>
      </c>
      <c r="AO146" s="372"/>
      <c r="AP146" s="372"/>
      <c r="AQ146" s="372">
        <f>Roles!$D$7</f>
        <v>0.12</v>
      </c>
      <c r="AR146" s="372"/>
      <c r="AS146" s="203">
        <f t="shared" si="14"/>
        <v>0</v>
      </c>
      <c r="AT146" s="372"/>
      <c r="AU146" s="372"/>
      <c r="AV146" s="372">
        <f>Roles!$D$7</f>
        <v>0.12</v>
      </c>
      <c r="AW146" s="372"/>
      <c r="AX146" s="203">
        <f t="shared" si="15"/>
        <v>0</v>
      </c>
      <c r="AY146" s="372"/>
      <c r="AZ146" s="372"/>
      <c r="BA146" s="372">
        <f>Roles!$D$7</f>
        <v>0.12</v>
      </c>
      <c r="BB146" s="372"/>
      <c r="BC146" s="203">
        <f t="shared" si="16"/>
        <v>0</v>
      </c>
      <c r="BD146" s="372"/>
      <c r="BE146" s="372"/>
      <c r="BF146" s="372">
        <f>Roles!$D$7</f>
        <v>0.12</v>
      </c>
      <c r="BG146" s="372"/>
      <c r="BH146" s="203">
        <f t="shared" si="17"/>
        <v>0</v>
      </c>
      <c r="BI146" s="372"/>
      <c r="BJ146" s="372"/>
      <c r="BK146" s="372">
        <f>Roles!$D$7</f>
        <v>0.12</v>
      </c>
      <c r="BL146" s="372"/>
      <c r="BM146" s="203">
        <f t="shared" si="18"/>
        <v>0</v>
      </c>
      <c r="BN146" s="372"/>
      <c r="BO146" s="372"/>
      <c r="BP146" s="372">
        <f>Roles!$D$7</f>
        <v>0.12</v>
      </c>
      <c r="BQ146" s="372"/>
      <c r="BR146" s="203">
        <f t="shared" si="19"/>
        <v>0</v>
      </c>
      <c r="BS146" s="372"/>
      <c r="BT146" s="372"/>
      <c r="BU146" s="372">
        <f>Roles!$D$7</f>
        <v>0.12</v>
      </c>
      <c r="BV146" s="372"/>
      <c r="BW146" s="203">
        <f t="shared" si="20"/>
        <v>0</v>
      </c>
      <c r="BX146" s="372"/>
      <c r="BY146" s="372"/>
      <c r="BZ146" s="372">
        <f>Roles!$D$7</f>
        <v>0.12</v>
      </c>
      <c r="CA146" s="372"/>
      <c r="CB146" s="203">
        <f t="shared" si="21"/>
        <v>0</v>
      </c>
      <c r="CC146" s="372"/>
      <c r="CD146" s="372"/>
      <c r="CE146" s="372">
        <f>Roles!$D$7</f>
        <v>0.12</v>
      </c>
      <c r="CF146" s="372"/>
      <c r="CG146" s="203">
        <f t="shared" si="22"/>
        <v>0</v>
      </c>
      <c r="CH146" s="372"/>
      <c r="CI146" s="372"/>
      <c r="CJ146" s="372">
        <f>Roles!$D$7</f>
        <v>0.12</v>
      </c>
      <c r="CK146" s="372"/>
      <c r="CL146" s="203">
        <f t="shared" si="23"/>
        <v>0</v>
      </c>
      <c r="CM146" s="372"/>
      <c r="CN146" s="372"/>
      <c r="CO146" s="372">
        <f>Roles!$D$7</f>
        <v>0.12</v>
      </c>
      <c r="CP146" s="372"/>
      <c r="CQ146" s="203">
        <f t="shared" si="24"/>
        <v>0</v>
      </c>
      <c r="CR146" s="372"/>
      <c r="CS146" s="372"/>
      <c r="CT146" s="372">
        <f>Roles!$D$7</f>
        <v>0.12</v>
      </c>
      <c r="CU146" s="372"/>
      <c r="CV146" s="203">
        <f t="shared" si="25"/>
        <v>0</v>
      </c>
      <c r="CW146" s="372"/>
      <c r="CX146" s="372"/>
      <c r="CY146" s="372">
        <f>Roles!$D$7</f>
        <v>0.12</v>
      </c>
      <c r="CZ146" s="372"/>
      <c r="DA146" s="203">
        <f t="shared" si="26"/>
        <v>0</v>
      </c>
      <c r="DB146" s="372"/>
      <c r="DC146" s="372"/>
      <c r="DD146" s="372">
        <f>Roles!$D$7</f>
        <v>0.12</v>
      </c>
      <c r="DE146" s="372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 t="shared" si="1"/>
        <v>8</v>
      </c>
      <c r="F147" s="246">
        <f>SUM(F148:F153)</f>
        <v>20</v>
      </c>
      <c r="G147" s="105">
        <f t="shared" si="2"/>
        <v>0.01722652885</v>
      </c>
      <c r="H147" s="226">
        <f>H153</f>
        <v>0.5460809647</v>
      </c>
      <c r="I147" s="247">
        <f>SUM(I148:I153)</f>
        <v>40</v>
      </c>
      <c r="J147" s="247">
        <f>J153</f>
        <v>971</v>
      </c>
      <c r="K147" s="167">
        <f t="shared" si="3"/>
        <v>0.8532513181</v>
      </c>
      <c r="L147" s="247">
        <f>SUM(L148:L153)</f>
        <v>17.6</v>
      </c>
      <c r="M147" s="247">
        <f>M153</f>
        <v>427.24</v>
      </c>
      <c r="N147" s="7"/>
      <c r="O147" s="203">
        <f t="shared" si="7"/>
        <v>0</v>
      </c>
      <c r="P147" s="372"/>
      <c r="Q147" s="372"/>
      <c r="R147" s="372">
        <f>Roles!$D$5</f>
        <v>0.44</v>
      </c>
      <c r="S147" s="372">
        <f t="shared" si="8"/>
        <v>0</v>
      </c>
      <c r="T147" s="203">
        <f t="shared" si="9"/>
        <v>0</v>
      </c>
      <c r="U147" s="372"/>
      <c r="V147" s="372"/>
      <c r="W147" s="372">
        <f>Roles!$D$7</f>
        <v>0.12</v>
      </c>
      <c r="X147" s="372"/>
      <c r="Y147" s="203">
        <f t="shared" si="10"/>
        <v>0</v>
      </c>
      <c r="Z147" s="372"/>
      <c r="AA147" s="372"/>
      <c r="AB147" s="372">
        <f>Roles!$D$7</f>
        <v>0.12</v>
      </c>
      <c r="AC147" s="372"/>
      <c r="AD147" s="203">
        <f t="shared" si="11"/>
        <v>0</v>
      </c>
      <c r="AE147" s="372"/>
      <c r="AF147" s="372"/>
      <c r="AG147" s="372">
        <f>Roles!$D$7</f>
        <v>0.12</v>
      </c>
      <c r="AH147" s="372"/>
      <c r="AI147" s="203">
        <f t="shared" si="12"/>
        <v>0</v>
      </c>
      <c r="AJ147" s="372"/>
      <c r="AK147" s="372"/>
      <c r="AL147" s="372">
        <f>Roles!$D$7</f>
        <v>0.12</v>
      </c>
      <c r="AM147" s="372"/>
      <c r="AN147" s="203">
        <f t="shared" si="13"/>
        <v>0</v>
      </c>
      <c r="AO147" s="372"/>
      <c r="AP147" s="372"/>
      <c r="AQ147" s="372">
        <f>Roles!$D$7</f>
        <v>0.12</v>
      </c>
      <c r="AR147" s="372"/>
      <c r="AS147" s="203">
        <f t="shared" si="14"/>
        <v>0</v>
      </c>
      <c r="AT147" s="372"/>
      <c r="AU147" s="372"/>
      <c r="AV147" s="372">
        <f>Roles!$D$7</f>
        <v>0.12</v>
      </c>
      <c r="AW147" s="372"/>
      <c r="AX147" s="203">
        <f t="shared" si="15"/>
        <v>0</v>
      </c>
      <c r="AY147" s="372"/>
      <c r="AZ147" s="372"/>
      <c r="BA147" s="372">
        <f>Roles!$D$7</f>
        <v>0.12</v>
      </c>
      <c r="BB147" s="372"/>
      <c r="BC147" s="203">
        <f t="shared" si="16"/>
        <v>0</v>
      </c>
      <c r="BD147" s="372"/>
      <c r="BE147" s="372"/>
      <c r="BF147" s="372">
        <f>Roles!$D$7</f>
        <v>0.12</v>
      </c>
      <c r="BG147" s="372"/>
      <c r="BH147" s="203">
        <f t="shared" si="17"/>
        <v>0</v>
      </c>
      <c r="BI147" s="372"/>
      <c r="BJ147" s="372"/>
      <c r="BK147" s="372">
        <f>Roles!$D$7</f>
        <v>0.12</v>
      </c>
      <c r="BL147" s="372"/>
      <c r="BM147" s="203">
        <f t="shared" si="18"/>
        <v>0</v>
      </c>
      <c r="BN147" s="372"/>
      <c r="BO147" s="372"/>
      <c r="BP147" s="372">
        <f>Roles!$D$7</f>
        <v>0.12</v>
      </c>
      <c r="BQ147" s="372"/>
      <c r="BR147" s="203">
        <f t="shared" si="19"/>
        <v>0</v>
      </c>
      <c r="BS147" s="372"/>
      <c r="BT147" s="372"/>
      <c r="BU147" s="372">
        <f>Roles!$D$7</f>
        <v>0.12</v>
      </c>
      <c r="BV147" s="372"/>
      <c r="BW147" s="203">
        <f t="shared" si="20"/>
        <v>0</v>
      </c>
      <c r="BX147" s="372"/>
      <c r="BY147" s="372"/>
      <c r="BZ147" s="372">
        <f>Roles!$D$7</f>
        <v>0.12</v>
      </c>
      <c r="CA147" s="372"/>
      <c r="CB147" s="203">
        <f t="shared" si="21"/>
        <v>0</v>
      </c>
      <c r="CC147" s="372"/>
      <c r="CD147" s="372"/>
      <c r="CE147" s="372">
        <f>Roles!$D$7</f>
        <v>0.12</v>
      </c>
      <c r="CF147" s="372"/>
      <c r="CG147" s="203">
        <f t="shared" si="22"/>
        <v>0</v>
      </c>
      <c r="CH147" s="372"/>
      <c r="CI147" s="372"/>
      <c r="CJ147" s="372">
        <f>Roles!$D$7</f>
        <v>0.12</v>
      </c>
      <c r="CK147" s="372"/>
      <c r="CL147" s="203">
        <f t="shared" si="23"/>
        <v>0</v>
      </c>
      <c r="CM147" s="372"/>
      <c r="CN147" s="372"/>
      <c r="CO147" s="372">
        <f>Roles!$D$7</f>
        <v>0.12</v>
      </c>
      <c r="CP147" s="372"/>
      <c r="CQ147" s="203">
        <f t="shared" si="24"/>
        <v>0</v>
      </c>
      <c r="CR147" s="372"/>
      <c r="CS147" s="372"/>
      <c r="CT147" s="372">
        <f>Roles!$D$7</f>
        <v>0.12</v>
      </c>
      <c r="CU147" s="372"/>
      <c r="CV147" s="203">
        <f t="shared" si="25"/>
        <v>0</v>
      </c>
      <c r="CW147" s="372"/>
      <c r="CX147" s="372"/>
      <c r="CY147" s="372">
        <f>Roles!$D$7</f>
        <v>0.12</v>
      </c>
      <c r="CZ147" s="372"/>
      <c r="DA147" s="203">
        <f t="shared" si="26"/>
        <v>0</v>
      </c>
      <c r="DB147" s="372"/>
      <c r="DC147" s="372"/>
      <c r="DD147" s="372">
        <f>Roles!$D$7</f>
        <v>0.12</v>
      </c>
      <c r="DE147" s="372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 t="shared" si="1"/>
        <v>2</v>
      </c>
      <c r="F148" s="80">
        <v>4.0</v>
      </c>
      <c r="G148" s="105">
        <f t="shared" si="2"/>
        <v>0.003445305771</v>
      </c>
      <c r="H148" s="47">
        <f>H145+G148</f>
        <v>0.5322997416</v>
      </c>
      <c r="I148" s="231">
        <f t="shared" ref="I148:I153" si="140">P148+U148+Z148+AE148+AJ148+AO148+AT148+AY148+BD148+BI148+BN148+BS148+BX148+CC148+CH148+CM148+CR148+CW148+DB148</f>
        <v>8</v>
      </c>
      <c r="J148" s="172">
        <f>J145+I148</f>
        <v>939</v>
      </c>
      <c r="K148" s="115">
        <f t="shared" si="3"/>
        <v>0.8251318102</v>
      </c>
      <c r="L148" s="232">
        <f t="shared" ref="L148:L153" si="141">S148+X148+AC148+AH148+AM148+AR148+AW148+BB148+BG148+BL148+BQ148+BV148+CA148+CF148+CK148+CP148+CU148+CZ148+DE148</f>
        <v>3.52</v>
      </c>
      <c r="M148" s="172">
        <f>M145+L148</f>
        <v>413.16</v>
      </c>
      <c r="N148" s="7"/>
      <c r="O148" s="203">
        <f t="shared" si="7"/>
        <v>2</v>
      </c>
      <c r="P148" s="378">
        <v>8.0</v>
      </c>
      <c r="Q148" s="372"/>
      <c r="R148" s="372">
        <f>Roles!$D$5</f>
        <v>0.44</v>
      </c>
      <c r="S148" s="372">
        <f t="shared" si="8"/>
        <v>3.52</v>
      </c>
      <c r="T148" s="203">
        <f t="shared" si="9"/>
        <v>0</v>
      </c>
      <c r="U148" s="372"/>
      <c r="V148" s="372"/>
      <c r="W148" s="372">
        <f>Roles!$D$7</f>
        <v>0.12</v>
      </c>
      <c r="X148" s="372"/>
      <c r="Y148" s="203">
        <f t="shared" si="10"/>
        <v>0</v>
      </c>
      <c r="Z148" s="372"/>
      <c r="AA148" s="372"/>
      <c r="AB148" s="372">
        <f>Roles!$D$7</f>
        <v>0.12</v>
      </c>
      <c r="AC148" s="372"/>
      <c r="AD148" s="203">
        <f t="shared" si="11"/>
        <v>0</v>
      </c>
      <c r="AE148" s="372"/>
      <c r="AF148" s="372"/>
      <c r="AG148" s="372">
        <f>Roles!$D$7</f>
        <v>0.12</v>
      </c>
      <c r="AH148" s="372"/>
      <c r="AI148" s="203">
        <f t="shared" si="12"/>
        <v>0</v>
      </c>
      <c r="AJ148" s="372"/>
      <c r="AK148" s="372"/>
      <c r="AL148" s="372">
        <f>Roles!$D$7</f>
        <v>0.12</v>
      </c>
      <c r="AM148" s="372"/>
      <c r="AN148" s="203">
        <f t="shared" si="13"/>
        <v>0</v>
      </c>
      <c r="AO148" s="372"/>
      <c r="AP148" s="372"/>
      <c r="AQ148" s="372">
        <f>Roles!$D$7</f>
        <v>0.12</v>
      </c>
      <c r="AR148" s="372"/>
      <c r="AS148" s="203">
        <f t="shared" si="14"/>
        <v>0</v>
      </c>
      <c r="AT148" s="372"/>
      <c r="AU148" s="372"/>
      <c r="AV148" s="372">
        <f>Roles!$D$7</f>
        <v>0.12</v>
      </c>
      <c r="AW148" s="372"/>
      <c r="AX148" s="203">
        <f t="shared" si="15"/>
        <v>0</v>
      </c>
      <c r="AY148" s="372"/>
      <c r="AZ148" s="372"/>
      <c r="BA148" s="372">
        <f>Roles!$D$7</f>
        <v>0.12</v>
      </c>
      <c r="BB148" s="372"/>
      <c r="BC148" s="203">
        <f t="shared" si="16"/>
        <v>0</v>
      </c>
      <c r="BD148" s="372"/>
      <c r="BE148" s="372"/>
      <c r="BF148" s="372">
        <f>Roles!$D$7</f>
        <v>0.12</v>
      </c>
      <c r="BG148" s="372"/>
      <c r="BH148" s="203">
        <f t="shared" si="17"/>
        <v>0</v>
      </c>
      <c r="BI148" s="372"/>
      <c r="BJ148" s="372"/>
      <c r="BK148" s="372">
        <f>Roles!$D$7</f>
        <v>0.12</v>
      </c>
      <c r="BL148" s="372"/>
      <c r="BM148" s="203">
        <f t="shared" si="18"/>
        <v>0</v>
      </c>
      <c r="BN148" s="372"/>
      <c r="BO148" s="372"/>
      <c r="BP148" s="372">
        <f>Roles!$D$7</f>
        <v>0.12</v>
      </c>
      <c r="BQ148" s="372"/>
      <c r="BR148" s="203">
        <f t="shared" si="19"/>
        <v>0</v>
      </c>
      <c r="BS148" s="372"/>
      <c r="BT148" s="372"/>
      <c r="BU148" s="372">
        <f>Roles!$D$7</f>
        <v>0.12</v>
      </c>
      <c r="BV148" s="372"/>
      <c r="BW148" s="203">
        <f t="shared" si="20"/>
        <v>0</v>
      </c>
      <c r="BX148" s="372"/>
      <c r="BY148" s="372"/>
      <c r="BZ148" s="372">
        <f>Roles!$D$7</f>
        <v>0.12</v>
      </c>
      <c r="CA148" s="372"/>
      <c r="CB148" s="203">
        <f t="shared" si="21"/>
        <v>0</v>
      </c>
      <c r="CC148" s="372"/>
      <c r="CD148" s="372"/>
      <c r="CE148" s="372">
        <f>Roles!$D$7</f>
        <v>0.12</v>
      </c>
      <c r="CF148" s="372"/>
      <c r="CG148" s="203">
        <f t="shared" si="22"/>
        <v>0</v>
      </c>
      <c r="CH148" s="372"/>
      <c r="CI148" s="372"/>
      <c r="CJ148" s="372">
        <f>Roles!$D$7</f>
        <v>0.12</v>
      </c>
      <c r="CK148" s="372"/>
      <c r="CL148" s="203">
        <f t="shared" si="23"/>
        <v>0</v>
      </c>
      <c r="CM148" s="372"/>
      <c r="CN148" s="372"/>
      <c r="CO148" s="372">
        <f>Roles!$D$7</f>
        <v>0.12</v>
      </c>
      <c r="CP148" s="372"/>
      <c r="CQ148" s="203">
        <f t="shared" si="24"/>
        <v>0</v>
      </c>
      <c r="CR148" s="372"/>
      <c r="CS148" s="372"/>
      <c r="CT148" s="372">
        <f>Roles!$D$7</f>
        <v>0.12</v>
      </c>
      <c r="CU148" s="372"/>
      <c r="CV148" s="203">
        <f t="shared" si="25"/>
        <v>0</v>
      </c>
      <c r="CW148" s="372"/>
      <c r="CX148" s="372"/>
      <c r="CY148" s="372">
        <f>Roles!$D$7</f>
        <v>0.12</v>
      </c>
      <c r="CZ148" s="372"/>
      <c r="DA148" s="203">
        <f t="shared" si="26"/>
        <v>0</v>
      </c>
      <c r="DB148" s="372"/>
      <c r="DC148" s="372"/>
      <c r="DD148" s="372">
        <f>Roles!$D$7</f>
        <v>0.12</v>
      </c>
      <c r="DE148" s="372"/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 t="shared" si="1"/>
        <v>2</v>
      </c>
      <c r="F149" s="80">
        <v>3.0</v>
      </c>
      <c r="G149" s="105">
        <f t="shared" si="2"/>
        <v>0.002583979328</v>
      </c>
      <c r="H149" s="47">
        <f t="shared" ref="H149:H153" si="142">H148+G149</f>
        <v>0.5348837209</v>
      </c>
      <c r="I149" s="231">
        <f t="shared" si="140"/>
        <v>6</v>
      </c>
      <c r="J149" s="172">
        <f t="shared" ref="J149:J153" si="143">J148+I149</f>
        <v>945</v>
      </c>
      <c r="K149" s="115">
        <f t="shared" si="3"/>
        <v>0.8304042179</v>
      </c>
      <c r="L149" s="232">
        <f t="shared" si="141"/>
        <v>2.64</v>
      </c>
      <c r="M149" s="172">
        <f t="shared" ref="M149:M153" si="144">M148+L149</f>
        <v>415.8</v>
      </c>
      <c r="N149" s="7"/>
      <c r="O149" s="203">
        <f t="shared" si="7"/>
        <v>2</v>
      </c>
      <c r="P149" s="378">
        <v>6.0</v>
      </c>
      <c r="Q149" s="372"/>
      <c r="R149" s="372">
        <f>Roles!$D$5</f>
        <v>0.44</v>
      </c>
      <c r="S149" s="372">
        <f t="shared" si="8"/>
        <v>2.64</v>
      </c>
      <c r="T149" s="203">
        <f t="shared" si="9"/>
        <v>0</v>
      </c>
      <c r="U149" s="372"/>
      <c r="V149" s="372"/>
      <c r="W149" s="372">
        <f>Roles!$D$7</f>
        <v>0.12</v>
      </c>
      <c r="X149" s="372"/>
      <c r="Y149" s="203">
        <f t="shared" si="10"/>
        <v>0</v>
      </c>
      <c r="Z149" s="372"/>
      <c r="AA149" s="372"/>
      <c r="AB149" s="372">
        <f>Roles!$D$7</f>
        <v>0.12</v>
      </c>
      <c r="AC149" s="372"/>
      <c r="AD149" s="203">
        <f t="shared" si="11"/>
        <v>0</v>
      </c>
      <c r="AE149" s="372"/>
      <c r="AF149" s="372"/>
      <c r="AG149" s="372">
        <f>Roles!$D$7</f>
        <v>0.12</v>
      </c>
      <c r="AH149" s="372"/>
      <c r="AI149" s="203">
        <f t="shared" si="12"/>
        <v>0</v>
      </c>
      <c r="AJ149" s="372"/>
      <c r="AK149" s="372"/>
      <c r="AL149" s="372">
        <f>Roles!$D$7</f>
        <v>0.12</v>
      </c>
      <c r="AM149" s="372"/>
      <c r="AN149" s="203">
        <f t="shared" si="13"/>
        <v>0</v>
      </c>
      <c r="AO149" s="372"/>
      <c r="AP149" s="372"/>
      <c r="AQ149" s="372">
        <f>Roles!$D$7</f>
        <v>0.12</v>
      </c>
      <c r="AR149" s="372"/>
      <c r="AS149" s="203">
        <f t="shared" si="14"/>
        <v>0</v>
      </c>
      <c r="AT149" s="372"/>
      <c r="AU149" s="372"/>
      <c r="AV149" s="372">
        <f>Roles!$D$7</f>
        <v>0.12</v>
      </c>
      <c r="AW149" s="372"/>
      <c r="AX149" s="203">
        <f t="shared" si="15"/>
        <v>0</v>
      </c>
      <c r="AY149" s="372"/>
      <c r="AZ149" s="372"/>
      <c r="BA149" s="372">
        <f>Roles!$D$7</f>
        <v>0.12</v>
      </c>
      <c r="BB149" s="372"/>
      <c r="BC149" s="203">
        <f t="shared" si="16"/>
        <v>0</v>
      </c>
      <c r="BD149" s="372"/>
      <c r="BE149" s="372"/>
      <c r="BF149" s="372">
        <f>Roles!$D$7</f>
        <v>0.12</v>
      </c>
      <c r="BG149" s="372"/>
      <c r="BH149" s="203">
        <f t="shared" si="17"/>
        <v>0</v>
      </c>
      <c r="BI149" s="372"/>
      <c r="BJ149" s="372"/>
      <c r="BK149" s="372">
        <f>Roles!$D$7</f>
        <v>0.12</v>
      </c>
      <c r="BL149" s="372"/>
      <c r="BM149" s="203">
        <f t="shared" si="18"/>
        <v>0</v>
      </c>
      <c r="BN149" s="372"/>
      <c r="BO149" s="372"/>
      <c r="BP149" s="372">
        <f>Roles!$D$7</f>
        <v>0.12</v>
      </c>
      <c r="BQ149" s="372"/>
      <c r="BR149" s="203">
        <f t="shared" si="19"/>
        <v>0</v>
      </c>
      <c r="BS149" s="372"/>
      <c r="BT149" s="372"/>
      <c r="BU149" s="372">
        <f>Roles!$D$7</f>
        <v>0.12</v>
      </c>
      <c r="BV149" s="372"/>
      <c r="BW149" s="203">
        <f t="shared" si="20"/>
        <v>0</v>
      </c>
      <c r="BX149" s="372"/>
      <c r="BY149" s="372"/>
      <c r="BZ149" s="372">
        <f>Roles!$D$7</f>
        <v>0.12</v>
      </c>
      <c r="CA149" s="372"/>
      <c r="CB149" s="203">
        <f t="shared" si="21"/>
        <v>0</v>
      </c>
      <c r="CC149" s="372"/>
      <c r="CD149" s="372"/>
      <c r="CE149" s="372">
        <f>Roles!$D$7</f>
        <v>0.12</v>
      </c>
      <c r="CF149" s="372"/>
      <c r="CG149" s="203">
        <f t="shared" si="22"/>
        <v>0</v>
      </c>
      <c r="CH149" s="372"/>
      <c r="CI149" s="372"/>
      <c r="CJ149" s="372">
        <f>Roles!$D$7</f>
        <v>0.12</v>
      </c>
      <c r="CK149" s="372"/>
      <c r="CL149" s="203">
        <f t="shared" si="23"/>
        <v>0</v>
      </c>
      <c r="CM149" s="372"/>
      <c r="CN149" s="372"/>
      <c r="CO149" s="372">
        <f>Roles!$D$7</f>
        <v>0.12</v>
      </c>
      <c r="CP149" s="372"/>
      <c r="CQ149" s="203">
        <f t="shared" si="24"/>
        <v>0</v>
      </c>
      <c r="CR149" s="372"/>
      <c r="CS149" s="372"/>
      <c r="CT149" s="372">
        <f>Roles!$D$7</f>
        <v>0.12</v>
      </c>
      <c r="CU149" s="372"/>
      <c r="CV149" s="203">
        <f t="shared" si="25"/>
        <v>0</v>
      </c>
      <c r="CW149" s="372"/>
      <c r="CX149" s="372"/>
      <c r="CY149" s="372">
        <f>Roles!$D$7</f>
        <v>0.12</v>
      </c>
      <c r="CZ149" s="372"/>
      <c r="DA149" s="203">
        <f t="shared" si="26"/>
        <v>0</v>
      </c>
      <c r="DB149" s="372"/>
      <c r="DC149" s="372"/>
      <c r="DD149" s="372">
        <f>Roles!$D$7</f>
        <v>0.12</v>
      </c>
      <c r="DE149" s="372"/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 t="shared" si="1"/>
        <v>2</v>
      </c>
      <c r="F150" s="80">
        <v>4.0</v>
      </c>
      <c r="G150" s="105">
        <f t="shared" si="2"/>
        <v>0.003445305771</v>
      </c>
      <c r="H150" s="47">
        <f t="shared" si="142"/>
        <v>0.5383290267</v>
      </c>
      <c r="I150" s="231">
        <f t="shared" si="140"/>
        <v>8</v>
      </c>
      <c r="J150" s="172">
        <f t="shared" si="143"/>
        <v>953</v>
      </c>
      <c r="K150" s="115">
        <f t="shared" si="3"/>
        <v>0.8374340949</v>
      </c>
      <c r="L150" s="232">
        <f t="shared" si="141"/>
        <v>3.52</v>
      </c>
      <c r="M150" s="172">
        <f t="shared" si="144"/>
        <v>419.32</v>
      </c>
      <c r="N150" s="7"/>
      <c r="O150" s="203">
        <f t="shared" si="7"/>
        <v>2</v>
      </c>
      <c r="P150" s="378">
        <v>8.0</v>
      </c>
      <c r="Q150" s="372"/>
      <c r="R150" s="372">
        <f>Roles!$D$5</f>
        <v>0.44</v>
      </c>
      <c r="S150" s="372">
        <f t="shared" si="8"/>
        <v>3.52</v>
      </c>
      <c r="T150" s="203">
        <f t="shared" si="9"/>
        <v>0</v>
      </c>
      <c r="U150" s="372"/>
      <c r="V150" s="372"/>
      <c r="W150" s="372">
        <f>Roles!$D$7</f>
        <v>0.12</v>
      </c>
      <c r="X150" s="372"/>
      <c r="Y150" s="203">
        <f t="shared" si="10"/>
        <v>0</v>
      </c>
      <c r="Z150" s="372"/>
      <c r="AA150" s="372"/>
      <c r="AB150" s="372">
        <f>Roles!$D$7</f>
        <v>0.12</v>
      </c>
      <c r="AC150" s="372"/>
      <c r="AD150" s="203">
        <f t="shared" si="11"/>
        <v>0</v>
      </c>
      <c r="AE150" s="372"/>
      <c r="AF150" s="372"/>
      <c r="AG150" s="372">
        <f>Roles!$D$7</f>
        <v>0.12</v>
      </c>
      <c r="AH150" s="372"/>
      <c r="AI150" s="203">
        <f t="shared" si="12"/>
        <v>0</v>
      </c>
      <c r="AJ150" s="372"/>
      <c r="AK150" s="372"/>
      <c r="AL150" s="372">
        <f>Roles!$D$7</f>
        <v>0.12</v>
      </c>
      <c r="AM150" s="372"/>
      <c r="AN150" s="203">
        <f t="shared" si="13"/>
        <v>0</v>
      </c>
      <c r="AO150" s="372"/>
      <c r="AP150" s="372"/>
      <c r="AQ150" s="372">
        <f>Roles!$D$7</f>
        <v>0.12</v>
      </c>
      <c r="AR150" s="372"/>
      <c r="AS150" s="203">
        <f t="shared" si="14"/>
        <v>0</v>
      </c>
      <c r="AT150" s="372"/>
      <c r="AU150" s="372"/>
      <c r="AV150" s="372">
        <f>Roles!$D$7</f>
        <v>0.12</v>
      </c>
      <c r="AW150" s="372"/>
      <c r="AX150" s="203">
        <f t="shared" si="15"/>
        <v>0</v>
      </c>
      <c r="AY150" s="372"/>
      <c r="AZ150" s="372"/>
      <c r="BA150" s="372">
        <f>Roles!$D$7</f>
        <v>0.12</v>
      </c>
      <c r="BB150" s="372"/>
      <c r="BC150" s="203">
        <f t="shared" si="16"/>
        <v>0</v>
      </c>
      <c r="BD150" s="372"/>
      <c r="BE150" s="372"/>
      <c r="BF150" s="372">
        <f>Roles!$D$7</f>
        <v>0.12</v>
      </c>
      <c r="BG150" s="372"/>
      <c r="BH150" s="203">
        <f t="shared" si="17"/>
        <v>0</v>
      </c>
      <c r="BI150" s="372"/>
      <c r="BJ150" s="372"/>
      <c r="BK150" s="372">
        <f>Roles!$D$7</f>
        <v>0.12</v>
      </c>
      <c r="BL150" s="372"/>
      <c r="BM150" s="203">
        <f t="shared" si="18"/>
        <v>0</v>
      </c>
      <c r="BN150" s="372"/>
      <c r="BO150" s="372"/>
      <c r="BP150" s="372">
        <f>Roles!$D$7</f>
        <v>0.12</v>
      </c>
      <c r="BQ150" s="372"/>
      <c r="BR150" s="203">
        <f t="shared" si="19"/>
        <v>0</v>
      </c>
      <c r="BS150" s="372"/>
      <c r="BT150" s="372"/>
      <c r="BU150" s="372">
        <f>Roles!$D$7</f>
        <v>0.12</v>
      </c>
      <c r="BV150" s="372"/>
      <c r="BW150" s="203">
        <f t="shared" si="20"/>
        <v>0</v>
      </c>
      <c r="BX150" s="372"/>
      <c r="BY150" s="372"/>
      <c r="BZ150" s="372">
        <f>Roles!$D$7</f>
        <v>0.12</v>
      </c>
      <c r="CA150" s="372"/>
      <c r="CB150" s="203">
        <f t="shared" si="21"/>
        <v>0</v>
      </c>
      <c r="CC150" s="372"/>
      <c r="CD150" s="372"/>
      <c r="CE150" s="372">
        <f>Roles!$D$7</f>
        <v>0.12</v>
      </c>
      <c r="CF150" s="372"/>
      <c r="CG150" s="203">
        <f t="shared" si="22"/>
        <v>0</v>
      </c>
      <c r="CH150" s="372"/>
      <c r="CI150" s="372"/>
      <c r="CJ150" s="372">
        <f>Roles!$D$7</f>
        <v>0.12</v>
      </c>
      <c r="CK150" s="372"/>
      <c r="CL150" s="203">
        <f t="shared" si="23"/>
        <v>0</v>
      </c>
      <c r="CM150" s="372"/>
      <c r="CN150" s="372"/>
      <c r="CO150" s="372">
        <f>Roles!$D$7</f>
        <v>0.12</v>
      </c>
      <c r="CP150" s="372"/>
      <c r="CQ150" s="203">
        <f t="shared" si="24"/>
        <v>0</v>
      </c>
      <c r="CR150" s="372"/>
      <c r="CS150" s="372"/>
      <c r="CT150" s="372">
        <f>Roles!$D$7</f>
        <v>0.12</v>
      </c>
      <c r="CU150" s="372"/>
      <c r="CV150" s="203">
        <f t="shared" si="25"/>
        <v>0</v>
      </c>
      <c r="CW150" s="372"/>
      <c r="CX150" s="372"/>
      <c r="CY150" s="372">
        <f>Roles!$D$7</f>
        <v>0.12</v>
      </c>
      <c r="CZ150" s="372"/>
      <c r="DA150" s="203">
        <f t="shared" si="26"/>
        <v>0</v>
      </c>
      <c r="DB150" s="372"/>
      <c r="DC150" s="372"/>
      <c r="DD150" s="372">
        <f>Roles!$D$7</f>
        <v>0.12</v>
      </c>
      <c r="DE150" s="372"/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 t="shared" si="1"/>
        <v>2</v>
      </c>
      <c r="F151" s="80">
        <v>4.0</v>
      </c>
      <c r="G151" s="105">
        <f t="shared" si="2"/>
        <v>0.003445305771</v>
      </c>
      <c r="H151" s="47">
        <f t="shared" si="142"/>
        <v>0.5417743325</v>
      </c>
      <c r="I151" s="231">
        <f t="shared" si="140"/>
        <v>8</v>
      </c>
      <c r="J151" s="172">
        <f t="shared" si="143"/>
        <v>961</v>
      </c>
      <c r="K151" s="115">
        <f t="shared" si="3"/>
        <v>0.8444639719</v>
      </c>
      <c r="L151" s="232">
        <f t="shared" si="141"/>
        <v>3.52</v>
      </c>
      <c r="M151" s="172">
        <f t="shared" si="144"/>
        <v>422.84</v>
      </c>
      <c r="N151" s="7"/>
      <c r="O151" s="203">
        <f t="shared" si="7"/>
        <v>2</v>
      </c>
      <c r="P151" s="378">
        <v>8.0</v>
      </c>
      <c r="Q151" s="372"/>
      <c r="R151" s="372">
        <f>Roles!$D$5</f>
        <v>0.44</v>
      </c>
      <c r="S151" s="372">
        <f t="shared" si="8"/>
        <v>3.52</v>
      </c>
      <c r="T151" s="203">
        <f t="shared" si="9"/>
        <v>0</v>
      </c>
      <c r="U151" s="372"/>
      <c r="V151" s="372"/>
      <c r="W151" s="372">
        <f>Roles!$D$7</f>
        <v>0.12</v>
      </c>
      <c r="X151" s="372"/>
      <c r="Y151" s="203">
        <f t="shared" si="10"/>
        <v>0</v>
      </c>
      <c r="Z151" s="372"/>
      <c r="AA151" s="372"/>
      <c r="AB151" s="372">
        <f>Roles!$D$7</f>
        <v>0.12</v>
      </c>
      <c r="AC151" s="372"/>
      <c r="AD151" s="203">
        <f t="shared" si="11"/>
        <v>0</v>
      </c>
      <c r="AE151" s="372"/>
      <c r="AF151" s="372"/>
      <c r="AG151" s="372">
        <f>Roles!$D$7</f>
        <v>0.12</v>
      </c>
      <c r="AH151" s="372"/>
      <c r="AI151" s="203">
        <f t="shared" si="12"/>
        <v>0</v>
      </c>
      <c r="AJ151" s="372"/>
      <c r="AK151" s="372"/>
      <c r="AL151" s="372">
        <f>Roles!$D$7</f>
        <v>0.12</v>
      </c>
      <c r="AM151" s="372"/>
      <c r="AN151" s="203">
        <f t="shared" si="13"/>
        <v>0</v>
      </c>
      <c r="AO151" s="372"/>
      <c r="AP151" s="372"/>
      <c r="AQ151" s="372">
        <f>Roles!$D$7</f>
        <v>0.12</v>
      </c>
      <c r="AR151" s="372"/>
      <c r="AS151" s="203">
        <f t="shared" si="14"/>
        <v>0</v>
      </c>
      <c r="AT151" s="372"/>
      <c r="AU151" s="372"/>
      <c r="AV151" s="372">
        <f>Roles!$D$7</f>
        <v>0.12</v>
      </c>
      <c r="AW151" s="372"/>
      <c r="AX151" s="203">
        <f t="shared" si="15"/>
        <v>0</v>
      </c>
      <c r="AY151" s="372"/>
      <c r="AZ151" s="372"/>
      <c r="BA151" s="372">
        <f>Roles!$D$7</f>
        <v>0.12</v>
      </c>
      <c r="BB151" s="372"/>
      <c r="BC151" s="203">
        <f t="shared" si="16"/>
        <v>0</v>
      </c>
      <c r="BD151" s="372"/>
      <c r="BE151" s="372"/>
      <c r="BF151" s="372">
        <f>Roles!$D$7</f>
        <v>0.12</v>
      </c>
      <c r="BG151" s="372"/>
      <c r="BH151" s="203">
        <f t="shared" si="17"/>
        <v>0</v>
      </c>
      <c r="BI151" s="372"/>
      <c r="BJ151" s="372"/>
      <c r="BK151" s="372">
        <f>Roles!$D$7</f>
        <v>0.12</v>
      </c>
      <c r="BL151" s="372"/>
      <c r="BM151" s="203">
        <f t="shared" si="18"/>
        <v>0</v>
      </c>
      <c r="BN151" s="372"/>
      <c r="BO151" s="372"/>
      <c r="BP151" s="372">
        <f>Roles!$D$7</f>
        <v>0.12</v>
      </c>
      <c r="BQ151" s="372"/>
      <c r="BR151" s="203">
        <f t="shared" si="19"/>
        <v>0</v>
      </c>
      <c r="BS151" s="372"/>
      <c r="BT151" s="372"/>
      <c r="BU151" s="372">
        <f>Roles!$D$7</f>
        <v>0.12</v>
      </c>
      <c r="BV151" s="372"/>
      <c r="BW151" s="203">
        <f t="shared" si="20"/>
        <v>0</v>
      </c>
      <c r="BX151" s="372"/>
      <c r="BY151" s="372"/>
      <c r="BZ151" s="372">
        <f>Roles!$D$7</f>
        <v>0.12</v>
      </c>
      <c r="CA151" s="372"/>
      <c r="CB151" s="203">
        <f t="shared" si="21"/>
        <v>0</v>
      </c>
      <c r="CC151" s="372"/>
      <c r="CD151" s="372"/>
      <c r="CE151" s="372">
        <f>Roles!$D$7</f>
        <v>0.12</v>
      </c>
      <c r="CF151" s="372"/>
      <c r="CG151" s="203">
        <f t="shared" si="22"/>
        <v>0</v>
      </c>
      <c r="CH151" s="372"/>
      <c r="CI151" s="372"/>
      <c r="CJ151" s="372">
        <f>Roles!$D$7</f>
        <v>0.12</v>
      </c>
      <c r="CK151" s="372"/>
      <c r="CL151" s="203">
        <f t="shared" si="23"/>
        <v>0</v>
      </c>
      <c r="CM151" s="372"/>
      <c r="CN151" s="372"/>
      <c r="CO151" s="372">
        <f>Roles!$D$7</f>
        <v>0.12</v>
      </c>
      <c r="CP151" s="372"/>
      <c r="CQ151" s="203">
        <f t="shared" si="24"/>
        <v>0</v>
      </c>
      <c r="CR151" s="372"/>
      <c r="CS151" s="372"/>
      <c r="CT151" s="372">
        <f>Roles!$D$7</f>
        <v>0.12</v>
      </c>
      <c r="CU151" s="372"/>
      <c r="CV151" s="203">
        <f t="shared" si="25"/>
        <v>0</v>
      </c>
      <c r="CW151" s="372"/>
      <c r="CX151" s="372"/>
      <c r="CY151" s="372">
        <f>Roles!$D$7</f>
        <v>0.12</v>
      </c>
      <c r="CZ151" s="372"/>
      <c r="DA151" s="203">
        <f t="shared" si="26"/>
        <v>0</v>
      </c>
      <c r="DB151" s="372"/>
      <c r="DC151" s="372"/>
      <c r="DD151" s="372">
        <f>Roles!$D$7</f>
        <v>0.12</v>
      </c>
      <c r="DE151" s="372"/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 t="shared" si="1"/>
        <v>1</v>
      </c>
      <c r="F152" s="80">
        <v>2.0</v>
      </c>
      <c r="G152" s="105">
        <f t="shared" si="2"/>
        <v>0.001722652885</v>
      </c>
      <c r="H152" s="47">
        <f t="shared" si="142"/>
        <v>0.5434969854</v>
      </c>
      <c r="I152" s="231">
        <f t="shared" si="140"/>
        <v>4</v>
      </c>
      <c r="J152" s="172">
        <f t="shared" si="143"/>
        <v>965</v>
      </c>
      <c r="K152" s="115">
        <f t="shared" si="3"/>
        <v>0.8479789104</v>
      </c>
      <c r="L152" s="232">
        <f t="shared" si="141"/>
        <v>1.76</v>
      </c>
      <c r="M152" s="172">
        <f t="shared" si="144"/>
        <v>424.6</v>
      </c>
      <c r="N152" s="7"/>
      <c r="O152" s="203">
        <f t="shared" si="7"/>
        <v>2</v>
      </c>
      <c r="P152" s="378">
        <v>4.0</v>
      </c>
      <c r="Q152" s="372"/>
      <c r="R152" s="372">
        <f>Roles!$D$5</f>
        <v>0.44</v>
      </c>
      <c r="S152" s="372">
        <f t="shared" si="8"/>
        <v>1.76</v>
      </c>
      <c r="T152" s="203">
        <f t="shared" si="9"/>
        <v>0</v>
      </c>
      <c r="U152" s="372"/>
      <c r="V152" s="372"/>
      <c r="W152" s="372">
        <f>Roles!$D$7</f>
        <v>0.12</v>
      </c>
      <c r="X152" s="372"/>
      <c r="Y152" s="203">
        <f t="shared" si="10"/>
        <v>0</v>
      </c>
      <c r="Z152" s="372"/>
      <c r="AA152" s="372"/>
      <c r="AB152" s="372">
        <f>Roles!$D$7</f>
        <v>0.12</v>
      </c>
      <c r="AC152" s="372"/>
      <c r="AD152" s="203">
        <f t="shared" si="11"/>
        <v>0</v>
      </c>
      <c r="AE152" s="372"/>
      <c r="AF152" s="372"/>
      <c r="AG152" s="372">
        <f>Roles!$D$7</f>
        <v>0.12</v>
      </c>
      <c r="AH152" s="372"/>
      <c r="AI152" s="203">
        <f t="shared" si="12"/>
        <v>0</v>
      </c>
      <c r="AJ152" s="372"/>
      <c r="AK152" s="372"/>
      <c r="AL152" s="372">
        <f>Roles!$D$7</f>
        <v>0.12</v>
      </c>
      <c r="AM152" s="372"/>
      <c r="AN152" s="203">
        <f t="shared" si="13"/>
        <v>0</v>
      </c>
      <c r="AO152" s="372"/>
      <c r="AP152" s="372"/>
      <c r="AQ152" s="372">
        <f>Roles!$D$7</f>
        <v>0.12</v>
      </c>
      <c r="AR152" s="372"/>
      <c r="AS152" s="203">
        <f t="shared" si="14"/>
        <v>0</v>
      </c>
      <c r="AT152" s="372"/>
      <c r="AU152" s="372"/>
      <c r="AV152" s="372">
        <f>Roles!$D$7</f>
        <v>0.12</v>
      </c>
      <c r="AW152" s="372"/>
      <c r="AX152" s="203">
        <f t="shared" si="15"/>
        <v>0</v>
      </c>
      <c r="AY152" s="372"/>
      <c r="AZ152" s="372"/>
      <c r="BA152" s="372">
        <f>Roles!$D$7</f>
        <v>0.12</v>
      </c>
      <c r="BB152" s="372"/>
      <c r="BC152" s="203">
        <f t="shared" si="16"/>
        <v>0</v>
      </c>
      <c r="BD152" s="372"/>
      <c r="BE152" s="372"/>
      <c r="BF152" s="372">
        <f>Roles!$D$7</f>
        <v>0.12</v>
      </c>
      <c r="BG152" s="372"/>
      <c r="BH152" s="203">
        <f t="shared" si="17"/>
        <v>0</v>
      </c>
      <c r="BI152" s="372"/>
      <c r="BJ152" s="372"/>
      <c r="BK152" s="372">
        <f>Roles!$D$7</f>
        <v>0.12</v>
      </c>
      <c r="BL152" s="372"/>
      <c r="BM152" s="203">
        <f t="shared" si="18"/>
        <v>0</v>
      </c>
      <c r="BN152" s="372"/>
      <c r="BO152" s="372"/>
      <c r="BP152" s="372">
        <f>Roles!$D$7</f>
        <v>0.12</v>
      </c>
      <c r="BQ152" s="372"/>
      <c r="BR152" s="203">
        <f t="shared" si="19"/>
        <v>0</v>
      </c>
      <c r="BS152" s="372"/>
      <c r="BT152" s="372"/>
      <c r="BU152" s="372">
        <f>Roles!$D$7</f>
        <v>0.12</v>
      </c>
      <c r="BV152" s="372"/>
      <c r="BW152" s="203">
        <f t="shared" si="20"/>
        <v>0</v>
      </c>
      <c r="BX152" s="372"/>
      <c r="BY152" s="372"/>
      <c r="BZ152" s="372">
        <f>Roles!$D$7</f>
        <v>0.12</v>
      </c>
      <c r="CA152" s="372"/>
      <c r="CB152" s="203">
        <f t="shared" si="21"/>
        <v>0</v>
      </c>
      <c r="CC152" s="372"/>
      <c r="CD152" s="372"/>
      <c r="CE152" s="372">
        <f>Roles!$D$7</f>
        <v>0.12</v>
      </c>
      <c r="CF152" s="372"/>
      <c r="CG152" s="203">
        <f t="shared" si="22"/>
        <v>0</v>
      </c>
      <c r="CH152" s="372"/>
      <c r="CI152" s="372"/>
      <c r="CJ152" s="372">
        <f>Roles!$D$7</f>
        <v>0.12</v>
      </c>
      <c r="CK152" s="372"/>
      <c r="CL152" s="203">
        <f t="shared" si="23"/>
        <v>0</v>
      </c>
      <c r="CM152" s="372"/>
      <c r="CN152" s="372"/>
      <c r="CO152" s="372">
        <f>Roles!$D$7</f>
        <v>0.12</v>
      </c>
      <c r="CP152" s="372"/>
      <c r="CQ152" s="203">
        <f t="shared" si="24"/>
        <v>0</v>
      </c>
      <c r="CR152" s="372"/>
      <c r="CS152" s="372"/>
      <c r="CT152" s="372">
        <f>Roles!$D$7</f>
        <v>0.12</v>
      </c>
      <c r="CU152" s="372"/>
      <c r="CV152" s="203">
        <f t="shared" si="25"/>
        <v>0</v>
      </c>
      <c r="CW152" s="372"/>
      <c r="CX152" s="372"/>
      <c r="CY152" s="372">
        <f>Roles!$D$7</f>
        <v>0.12</v>
      </c>
      <c r="CZ152" s="372"/>
      <c r="DA152" s="203">
        <f t="shared" si="26"/>
        <v>0</v>
      </c>
      <c r="DB152" s="372"/>
      <c r="DC152" s="372"/>
      <c r="DD152" s="372">
        <f>Roles!$D$7</f>
        <v>0.12</v>
      </c>
      <c r="DE152" s="372"/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 t="shared" si="1"/>
        <v>2</v>
      </c>
      <c r="F153" s="80">
        <v>3.0</v>
      </c>
      <c r="G153" s="105">
        <f t="shared" si="2"/>
        <v>0.002583979328</v>
      </c>
      <c r="H153" s="47">
        <f t="shared" si="142"/>
        <v>0.5460809647</v>
      </c>
      <c r="I153" s="231">
        <f t="shared" si="140"/>
        <v>6</v>
      </c>
      <c r="J153" s="172">
        <f t="shared" si="143"/>
        <v>971</v>
      </c>
      <c r="K153" s="115">
        <f t="shared" si="3"/>
        <v>0.8532513181</v>
      </c>
      <c r="L153" s="232">
        <f t="shared" si="141"/>
        <v>2.64</v>
      </c>
      <c r="M153" s="172">
        <f t="shared" si="144"/>
        <v>427.24</v>
      </c>
      <c r="N153" s="7"/>
      <c r="O153" s="203">
        <f t="shared" si="7"/>
        <v>2</v>
      </c>
      <c r="P153" s="378">
        <v>6.0</v>
      </c>
      <c r="Q153" s="372"/>
      <c r="R153" s="372">
        <f>Roles!$D$5</f>
        <v>0.44</v>
      </c>
      <c r="S153" s="372">
        <f t="shared" si="8"/>
        <v>2.64</v>
      </c>
      <c r="T153" s="203">
        <f t="shared" si="9"/>
        <v>0</v>
      </c>
      <c r="U153" s="372"/>
      <c r="V153" s="372"/>
      <c r="W153" s="372">
        <f>Roles!$D$7</f>
        <v>0.12</v>
      </c>
      <c r="X153" s="372"/>
      <c r="Y153" s="203">
        <f t="shared" si="10"/>
        <v>0</v>
      </c>
      <c r="Z153" s="372"/>
      <c r="AA153" s="372"/>
      <c r="AB153" s="372">
        <f>Roles!$D$7</f>
        <v>0.12</v>
      </c>
      <c r="AC153" s="372"/>
      <c r="AD153" s="203">
        <f t="shared" si="11"/>
        <v>0</v>
      </c>
      <c r="AE153" s="372"/>
      <c r="AF153" s="372"/>
      <c r="AG153" s="372">
        <f>Roles!$D$7</f>
        <v>0.12</v>
      </c>
      <c r="AH153" s="372"/>
      <c r="AI153" s="203">
        <f t="shared" si="12"/>
        <v>0</v>
      </c>
      <c r="AJ153" s="372"/>
      <c r="AK153" s="372"/>
      <c r="AL153" s="372">
        <f>Roles!$D$7</f>
        <v>0.12</v>
      </c>
      <c r="AM153" s="372"/>
      <c r="AN153" s="203">
        <f t="shared" si="13"/>
        <v>0</v>
      </c>
      <c r="AO153" s="372"/>
      <c r="AP153" s="372"/>
      <c r="AQ153" s="372">
        <f>Roles!$D$7</f>
        <v>0.12</v>
      </c>
      <c r="AR153" s="372"/>
      <c r="AS153" s="203">
        <f t="shared" si="14"/>
        <v>0</v>
      </c>
      <c r="AT153" s="372"/>
      <c r="AU153" s="372"/>
      <c r="AV153" s="372">
        <f>Roles!$D$7</f>
        <v>0.12</v>
      </c>
      <c r="AW153" s="372"/>
      <c r="AX153" s="203">
        <f t="shared" si="15"/>
        <v>0</v>
      </c>
      <c r="AY153" s="372"/>
      <c r="AZ153" s="372"/>
      <c r="BA153" s="372">
        <f>Roles!$D$7</f>
        <v>0.12</v>
      </c>
      <c r="BB153" s="372"/>
      <c r="BC153" s="203">
        <f t="shared" si="16"/>
        <v>0</v>
      </c>
      <c r="BD153" s="372"/>
      <c r="BE153" s="372"/>
      <c r="BF153" s="372">
        <f>Roles!$D$7</f>
        <v>0.12</v>
      </c>
      <c r="BG153" s="372"/>
      <c r="BH153" s="203">
        <f t="shared" si="17"/>
        <v>0</v>
      </c>
      <c r="BI153" s="372"/>
      <c r="BJ153" s="372"/>
      <c r="BK153" s="372">
        <f>Roles!$D$7</f>
        <v>0.12</v>
      </c>
      <c r="BL153" s="372"/>
      <c r="BM153" s="203">
        <f t="shared" si="18"/>
        <v>0</v>
      </c>
      <c r="BN153" s="372"/>
      <c r="BO153" s="372"/>
      <c r="BP153" s="372">
        <f>Roles!$D$7</f>
        <v>0.12</v>
      </c>
      <c r="BQ153" s="372"/>
      <c r="BR153" s="203">
        <f t="shared" si="19"/>
        <v>0</v>
      </c>
      <c r="BS153" s="372"/>
      <c r="BT153" s="372"/>
      <c r="BU153" s="372">
        <f>Roles!$D$7</f>
        <v>0.12</v>
      </c>
      <c r="BV153" s="372"/>
      <c r="BW153" s="203">
        <f t="shared" si="20"/>
        <v>0</v>
      </c>
      <c r="BX153" s="372"/>
      <c r="BY153" s="372"/>
      <c r="BZ153" s="372">
        <f>Roles!$D$7</f>
        <v>0.12</v>
      </c>
      <c r="CA153" s="372"/>
      <c r="CB153" s="203">
        <f t="shared" si="21"/>
        <v>0</v>
      </c>
      <c r="CC153" s="372"/>
      <c r="CD153" s="372"/>
      <c r="CE153" s="372">
        <f>Roles!$D$7</f>
        <v>0.12</v>
      </c>
      <c r="CF153" s="372"/>
      <c r="CG153" s="203">
        <f t="shared" si="22"/>
        <v>0</v>
      </c>
      <c r="CH153" s="372"/>
      <c r="CI153" s="372"/>
      <c r="CJ153" s="372">
        <f>Roles!$D$7</f>
        <v>0.12</v>
      </c>
      <c r="CK153" s="372"/>
      <c r="CL153" s="203">
        <f t="shared" si="23"/>
        <v>0</v>
      </c>
      <c r="CM153" s="372"/>
      <c r="CN153" s="372"/>
      <c r="CO153" s="372">
        <f>Roles!$D$7</f>
        <v>0.12</v>
      </c>
      <c r="CP153" s="372"/>
      <c r="CQ153" s="203">
        <f t="shared" si="24"/>
        <v>0</v>
      </c>
      <c r="CR153" s="372"/>
      <c r="CS153" s="372"/>
      <c r="CT153" s="372">
        <f>Roles!$D$7</f>
        <v>0.12</v>
      </c>
      <c r="CU153" s="372"/>
      <c r="CV153" s="203">
        <f t="shared" si="25"/>
        <v>0</v>
      </c>
      <c r="CW153" s="372"/>
      <c r="CX153" s="372"/>
      <c r="CY153" s="372">
        <f>Roles!$D$7</f>
        <v>0.12</v>
      </c>
      <c r="CZ153" s="372"/>
      <c r="DA153" s="203">
        <f t="shared" si="26"/>
        <v>0</v>
      </c>
      <c r="DB153" s="372"/>
      <c r="DC153" s="372"/>
      <c r="DD153" s="372">
        <f>Roles!$D$7</f>
        <v>0.12</v>
      </c>
      <c r="DE153" s="372"/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 t="shared" si="1"/>
        <v>7</v>
      </c>
      <c r="F154" s="246">
        <f>SUM(F155:F159)</f>
        <v>13</v>
      </c>
      <c r="G154" s="105">
        <f t="shared" si="2"/>
        <v>0.01119724376</v>
      </c>
      <c r="H154" s="226">
        <f>H159</f>
        <v>0.5572782084</v>
      </c>
      <c r="I154" s="247">
        <f>SUM(I155:I159)</f>
        <v>21</v>
      </c>
      <c r="J154" s="247">
        <f>J159</f>
        <v>992</v>
      </c>
      <c r="K154" s="167">
        <f t="shared" si="3"/>
        <v>0.8717047452</v>
      </c>
      <c r="L154" s="247">
        <f>SUM(L155:L159)</f>
        <v>9.24</v>
      </c>
      <c r="M154" s="247">
        <f>M159</f>
        <v>436.48</v>
      </c>
      <c r="N154" s="7"/>
      <c r="O154" s="203">
        <f t="shared" si="7"/>
        <v>0</v>
      </c>
      <c r="P154" s="372"/>
      <c r="Q154" s="372"/>
      <c r="R154" s="372">
        <f>Roles!$D$5</f>
        <v>0.44</v>
      </c>
      <c r="S154" s="372">
        <f t="shared" si="8"/>
        <v>0</v>
      </c>
      <c r="T154" s="203">
        <f t="shared" si="9"/>
        <v>0</v>
      </c>
      <c r="U154" s="372"/>
      <c r="V154" s="372"/>
      <c r="W154" s="372">
        <f>Roles!$D$7</f>
        <v>0.12</v>
      </c>
      <c r="X154" s="372"/>
      <c r="Y154" s="203">
        <f t="shared" si="10"/>
        <v>0</v>
      </c>
      <c r="Z154" s="372"/>
      <c r="AA154" s="372"/>
      <c r="AB154" s="372">
        <f>Roles!$D$7</f>
        <v>0.12</v>
      </c>
      <c r="AC154" s="372"/>
      <c r="AD154" s="203">
        <f t="shared" si="11"/>
        <v>0</v>
      </c>
      <c r="AE154" s="372"/>
      <c r="AF154" s="372"/>
      <c r="AG154" s="372">
        <f>Roles!$D$7</f>
        <v>0.12</v>
      </c>
      <c r="AH154" s="372"/>
      <c r="AI154" s="203">
        <f t="shared" si="12"/>
        <v>0</v>
      </c>
      <c r="AJ154" s="372"/>
      <c r="AK154" s="372"/>
      <c r="AL154" s="372">
        <f>Roles!$D$7</f>
        <v>0.12</v>
      </c>
      <c r="AM154" s="372"/>
      <c r="AN154" s="203">
        <f t="shared" si="13"/>
        <v>0</v>
      </c>
      <c r="AO154" s="372"/>
      <c r="AP154" s="372"/>
      <c r="AQ154" s="372">
        <f>Roles!$D$7</f>
        <v>0.12</v>
      </c>
      <c r="AR154" s="372"/>
      <c r="AS154" s="203">
        <f t="shared" si="14"/>
        <v>0</v>
      </c>
      <c r="AT154" s="372"/>
      <c r="AU154" s="372"/>
      <c r="AV154" s="372">
        <f>Roles!$D$7</f>
        <v>0.12</v>
      </c>
      <c r="AW154" s="372"/>
      <c r="AX154" s="203">
        <f t="shared" si="15"/>
        <v>0</v>
      </c>
      <c r="AY154" s="372"/>
      <c r="AZ154" s="372"/>
      <c r="BA154" s="372">
        <f>Roles!$D$7</f>
        <v>0.12</v>
      </c>
      <c r="BB154" s="372"/>
      <c r="BC154" s="203">
        <f t="shared" si="16"/>
        <v>0</v>
      </c>
      <c r="BD154" s="372"/>
      <c r="BE154" s="372"/>
      <c r="BF154" s="372">
        <f>Roles!$D$7</f>
        <v>0.12</v>
      </c>
      <c r="BG154" s="372"/>
      <c r="BH154" s="203">
        <f t="shared" si="17"/>
        <v>0</v>
      </c>
      <c r="BI154" s="372"/>
      <c r="BJ154" s="372"/>
      <c r="BK154" s="372">
        <f>Roles!$D$7</f>
        <v>0.12</v>
      </c>
      <c r="BL154" s="372"/>
      <c r="BM154" s="203">
        <f t="shared" si="18"/>
        <v>0</v>
      </c>
      <c r="BN154" s="372"/>
      <c r="BO154" s="372"/>
      <c r="BP154" s="372">
        <f>Roles!$D$7</f>
        <v>0.12</v>
      </c>
      <c r="BQ154" s="372"/>
      <c r="BR154" s="203">
        <f t="shared" si="19"/>
        <v>0</v>
      </c>
      <c r="BS154" s="372"/>
      <c r="BT154" s="372"/>
      <c r="BU154" s="372">
        <f>Roles!$D$7</f>
        <v>0.12</v>
      </c>
      <c r="BV154" s="372"/>
      <c r="BW154" s="203">
        <f t="shared" si="20"/>
        <v>0</v>
      </c>
      <c r="BX154" s="372"/>
      <c r="BY154" s="372"/>
      <c r="BZ154" s="372">
        <f>Roles!$D$7</f>
        <v>0.12</v>
      </c>
      <c r="CA154" s="372"/>
      <c r="CB154" s="203">
        <f t="shared" si="21"/>
        <v>0</v>
      </c>
      <c r="CC154" s="372"/>
      <c r="CD154" s="372"/>
      <c r="CE154" s="372">
        <f>Roles!$D$7</f>
        <v>0.12</v>
      </c>
      <c r="CF154" s="372"/>
      <c r="CG154" s="203">
        <f t="shared" si="22"/>
        <v>0</v>
      </c>
      <c r="CH154" s="372"/>
      <c r="CI154" s="372"/>
      <c r="CJ154" s="372">
        <f>Roles!$D$7</f>
        <v>0.12</v>
      </c>
      <c r="CK154" s="372"/>
      <c r="CL154" s="203">
        <f t="shared" si="23"/>
        <v>0</v>
      </c>
      <c r="CM154" s="372"/>
      <c r="CN154" s="372"/>
      <c r="CO154" s="372">
        <f>Roles!$D$7</f>
        <v>0.12</v>
      </c>
      <c r="CP154" s="372"/>
      <c r="CQ154" s="203">
        <f t="shared" si="24"/>
        <v>0</v>
      </c>
      <c r="CR154" s="372"/>
      <c r="CS154" s="372"/>
      <c r="CT154" s="372">
        <f>Roles!$D$7</f>
        <v>0.12</v>
      </c>
      <c r="CU154" s="372"/>
      <c r="CV154" s="203">
        <f t="shared" si="25"/>
        <v>0</v>
      </c>
      <c r="CW154" s="372"/>
      <c r="CX154" s="372"/>
      <c r="CY154" s="372">
        <f>Roles!$D$7</f>
        <v>0.12</v>
      </c>
      <c r="CZ154" s="372"/>
      <c r="DA154" s="203">
        <f t="shared" si="26"/>
        <v>0</v>
      </c>
      <c r="DB154" s="372"/>
      <c r="DC154" s="372"/>
      <c r="DD154" s="372">
        <f>Roles!$D$7</f>
        <v>0.12</v>
      </c>
      <c r="DE154" s="372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 t="shared" si="1"/>
        <v>2</v>
      </c>
      <c r="F155" s="80">
        <v>3.0</v>
      </c>
      <c r="G155" s="105">
        <f t="shared" si="2"/>
        <v>0.002583979328</v>
      </c>
      <c r="H155" s="47">
        <f>H153+G155</f>
        <v>0.548664944</v>
      </c>
      <c r="I155" s="231">
        <f t="shared" ref="I155:I159" si="145">P155+U155+Z155+AE155+AJ155+AO155+AT155+AY155+BD155+BI155+BN155+BS155+BX155+CC155+CH155+CM155+CR155+CW155+DB155</f>
        <v>6</v>
      </c>
      <c r="J155" s="172">
        <f>J153+I155</f>
        <v>977</v>
      </c>
      <c r="K155" s="115">
        <f t="shared" si="3"/>
        <v>0.8585237258</v>
      </c>
      <c r="L155" s="232">
        <f t="shared" ref="L155:L159" si="146">S155+X155+AC155+AH155+AM155+AR155+AW155+BB155+BG155+BL155+BQ155+BV155+CA155+CF155+CK155+CP155+CU155+CZ155+DE155</f>
        <v>2.64</v>
      </c>
      <c r="M155" s="172">
        <f>M153+L155</f>
        <v>429.88</v>
      </c>
      <c r="N155" s="7"/>
      <c r="O155" s="203">
        <f t="shared" si="7"/>
        <v>2</v>
      </c>
      <c r="P155" s="378">
        <v>6.0</v>
      </c>
      <c r="Q155" s="372"/>
      <c r="R155" s="372">
        <f>Roles!$D$5</f>
        <v>0.44</v>
      </c>
      <c r="S155" s="372">
        <f t="shared" si="8"/>
        <v>2.64</v>
      </c>
      <c r="T155" s="203">
        <f t="shared" si="9"/>
        <v>0</v>
      </c>
      <c r="U155" s="372"/>
      <c r="V155" s="372"/>
      <c r="W155" s="372">
        <f>Roles!$D$7</f>
        <v>0.12</v>
      </c>
      <c r="X155" s="372"/>
      <c r="Y155" s="203">
        <f t="shared" si="10"/>
        <v>0</v>
      </c>
      <c r="Z155" s="372"/>
      <c r="AA155" s="372"/>
      <c r="AB155" s="372">
        <f>Roles!$D$7</f>
        <v>0.12</v>
      </c>
      <c r="AC155" s="372"/>
      <c r="AD155" s="203">
        <f t="shared" si="11"/>
        <v>0</v>
      </c>
      <c r="AE155" s="372"/>
      <c r="AF155" s="372"/>
      <c r="AG155" s="372">
        <f>Roles!$D$7</f>
        <v>0.12</v>
      </c>
      <c r="AH155" s="372"/>
      <c r="AI155" s="203">
        <f t="shared" si="12"/>
        <v>0</v>
      </c>
      <c r="AJ155" s="372"/>
      <c r="AK155" s="372"/>
      <c r="AL155" s="372">
        <f>Roles!$D$7</f>
        <v>0.12</v>
      </c>
      <c r="AM155" s="372"/>
      <c r="AN155" s="203">
        <f t="shared" si="13"/>
        <v>0</v>
      </c>
      <c r="AO155" s="372"/>
      <c r="AP155" s="372"/>
      <c r="AQ155" s="372">
        <f>Roles!$D$7</f>
        <v>0.12</v>
      </c>
      <c r="AR155" s="372"/>
      <c r="AS155" s="203">
        <f t="shared" si="14"/>
        <v>0</v>
      </c>
      <c r="AT155" s="372"/>
      <c r="AU155" s="372"/>
      <c r="AV155" s="372">
        <f>Roles!$D$7</f>
        <v>0.12</v>
      </c>
      <c r="AW155" s="372"/>
      <c r="AX155" s="203">
        <f t="shared" si="15"/>
        <v>0</v>
      </c>
      <c r="AY155" s="372"/>
      <c r="AZ155" s="372"/>
      <c r="BA155" s="372">
        <f>Roles!$D$7</f>
        <v>0.12</v>
      </c>
      <c r="BB155" s="372"/>
      <c r="BC155" s="203">
        <f t="shared" si="16"/>
        <v>0</v>
      </c>
      <c r="BD155" s="372"/>
      <c r="BE155" s="372"/>
      <c r="BF155" s="372">
        <f>Roles!$D$7</f>
        <v>0.12</v>
      </c>
      <c r="BG155" s="372"/>
      <c r="BH155" s="203">
        <f t="shared" si="17"/>
        <v>0</v>
      </c>
      <c r="BI155" s="372"/>
      <c r="BJ155" s="372"/>
      <c r="BK155" s="372">
        <f>Roles!$D$7</f>
        <v>0.12</v>
      </c>
      <c r="BL155" s="372"/>
      <c r="BM155" s="203">
        <f t="shared" si="18"/>
        <v>0</v>
      </c>
      <c r="BN155" s="372"/>
      <c r="BO155" s="372"/>
      <c r="BP155" s="372">
        <f>Roles!$D$7</f>
        <v>0.12</v>
      </c>
      <c r="BQ155" s="372"/>
      <c r="BR155" s="203">
        <f t="shared" si="19"/>
        <v>0</v>
      </c>
      <c r="BS155" s="372"/>
      <c r="BT155" s="372"/>
      <c r="BU155" s="372">
        <f>Roles!$D$7</f>
        <v>0.12</v>
      </c>
      <c r="BV155" s="372"/>
      <c r="BW155" s="203">
        <f t="shared" si="20"/>
        <v>0</v>
      </c>
      <c r="BX155" s="372"/>
      <c r="BY155" s="372"/>
      <c r="BZ155" s="372">
        <f>Roles!$D$7</f>
        <v>0.12</v>
      </c>
      <c r="CA155" s="372"/>
      <c r="CB155" s="203">
        <f t="shared" si="21"/>
        <v>0</v>
      </c>
      <c r="CC155" s="372"/>
      <c r="CD155" s="372"/>
      <c r="CE155" s="372">
        <f>Roles!$D$7</f>
        <v>0.12</v>
      </c>
      <c r="CF155" s="372"/>
      <c r="CG155" s="203">
        <f t="shared" si="22"/>
        <v>0</v>
      </c>
      <c r="CH155" s="372"/>
      <c r="CI155" s="372"/>
      <c r="CJ155" s="372">
        <f>Roles!$D$7</f>
        <v>0.12</v>
      </c>
      <c r="CK155" s="372"/>
      <c r="CL155" s="203">
        <f t="shared" si="23"/>
        <v>0</v>
      </c>
      <c r="CM155" s="372"/>
      <c r="CN155" s="372"/>
      <c r="CO155" s="372">
        <f>Roles!$D$7</f>
        <v>0.12</v>
      </c>
      <c r="CP155" s="372"/>
      <c r="CQ155" s="203">
        <f t="shared" si="24"/>
        <v>0</v>
      </c>
      <c r="CR155" s="372"/>
      <c r="CS155" s="372"/>
      <c r="CT155" s="372">
        <f>Roles!$D$7</f>
        <v>0.12</v>
      </c>
      <c r="CU155" s="372"/>
      <c r="CV155" s="203">
        <f t="shared" si="25"/>
        <v>0</v>
      </c>
      <c r="CW155" s="372"/>
      <c r="CX155" s="372"/>
      <c r="CY155" s="372">
        <f>Roles!$D$7</f>
        <v>0.12</v>
      </c>
      <c r="CZ155" s="372"/>
      <c r="DA155" s="203">
        <f t="shared" si="26"/>
        <v>0</v>
      </c>
      <c r="DB155" s="372"/>
      <c r="DC155" s="372"/>
      <c r="DD155" s="372">
        <f>Roles!$D$7</f>
        <v>0.12</v>
      </c>
      <c r="DE155" s="372"/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 t="shared" si="1"/>
        <v>2</v>
      </c>
      <c r="F156" s="80">
        <v>3.0</v>
      </c>
      <c r="G156" s="105">
        <f t="shared" si="2"/>
        <v>0.002583979328</v>
      </c>
      <c r="H156" s="47">
        <f t="shared" ref="H156:H159" si="147">H155+G156</f>
        <v>0.5512489233</v>
      </c>
      <c r="I156" s="231">
        <f t="shared" si="145"/>
        <v>3</v>
      </c>
      <c r="J156" s="172">
        <f t="shared" ref="J156:J159" si="148">J155+I156</f>
        <v>980</v>
      </c>
      <c r="K156" s="115">
        <f t="shared" si="3"/>
        <v>0.8611599297</v>
      </c>
      <c r="L156" s="232">
        <f t="shared" si="146"/>
        <v>1.32</v>
      </c>
      <c r="M156" s="172">
        <f t="shared" ref="M156:M159" si="149">M155+L156</f>
        <v>431.2</v>
      </c>
      <c r="N156" s="7"/>
      <c r="O156" s="203">
        <f t="shared" si="7"/>
        <v>1</v>
      </c>
      <c r="P156" s="378">
        <v>3.0</v>
      </c>
      <c r="Q156" s="372"/>
      <c r="R156" s="372">
        <f>Roles!$D$5</f>
        <v>0.44</v>
      </c>
      <c r="S156" s="372">
        <f t="shared" si="8"/>
        <v>1.32</v>
      </c>
      <c r="T156" s="203">
        <f t="shared" si="9"/>
        <v>0</v>
      </c>
      <c r="U156" s="372"/>
      <c r="V156" s="372"/>
      <c r="W156" s="372">
        <f>Roles!$D$7</f>
        <v>0.12</v>
      </c>
      <c r="X156" s="372"/>
      <c r="Y156" s="203">
        <f t="shared" si="10"/>
        <v>0</v>
      </c>
      <c r="Z156" s="372"/>
      <c r="AA156" s="372"/>
      <c r="AB156" s="372">
        <f>Roles!$D$7</f>
        <v>0.12</v>
      </c>
      <c r="AC156" s="372"/>
      <c r="AD156" s="203">
        <f t="shared" si="11"/>
        <v>0</v>
      </c>
      <c r="AE156" s="372"/>
      <c r="AF156" s="372"/>
      <c r="AG156" s="372">
        <f>Roles!$D$7</f>
        <v>0.12</v>
      </c>
      <c r="AH156" s="372"/>
      <c r="AI156" s="203">
        <f t="shared" si="12"/>
        <v>0</v>
      </c>
      <c r="AJ156" s="372"/>
      <c r="AK156" s="372"/>
      <c r="AL156" s="372">
        <f>Roles!$D$7</f>
        <v>0.12</v>
      </c>
      <c r="AM156" s="372"/>
      <c r="AN156" s="203">
        <f t="shared" si="13"/>
        <v>0</v>
      </c>
      <c r="AO156" s="372"/>
      <c r="AP156" s="372"/>
      <c r="AQ156" s="372">
        <f>Roles!$D$7</f>
        <v>0.12</v>
      </c>
      <c r="AR156" s="372"/>
      <c r="AS156" s="203">
        <f t="shared" si="14"/>
        <v>0</v>
      </c>
      <c r="AT156" s="372"/>
      <c r="AU156" s="372"/>
      <c r="AV156" s="372">
        <f>Roles!$D$7</f>
        <v>0.12</v>
      </c>
      <c r="AW156" s="372"/>
      <c r="AX156" s="203">
        <f t="shared" si="15"/>
        <v>0</v>
      </c>
      <c r="AY156" s="372"/>
      <c r="AZ156" s="372"/>
      <c r="BA156" s="372">
        <f>Roles!$D$7</f>
        <v>0.12</v>
      </c>
      <c r="BB156" s="372"/>
      <c r="BC156" s="203">
        <f t="shared" si="16"/>
        <v>0</v>
      </c>
      <c r="BD156" s="372"/>
      <c r="BE156" s="372"/>
      <c r="BF156" s="372">
        <f>Roles!$D$7</f>
        <v>0.12</v>
      </c>
      <c r="BG156" s="372"/>
      <c r="BH156" s="203">
        <f t="shared" si="17"/>
        <v>0</v>
      </c>
      <c r="BI156" s="372"/>
      <c r="BJ156" s="372"/>
      <c r="BK156" s="372">
        <f>Roles!$D$7</f>
        <v>0.12</v>
      </c>
      <c r="BL156" s="372"/>
      <c r="BM156" s="203">
        <f t="shared" si="18"/>
        <v>0</v>
      </c>
      <c r="BN156" s="372"/>
      <c r="BO156" s="372"/>
      <c r="BP156" s="372">
        <f>Roles!$D$7</f>
        <v>0.12</v>
      </c>
      <c r="BQ156" s="372"/>
      <c r="BR156" s="203">
        <f t="shared" si="19"/>
        <v>0</v>
      </c>
      <c r="BS156" s="372"/>
      <c r="BT156" s="372"/>
      <c r="BU156" s="372">
        <f>Roles!$D$7</f>
        <v>0.12</v>
      </c>
      <c r="BV156" s="372"/>
      <c r="BW156" s="203">
        <f t="shared" si="20"/>
        <v>0</v>
      </c>
      <c r="BX156" s="372"/>
      <c r="BY156" s="372"/>
      <c r="BZ156" s="372">
        <f>Roles!$D$7</f>
        <v>0.12</v>
      </c>
      <c r="CA156" s="372"/>
      <c r="CB156" s="203">
        <f t="shared" si="21"/>
        <v>0</v>
      </c>
      <c r="CC156" s="372"/>
      <c r="CD156" s="372"/>
      <c r="CE156" s="372">
        <f>Roles!$D$7</f>
        <v>0.12</v>
      </c>
      <c r="CF156" s="372"/>
      <c r="CG156" s="203">
        <f t="shared" si="22"/>
        <v>0</v>
      </c>
      <c r="CH156" s="372"/>
      <c r="CI156" s="372"/>
      <c r="CJ156" s="372">
        <f>Roles!$D$7</f>
        <v>0.12</v>
      </c>
      <c r="CK156" s="372"/>
      <c r="CL156" s="203">
        <f t="shared" si="23"/>
        <v>0</v>
      </c>
      <c r="CM156" s="372"/>
      <c r="CN156" s="372"/>
      <c r="CO156" s="372">
        <f>Roles!$D$7</f>
        <v>0.12</v>
      </c>
      <c r="CP156" s="372"/>
      <c r="CQ156" s="203">
        <f t="shared" si="24"/>
        <v>0</v>
      </c>
      <c r="CR156" s="372"/>
      <c r="CS156" s="372"/>
      <c r="CT156" s="372">
        <f>Roles!$D$7</f>
        <v>0.12</v>
      </c>
      <c r="CU156" s="372"/>
      <c r="CV156" s="203">
        <f t="shared" si="25"/>
        <v>0</v>
      </c>
      <c r="CW156" s="372"/>
      <c r="CX156" s="372"/>
      <c r="CY156" s="372">
        <f>Roles!$D$7</f>
        <v>0.12</v>
      </c>
      <c r="CZ156" s="372"/>
      <c r="DA156" s="203">
        <f t="shared" si="26"/>
        <v>0</v>
      </c>
      <c r="DB156" s="372"/>
      <c r="DC156" s="372"/>
      <c r="DD156" s="372">
        <f>Roles!$D$7</f>
        <v>0.12</v>
      </c>
      <c r="DE156" s="372"/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 t="shared" si="1"/>
        <v>2</v>
      </c>
      <c r="F157" s="80">
        <v>2.0</v>
      </c>
      <c r="G157" s="105">
        <f t="shared" si="2"/>
        <v>0.001722652885</v>
      </c>
      <c r="H157" s="47">
        <f t="shared" si="147"/>
        <v>0.5529715762</v>
      </c>
      <c r="I157" s="231">
        <f t="shared" si="145"/>
        <v>2</v>
      </c>
      <c r="J157" s="172">
        <f t="shared" si="148"/>
        <v>982</v>
      </c>
      <c r="K157" s="115">
        <f t="shared" si="3"/>
        <v>0.8629173989</v>
      </c>
      <c r="L157" s="232">
        <f t="shared" si="146"/>
        <v>0.88</v>
      </c>
      <c r="M157" s="172">
        <f t="shared" si="149"/>
        <v>432.08</v>
      </c>
      <c r="N157" s="7"/>
      <c r="O157" s="203">
        <f t="shared" si="7"/>
        <v>1</v>
      </c>
      <c r="P157" s="378">
        <v>2.0</v>
      </c>
      <c r="Q157" s="372"/>
      <c r="R157" s="372">
        <f>Roles!$D$5</f>
        <v>0.44</v>
      </c>
      <c r="S157" s="372">
        <f t="shared" si="8"/>
        <v>0.88</v>
      </c>
      <c r="T157" s="203">
        <f t="shared" si="9"/>
        <v>0</v>
      </c>
      <c r="U157" s="372"/>
      <c r="V157" s="372"/>
      <c r="W157" s="372">
        <f>Roles!$D$7</f>
        <v>0.12</v>
      </c>
      <c r="X157" s="372"/>
      <c r="Y157" s="203">
        <f t="shared" si="10"/>
        <v>0</v>
      </c>
      <c r="Z157" s="372"/>
      <c r="AA157" s="372"/>
      <c r="AB157" s="372">
        <f>Roles!$D$7</f>
        <v>0.12</v>
      </c>
      <c r="AC157" s="372"/>
      <c r="AD157" s="203">
        <f t="shared" si="11"/>
        <v>0</v>
      </c>
      <c r="AE157" s="372"/>
      <c r="AF157" s="372"/>
      <c r="AG157" s="372">
        <f>Roles!$D$7</f>
        <v>0.12</v>
      </c>
      <c r="AH157" s="372"/>
      <c r="AI157" s="203">
        <f t="shared" si="12"/>
        <v>0</v>
      </c>
      <c r="AJ157" s="372"/>
      <c r="AK157" s="372"/>
      <c r="AL157" s="372">
        <f>Roles!$D$7</f>
        <v>0.12</v>
      </c>
      <c r="AM157" s="372"/>
      <c r="AN157" s="203">
        <f t="shared" si="13"/>
        <v>0</v>
      </c>
      <c r="AO157" s="372"/>
      <c r="AP157" s="372"/>
      <c r="AQ157" s="372">
        <f>Roles!$D$7</f>
        <v>0.12</v>
      </c>
      <c r="AR157" s="372"/>
      <c r="AS157" s="203">
        <f t="shared" si="14"/>
        <v>0</v>
      </c>
      <c r="AT157" s="372"/>
      <c r="AU157" s="372"/>
      <c r="AV157" s="372">
        <f>Roles!$D$7</f>
        <v>0.12</v>
      </c>
      <c r="AW157" s="372"/>
      <c r="AX157" s="203">
        <f t="shared" si="15"/>
        <v>0</v>
      </c>
      <c r="AY157" s="372"/>
      <c r="AZ157" s="372"/>
      <c r="BA157" s="372">
        <f>Roles!$D$7</f>
        <v>0.12</v>
      </c>
      <c r="BB157" s="372"/>
      <c r="BC157" s="203">
        <f t="shared" si="16"/>
        <v>0</v>
      </c>
      <c r="BD157" s="372"/>
      <c r="BE157" s="372"/>
      <c r="BF157" s="372">
        <f>Roles!$D$7</f>
        <v>0.12</v>
      </c>
      <c r="BG157" s="372"/>
      <c r="BH157" s="203">
        <f t="shared" si="17"/>
        <v>0</v>
      </c>
      <c r="BI157" s="372"/>
      <c r="BJ157" s="372"/>
      <c r="BK157" s="372">
        <f>Roles!$D$7</f>
        <v>0.12</v>
      </c>
      <c r="BL157" s="372"/>
      <c r="BM157" s="203">
        <f t="shared" si="18"/>
        <v>0</v>
      </c>
      <c r="BN157" s="372"/>
      <c r="BO157" s="372"/>
      <c r="BP157" s="372">
        <f>Roles!$D$7</f>
        <v>0.12</v>
      </c>
      <c r="BQ157" s="372"/>
      <c r="BR157" s="203">
        <f t="shared" si="19"/>
        <v>0</v>
      </c>
      <c r="BS157" s="372"/>
      <c r="BT157" s="372"/>
      <c r="BU157" s="372">
        <f>Roles!$D$7</f>
        <v>0.12</v>
      </c>
      <c r="BV157" s="372"/>
      <c r="BW157" s="203">
        <f t="shared" si="20"/>
        <v>0</v>
      </c>
      <c r="BX157" s="372"/>
      <c r="BY157" s="372"/>
      <c r="BZ157" s="372">
        <f>Roles!$D$7</f>
        <v>0.12</v>
      </c>
      <c r="CA157" s="372"/>
      <c r="CB157" s="203">
        <f t="shared" si="21"/>
        <v>0</v>
      </c>
      <c r="CC157" s="372"/>
      <c r="CD157" s="372"/>
      <c r="CE157" s="372">
        <f>Roles!$D$7</f>
        <v>0.12</v>
      </c>
      <c r="CF157" s="372"/>
      <c r="CG157" s="203">
        <f t="shared" si="22"/>
        <v>0</v>
      </c>
      <c r="CH157" s="372"/>
      <c r="CI157" s="372"/>
      <c r="CJ157" s="372">
        <f>Roles!$D$7</f>
        <v>0.12</v>
      </c>
      <c r="CK157" s="372"/>
      <c r="CL157" s="203">
        <f t="shared" si="23"/>
        <v>0</v>
      </c>
      <c r="CM157" s="372"/>
      <c r="CN157" s="372"/>
      <c r="CO157" s="372">
        <f>Roles!$D$7</f>
        <v>0.12</v>
      </c>
      <c r="CP157" s="372"/>
      <c r="CQ157" s="203">
        <f t="shared" si="24"/>
        <v>0</v>
      </c>
      <c r="CR157" s="372"/>
      <c r="CS157" s="372"/>
      <c r="CT157" s="372">
        <f>Roles!$D$7</f>
        <v>0.12</v>
      </c>
      <c r="CU157" s="372"/>
      <c r="CV157" s="203">
        <f t="shared" si="25"/>
        <v>0</v>
      </c>
      <c r="CW157" s="372"/>
      <c r="CX157" s="372"/>
      <c r="CY157" s="372">
        <f>Roles!$D$7</f>
        <v>0.12</v>
      </c>
      <c r="CZ157" s="372"/>
      <c r="DA157" s="203">
        <f t="shared" si="26"/>
        <v>0</v>
      </c>
      <c r="DB157" s="372"/>
      <c r="DC157" s="372"/>
      <c r="DD157" s="372">
        <f>Roles!$D$7</f>
        <v>0.12</v>
      </c>
      <c r="DE157" s="372"/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 t="shared" si="1"/>
        <v>2</v>
      </c>
      <c r="F158" s="80">
        <v>3.0</v>
      </c>
      <c r="G158" s="105">
        <f t="shared" si="2"/>
        <v>0.002583979328</v>
      </c>
      <c r="H158" s="47">
        <f t="shared" si="147"/>
        <v>0.5555555556</v>
      </c>
      <c r="I158" s="231">
        <f t="shared" si="145"/>
        <v>6</v>
      </c>
      <c r="J158" s="172">
        <f t="shared" si="148"/>
        <v>988</v>
      </c>
      <c r="K158" s="115">
        <f t="shared" si="3"/>
        <v>0.8681898067</v>
      </c>
      <c r="L158" s="232">
        <f t="shared" si="146"/>
        <v>2.64</v>
      </c>
      <c r="M158" s="172">
        <f t="shared" si="149"/>
        <v>434.72</v>
      </c>
      <c r="N158" s="7"/>
      <c r="O158" s="203">
        <f t="shared" si="7"/>
        <v>2</v>
      </c>
      <c r="P158" s="378">
        <v>6.0</v>
      </c>
      <c r="Q158" s="372"/>
      <c r="R158" s="372">
        <f>Roles!$D$5</f>
        <v>0.44</v>
      </c>
      <c r="S158" s="372">
        <f t="shared" si="8"/>
        <v>2.64</v>
      </c>
      <c r="T158" s="203">
        <f t="shared" si="9"/>
        <v>0</v>
      </c>
      <c r="U158" s="372"/>
      <c r="V158" s="372"/>
      <c r="W158" s="372">
        <f>Roles!$D$7</f>
        <v>0.12</v>
      </c>
      <c r="X158" s="372"/>
      <c r="Y158" s="203">
        <f t="shared" si="10"/>
        <v>0</v>
      </c>
      <c r="Z158" s="372"/>
      <c r="AA158" s="372"/>
      <c r="AB158" s="372">
        <f>Roles!$D$7</f>
        <v>0.12</v>
      </c>
      <c r="AC158" s="372"/>
      <c r="AD158" s="203">
        <f t="shared" si="11"/>
        <v>0</v>
      </c>
      <c r="AE158" s="372"/>
      <c r="AF158" s="372"/>
      <c r="AG158" s="372">
        <f>Roles!$D$7</f>
        <v>0.12</v>
      </c>
      <c r="AH158" s="372"/>
      <c r="AI158" s="203">
        <f t="shared" si="12"/>
        <v>0</v>
      </c>
      <c r="AJ158" s="372"/>
      <c r="AK158" s="372"/>
      <c r="AL158" s="372">
        <f>Roles!$D$7</f>
        <v>0.12</v>
      </c>
      <c r="AM158" s="372"/>
      <c r="AN158" s="203">
        <f t="shared" si="13"/>
        <v>0</v>
      </c>
      <c r="AO158" s="372"/>
      <c r="AP158" s="372"/>
      <c r="AQ158" s="372">
        <f>Roles!$D$7</f>
        <v>0.12</v>
      </c>
      <c r="AR158" s="372"/>
      <c r="AS158" s="203">
        <f t="shared" si="14"/>
        <v>0</v>
      </c>
      <c r="AT158" s="372"/>
      <c r="AU158" s="372"/>
      <c r="AV158" s="372">
        <f>Roles!$D$7</f>
        <v>0.12</v>
      </c>
      <c r="AW158" s="372"/>
      <c r="AX158" s="203">
        <f t="shared" si="15"/>
        <v>0</v>
      </c>
      <c r="AY158" s="372"/>
      <c r="AZ158" s="372"/>
      <c r="BA158" s="372">
        <f>Roles!$D$7</f>
        <v>0.12</v>
      </c>
      <c r="BB158" s="372"/>
      <c r="BC158" s="203">
        <f t="shared" si="16"/>
        <v>0</v>
      </c>
      <c r="BD158" s="372"/>
      <c r="BE158" s="372"/>
      <c r="BF158" s="372">
        <f>Roles!$D$7</f>
        <v>0.12</v>
      </c>
      <c r="BG158" s="372"/>
      <c r="BH158" s="203">
        <f t="shared" si="17"/>
        <v>0</v>
      </c>
      <c r="BI158" s="372"/>
      <c r="BJ158" s="372"/>
      <c r="BK158" s="372">
        <f>Roles!$D$7</f>
        <v>0.12</v>
      </c>
      <c r="BL158" s="372"/>
      <c r="BM158" s="203">
        <f t="shared" si="18"/>
        <v>0</v>
      </c>
      <c r="BN158" s="372"/>
      <c r="BO158" s="372"/>
      <c r="BP158" s="372">
        <f>Roles!$D$7</f>
        <v>0.12</v>
      </c>
      <c r="BQ158" s="372"/>
      <c r="BR158" s="203">
        <f t="shared" si="19"/>
        <v>0</v>
      </c>
      <c r="BS158" s="372"/>
      <c r="BT158" s="372"/>
      <c r="BU158" s="372">
        <f>Roles!$D$7</f>
        <v>0.12</v>
      </c>
      <c r="BV158" s="372"/>
      <c r="BW158" s="203">
        <f t="shared" si="20"/>
        <v>0</v>
      </c>
      <c r="BX158" s="372"/>
      <c r="BY158" s="372"/>
      <c r="BZ158" s="372">
        <f>Roles!$D$7</f>
        <v>0.12</v>
      </c>
      <c r="CA158" s="372"/>
      <c r="CB158" s="203">
        <f t="shared" si="21"/>
        <v>0</v>
      </c>
      <c r="CC158" s="372"/>
      <c r="CD158" s="372"/>
      <c r="CE158" s="372">
        <f>Roles!$D$7</f>
        <v>0.12</v>
      </c>
      <c r="CF158" s="372"/>
      <c r="CG158" s="203">
        <f t="shared" si="22"/>
        <v>0</v>
      </c>
      <c r="CH158" s="372"/>
      <c r="CI158" s="372"/>
      <c r="CJ158" s="372">
        <f>Roles!$D$7</f>
        <v>0.12</v>
      </c>
      <c r="CK158" s="372"/>
      <c r="CL158" s="203">
        <f t="shared" si="23"/>
        <v>0</v>
      </c>
      <c r="CM158" s="372"/>
      <c r="CN158" s="372"/>
      <c r="CO158" s="372">
        <f>Roles!$D$7</f>
        <v>0.12</v>
      </c>
      <c r="CP158" s="372"/>
      <c r="CQ158" s="203">
        <f t="shared" si="24"/>
        <v>0</v>
      </c>
      <c r="CR158" s="372"/>
      <c r="CS158" s="372"/>
      <c r="CT158" s="372">
        <f>Roles!$D$7</f>
        <v>0.12</v>
      </c>
      <c r="CU158" s="372"/>
      <c r="CV158" s="203">
        <f t="shared" si="25"/>
        <v>0</v>
      </c>
      <c r="CW158" s="372"/>
      <c r="CX158" s="372"/>
      <c r="CY158" s="372">
        <f>Roles!$D$7</f>
        <v>0.12</v>
      </c>
      <c r="CZ158" s="372"/>
      <c r="DA158" s="203">
        <f t="shared" si="26"/>
        <v>0</v>
      </c>
      <c r="DB158" s="372"/>
      <c r="DC158" s="372"/>
      <c r="DD158" s="372">
        <f>Roles!$D$7</f>
        <v>0.12</v>
      </c>
      <c r="DE158" s="372"/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 t="shared" si="1"/>
        <v>2</v>
      </c>
      <c r="F159" s="80">
        <v>2.0</v>
      </c>
      <c r="G159" s="105">
        <f t="shared" si="2"/>
        <v>0.001722652885</v>
      </c>
      <c r="H159" s="47">
        <f t="shared" si="147"/>
        <v>0.5572782084</v>
      </c>
      <c r="I159" s="231">
        <f t="shared" si="145"/>
        <v>4</v>
      </c>
      <c r="J159" s="172">
        <f t="shared" si="148"/>
        <v>992</v>
      </c>
      <c r="K159" s="115">
        <f t="shared" si="3"/>
        <v>0.8717047452</v>
      </c>
      <c r="L159" s="232">
        <f t="shared" si="146"/>
        <v>1.76</v>
      </c>
      <c r="M159" s="172">
        <f t="shared" si="149"/>
        <v>436.48</v>
      </c>
      <c r="N159" s="7"/>
      <c r="O159" s="203">
        <f t="shared" si="7"/>
        <v>2</v>
      </c>
      <c r="P159" s="378">
        <v>4.0</v>
      </c>
      <c r="Q159" s="372"/>
      <c r="R159" s="372">
        <f>Roles!$D$5</f>
        <v>0.44</v>
      </c>
      <c r="S159" s="372">
        <f t="shared" si="8"/>
        <v>1.76</v>
      </c>
      <c r="T159" s="203">
        <f t="shared" si="9"/>
        <v>0</v>
      </c>
      <c r="U159" s="372"/>
      <c r="V159" s="372"/>
      <c r="W159" s="372">
        <f>Roles!$D$7</f>
        <v>0.12</v>
      </c>
      <c r="X159" s="372"/>
      <c r="Y159" s="203">
        <f t="shared" si="10"/>
        <v>0</v>
      </c>
      <c r="Z159" s="372"/>
      <c r="AA159" s="372"/>
      <c r="AB159" s="372">
        <f>Roles!$D$7</f>
        <v>0.12</v>
      </c>
      <c r="AC159" s="372"/>
      <c r="AD159" s="203">
        <f t="shared" si="11"/>
        <v>0</v>
      </c>
      <c r="AE159" s="372"/>
      <c r="AF159" s="372"/>
      <c r="AG159" s="372">
        <f>Roles!$D$7</f>
        <v>0.12</v>
      </c>
      <c r="AH159" s="372"/>
      <c r="AI159" s="203">
        <f t="shared" si="12"/>
        <v>0</v>
      </c>
      <c r="AJ159" s="372"/>
      <c r="AK159" s="372"/>
      <c r="AL159" s="372">
        <f>Roles!$D$7</f>
        <v>0.12</v>
      </c>
      <c r="AM159" s="372"/>
      <c r="AN159" s="203">
        <f t="shared" si="13"/>
        <v>0</v>
      </c>
      <c r="AO159" s="372"/>
      <c r="AP159" s="372"/>
      <c r="AQ159" s="372">
        <f>Roles!$D$7</f>
        <v>0.12</v>
      </c>
      <c r="AR159" s="372"/>
      <c r="AS159" s="203">
        <f t="shared" si="14"/>
        <v>0</v>
      </c>
      <c r="AT159" s="372"/>
      <c r="AU159" s="372"/>
      <c r="AV159" s="372">
        <f>Roles!$D$7</f>
        <v>0.12</v>
      </c>
      <c r="AW159" s="372"/>
      <c r="AX159" s="203">
        <f t="shared" si="15"/>
        <v>0</v>
      </c>
      <c r="AY159" s="372"/>
      <c r="AZ159" s="372"/>
      <c r="BA159" s="372">
        <f>Roles!$D$7</f>
        <v>0.12</v>
      </c>
      <c r="BB159" s="372"/>
      <c r="BC159" s="203">
        <f t="shared" si="16"/>
        <v>0</v>
      </c>
      <c r="BD159" s="372"/>
      <c r="BE159" s="372"/>
      <c r="BF159" s="372">
        <f>Roles!$D$7</f>
        <v>0.12</v>
      </c>
      <c r="BG159" s="372"/>
      <c r="BH159" s="203">
        <f t="shared" si="17"/>
        <v>0</v>
      </c>
      <c r="BI159" s="372"/>
      <c r="BJ159" s="372"/>
      <c r="BK159" s="372">
        <f>Roles!$D$7</f>
        <v>0.12</v>
      </c>
      <c r="BL159" s="372"/>
      <c r="BM159" s="203">
        <f t="shared" si="18"/>
        <v>0</v>
      </c>
      <c r="BN159" s="372"/>
      <c r="BO159" s="372"/>
      <c r="BP159" s="372">
        <f>Roles!$D$7</f>
        <v>0.12</v>
      </c>
      <c r="BQ159" s="372"/>
      <c r="BR159" s="203">
        <f t="shared" si="19"/>
        <v>0</v>
      </c>
      <c r="BS159" s="372"/>
      <c r="BT159" s="372"/>
      <c r="BU159" s="372">
        <f>Roles!$D$7</f>
        <v>0.12</v>
      </c>
      <c r="BV159" s="372"/>
      <c r="BW159" s="203">
        <f t="shared" si="20"/>
        <v>0</v>
      </c>
      <c r="BX159" s="372"/>
      <c r="BY159" s="372"/>
      <c r="BZ159" s="372">
        <f>Roles!$D$7</f>
        <v>0.12</v>
      </c>
      <c r="CA159" s="372"/>
      <c r="CB159" s="203">
        <f t="shared" si="21"/>
        <v>0</v>
      </c>
      <c r="CC159" s="372"/>
      <c r="CD159" s="372"/>
      <c r="CE159" s="372">
        <f>Roles!$D$7</f>
        <v>0.12</v>
      </c>
      <c r="CF159" s="372"/>
      <c r="CG159" s="203">
        <f t="shared" si="22"/>
        <v>0</v>
      </c>
      <c r="CH159" s="372"/>
      <c r="CI159" s="372"/>
      <c r="CJ159" s="372">
        <f>Roles!$D$7</f>
        <v>0.12</v>
      </c>
      <c r="CK159" s="372"/>
      <c r="CL159" s="203">
        <f t="shared" si="23"/>
        <v>0</v>
      </c>
      <c r="CM159" s="372"/>
      <c r="CN159" s="372"/>
      <c r="CO159" s="372">
        <f>Roles!$D$7</f>
        <v>0.12</v>
      </c>
      <c r="CP159" s="372"/>
      <c r="CQ159" s="203">
        <f t="shared" si="24"/>
        <v>0</v>
      </c>
      <c r="CR159" s="372"/>
      <c r="CS159" s="372"/>
      <c r="CT159" s="372">
        <f>Roles!$D$7</f>
        <v>0.12</v>
      </c>
      <c r="CU159" s="372"/>
      <c r="CV159" s="203">
        <f t="shared" si="25"/>
        <v>0</v>
      </c>
      <c r="CW159" s="372"/>
      <c r="CX159" s="372"/>
      <c r="CY159" s="372">
        <f>Roles!$D$7</f>
        <v>0.12</v>
      </c>
      <c r="CZ159" s="372"/>
      <c r="DA159" s="203">
        <f t="shared" si="26"/>
        <v>0</v>
      </c>
      <c r="DB159" s="372"/>
      <c r="DC159" s="372"/>
      <c r="DD159" s="372">
        <f>Roles!$D$7</f>
        <v>0.12</v>
      </c>
      <c r="DE159" s="372"/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 t="shared" si="1"/>
        <v>17</v>
      </c>
      <c r="F160" s="246">
        <f>SUM(F161:F165)</f>
        <v>17</v>
      </c>
      <c r="G160" s="105">
        <f t="shared" si="2"/>
        <v>0.01464254953</v>
      </c>
      <c r="H160" s="226">
        <f>H165</f>
        <v>0.571920758</v>
      </c>
      <c r="I160" s="247">
        <f>SUM(I161:I165)</f>
        <v>32</v>
      </c>
      <c r="J160" s="247">
        <f>J165</f>
        <v>1024</v>
      </c>
      <c r="K160" s="167">
        <f t="shared" si="3"/>
        <v>0.8998242531</v>
      </c>
      <c r="L160" s="247">
        <f>SUM(L161:L165)</f>
        <v>14.08</v>
      </c>
      <c r="M160" s="247">
        <f>M165</f>
        <v>450.56</v>
      </c>
      <c r="N160" s="7"/>
      <c r="O160" s="203">
        <f t="shared" si="7"/>
        <v>0</v>
      </c>
      <c r="P160" s="372"/>
      <c r="Q160" s="372"/>
      <c r="R160" s="372">
        <f>Roles!$D$5</f>
        <v>0.44</v>
      </c>
      <c r="S160" s="372">
        <f t="shared" si="8"/>
        <v>0</v>
      </c>
      <c r="T160" s="203">
        <f t="shared" si="9"/>
        <v>0</v>
      </c>
      <c r="U160" s="372"/>
      <c r="V160" s="372"/>
      <c r="W160" s="372">
        <f>Roles!$D$7</f>
        <v>0.12</v>
      </c>
      <c r="X160" s="372"/>
      <c r="Y160" s="203">
        <f t="shared" si="10"/>
        <v>0</v>
      </c>
      <c r="Z160" s="372"/>
      <c r="AA160" s="372"/>
      <c r="AB160" s="372">
        <f>Roles!$D$7</f>
        <v>0.12</v>
      </c>
      <c r="AC160" s="372"/>
      <c r="AD160" s="203">
        <f t="shared" si="11"/>
        <v>0</v>
      </c>
      <c r="AE160" s="372"/>
      <c r="AF160" s="372"/>
      <c r="AG160" s="372">
        <f>Roles!$D$7</f>
        <v>0.12</v>
      </c>
      <c r="AH160" s="372"/>
      <c r="AI160" s="203">
        <f t="shared" si="12"/>
        <v>0</v>
      </c>
      <c r="AJ160" s="372"/>
      <c r="AK160" s="372"/>
      <c r="AL160" s="372">
        <f>Roles!$D$7</f>
        <v>0.12</v>
      </c>
      <c r="AM160" s="372"/>
      <c r="AN160" s="203">
        <f t="shared" si="13"/>
        <v>0</v>
      </c>
      <c r="AO160" s="372"/>
      <c r="AP160" s="372"/>
      <c r="AQ160" s="372">
        <f>Roles!$D$7</f>
        <v>0.12</v>
      </c>
      <c r="AR160" s="372"/>
      <c r="AS160" s="203">
        <f t="shared" si="14"/>
        <v>0</v>
      </c>
      <c r="AT160" s="372"/>
      <c r="AU160" s="372"/>
      <c r="AV160" s="372">
        <f>Roles!$D$7</f>
        <v>0.12</v>
      </c>
      <c r="AW160" s="372"/>
      <c r="AX160" s="203">
        <f t="shared" si="15"/>
        <v>0</v>
      </c>
      <c r="AY160" s="372"/>
      <c r="AZ160" s="372"/>
      <c r="BA160" s="372">
        <f>Roles!$D$7</f>
        <v>0.12</v>
      </c>
      <c r="BB160" s="372"/>
      <c r="BC160" s="203">
        <f t="shared" si="16"/>
        <v>0</v>
      </c>
      <c r="BD160" s="372"/>
      <c r="BE160" s="372"/>
      <c r="BF160" s="372">
        <f>Roles!$D$7</f>
        <v>0.12</v>
      </c>
      <c r="BG160" s="372"/>
      <c r="BH160" s="203">
        <f t="shared" si="17"/>
        <v>0</v>
      </c>
      <c r="BI160" s="372"/>
      <c r="BJ160" s="372"/>
      <c r="BK160" s="372">
        <f>Roles!$D$7</f>
        <v>0.12</v>
      </c>
      <c r="BL160" s="372"/>
      <c r="BM160" s="203">
        <f t="shared" si="18"/>
        <v>0</v>
      </c>
      <c r="BN160" s="372"/>
      <c r="BO160" s="372"/>
      <c r="BP160" s="372">
        <f>Roles!$D$7</f>
        <v>0.12</v>
      </c>
      <c r="BQ160" s="372"/>
      <c r="BR160" s="203">
        <f t="shared" si="19"/>
        <v>0</v>
      </c>
      <c r="BS160" s="372"/>
      <c r="BT160" s="372"/>
      <c r="BU160" s="372">
        <f>Roles!$D$7</f>
        <v>0.12</v>
      </c>
      <c r="BV160" s="372"/>
      <c r="BW160" s="203">
        <f t="shared" si="20"/>
        <v>0</v>
      </c>
      <c r="BX160" s="372"/>
      <c r="BY160" s="372"/>
      <c r="BZ160" s="372">
        <f>Roles!$D$7</f>
        <v>0.12</v>
      </c>
      <c r="CA160" s="372"/>
      <c r="CB160" s="203">
        <f t="shared" si="21"/>
        <v>0</v>
      </c>
      <c r="CC160" s="372"/>
      <c r="CD160" s="372"/>
      <c r="CE160" s="372">
        <f>Roles!$D$7</f>
        <v>0.12</v>
      </c>
      <c r="CF160" s="372"/>
      <c r="CG160" s="203">
        <f t="shared" si="22"/>
        <v>0</v>
      </c>
      <c r="CH160" s="372"/>
      <c r="CI160" s="372"/>
      <c r="CJ160" s="372">
        <f>Roles!$D$7</f>
        <v>0.12</v>
      </c>
      <c r="CK160" s="372"/>
      <c r="CL160" s="203">
        <f t="shared" si="23"/>
        <v>0</v>
      </c>
      <c r="CM160" s="372"/>
      <c r="CN160" s="372"/>
      <c r="CO160" s="372">
        <f>Roles!$D$7</f>
        <v>0.12</v>
      </c>
      <c r="CP160" s="372"/>
      <c r="CQ160" s="203">
        <f t="shared" si="24"/>
        <v>0</v>
      </c>
      <c r="CR160" s="372"/>
      <c r="CS160" s="372"/>
      <c r="CT160" s="372">
        <f>Roles!$D$7</f>
        <v>0.12</v>
      </c>
      <c r="CU160" s="372"/>
      <c r="CV160" s="203">
        <f t="shared" si="25"/>
        <v>0</v>
      </c>
      <c r="CW160" s="372"/>
      <c r="CX160" s="372"/>
      <c r="CY160" s="372">
        <f>Roles!$D$7</f>
        <v>0.12</v>
      </c>
      <c r="CZ160" s="372"/>
      <c r="DA160" s="203">
        <f t="shared" si="26"/>
        <v>0</v>
      </c>
      <c r="DB160" s="372"/>
      <c r="DC160" s="372"/>
      <c r="DD160" s="372">
        <f>Roles!$D$7</f>
        <v>0.12</v>
      </c>
      <c r="DE160" s="372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 t="shared" si="1"/>
        <v>2</v>
      </c>
      <c r="F161" s="80">
        <v>3.0</v>
      </c>
      <c r="G161" s="105">
        <f t="shared" si="2"/>
        <v>0.002583979328</v>
      </c>
      <c r="H161" s="47">
        <f>H159+G161</f>
        <v>0.5598621878</v>
      </c>
      <c r="I161" s="231">
        <f t="shared" ref="I161:I165" si="150">P161+U161+Z161+AE161+AJ161+AO161+AT161+AY161+BD161+BI161+BN161+BS161+BX161+CC161+CH161+CM161+CR161+CW161+DB161</f>
        <v>6</v>
      </c>
      <c r="J161" s="172">
        <f>J159+I161</f>
        <v>998</v>
      </c>
      <c r="K161" s="115">
        <f t="shared" si="3"/>
        <v>0.8769771529</v>
      </c>
      <c r="L161" s="232">
        <f t="shared" ref="L161:L165" si="151">S161+X161+AC161+AH161+AM161+AR161+AW161+BB161+BG161+BL161+BQ161+BV161+CA161+CF161+CK161+CP161+CU161+CZ161+DE161</f>
        <v>2.64</v>
      </c>
      <c r="M161" s="172">
        <f>M159+L161</f>
        <v>439.12</v>
      </c>
      <c r="N161" s="7"/>
      <c r="O161" s="203">
        <f t="shared" si="7"/>
        <v>2</v>
      </c>
      <c r="P161" s="378">
        <v>6.0</v>
      </c>
      <c r="Q161" s="372"/>
      <c r="R161" s="372">
        <f>Roles!$D$5</f>
        <v>0.44</v>
      </c>
      <c r="S161" s="372">
        <f t="shared" si="8"/>
        <v>2.64</v>
      </c>
      <c r="T161" s="203">
        <f t="shared" si="9"/>
        <v>0</v>
      </c>
      <c r="U161" s="372"/>
      <c r="V161" s="372"/>
      <c r="W161" s="372">
        <f>Roles!$D$7</f>
        <v>0.12</v>
      </c>
      <c r="X161" s="372"/>
      <c r="Y161" s="203">
        <f t="shared" si="10"/>
        <v>0</v>
      </c>
      <c r="Z161" s="372"/>
      <c r="AA161" s="372"/>
      <c r="AB161" s="372">
        <f>Roles!$D$7</f>
        <v>0.12</v>
      </c>
      <c r="AC161" s="372"/>
      <c r="AD161" s="203">
        <f t="shared" si="11"/>
        <v>0</v>
      </c>
      <c r="AE161" s="372"/>
      <c r="AF161" s="372"/>
      <c r="AG161" s="372">
        <f>Roles!$D$7</f>
        <v>0.12</v>
      </c>
      <c r="AH161" s="372"/>
      <c r="AI161" s="203">
        <f t="shared" si="12"/>
        <v>0</v>
      </c>
      <c r="AJ161" s="372"/>
      <c r="AK161" s="372"/>
      <c r="AL161" s="372">
        <f>Roles!$D$7</f>
        <v>0.12</v>
      </c>
      <c r="AM161" s="372"/>
      <c r="AN161" s="203">
        <f t="shared" si="13"/>
        <v>0</v>
      </c>
      <c r="AO161" s="372"/>
      <c r="AP161" s="372"/>
      <c r="AQ161" s="372">
        <f>Roles!$D$7</f>
        <v>0.12</v>
      </c>
      <c r="AR161" s="372"/>
      <c r="AS161" s="203">
        <f t="shared" si="14"/>
        <v>0</v>
      </c>
      <c r="AT161" s="372"/>
      <c r="AU161" s="372"/>
      <c r="AV161" s="372">
        <f>Roles!$D$7</f>
        <v>0.12</v>
      </c>
      <c r="AW161" s="372"/>
      <c r="AX161" s="203">
        <f t="shared" si="15"/>
        <v>0</v>
      </c>
      <c r="AY161" s="372"/>
      <c r="AZ161" s="372"/>
      <c r="BA161" s="372">
        <f>Roles!$D$7</f>
        <v>0.12</v>
      </c>
      <c r="BB161" s="372"/>
      <c r="BC161" s="203">
        <f t="shared" si="16"/>
        <v>0</v>
      </c>
      <c r="BD161" s="372"/>
      <c r="BE161" s="372"/>
      <c r="BF161" s="372">
        <f>Roles!$D$7</f>
        <v>0.12</v>
      </c>
      <c r="BG161" s="372"/>
      <c r="BH161" s="203">
        <f t="shared" si="17"/>
        <v>0</v>
      </c>
      <c r="BI161" s="372"/>
      <c r="BJ161" s="372"/>
      <c r="BK161" s="372">
        <f>Roles!$D$7</f>
        <v>0.12</v>
      </c>
      <c r="BL161" s="372"/>
      <c r="BM161" s="203">
        <f t="shared" si="18"/>
        <v>0</v>
      </c>
      <c r="BN161" s="372"/>
      <c r="BO161" s="372"/>
      <c r="BP161" s="372">
        <f>Roles!$D$7</f>
        <v>0.12</v>
      </c>
      <c r="BQ161" s="372"/>
      <c r="BR161" s="203">
        <f t="shared" si="19"/>
        <v>0</v>
      </c>
      <c r="BS161" s="372"/>
      <c r="BT161" s="372"/>
      <c r="BU161" s="372">
        <f>Roles!$D$7</f>
        <v>0.12</v>
      </c>
      <c r="BV161" s="372"/>
      <c r="BW161" s="203">
        <f t="shared" si="20"/>
        <v>0</v>
      </c>
      <c r="BX161" s="372"/>
      <c r="BY161" s="372"/>
      <c r="BZ161" s="372">
        <f>Roles!$D$7</f>
        <v>0.12</v>
      </c>
      <c r="CA161" s="372"/>
      <c r="CB161" s="203">
        <f t="shared" si="21"/>
        <v>0</v>
      </c>
      <c r="CC161" s="372"/>
      <c r="CD161" s="372"/>
      <c r="CE161" s="372">
        <f>Roles!$D$7</f>
        <v>0.12</v>
      </c>
      <c r="CF161" s="372"/>
      <c r="CG161" s="203">
        <f t="shared" si="22"/>
        <v>0</v>
      </c>
      <c r="CH161" s="372"/>
      <c r="CI161" s="372"/>
      <c r="CJ161" s="372">
        <f>Roles!$D$7</f>
        <v>0.12</v>
      </c>
      <c r="CK161" s="372"/>
      <c r="CL161" s="203">
        <f t="shared" si="23"/>
        <v>0</v>
      </c>
      <c r="CM161" s="372"/>
      <c r="CN161" s="372"/>
      <c r="CO161" s="372">
        <f>Roles!$D$7</f>
        <v>0.12</v>
      </c>
      <c r="CP161" s="372"/>
      <c r="CQ161" s="203">
        <f t="shared" si="24"/>
        <v>0</v>
      </c>
      <c r="CR161" s="372"/>
      <c r="CS161" s="372"/>
      <c r="CT161" s="372">
        <f>Roles!$D$7</f>
        <v>0.12</v>
      </c>
      <c r="CU161" s="372"/>
      <c r="CV161" s="203">
        <f t="shared" si="25"/>
        <v>0</v>
      </c>
      <c r="CW161" s="372"/>
      <c r="CX161" s="372"/>
      <c r="CY161" s="372">
        <f>Roles!$D$7</f>
        <v>0.12</v>
      </c>
      <c r="CZ161" s="372"/>
      <c r="DA161" s="203">
        <f t="shared" si="26"/>
        <v>0</v>
      </c>
      <c r="DB161" s="372"/>
      <c r="DC161" s="372"/>
      <c r="DD161" s="372">
        <f>Roles!$D$7</f>
        <v>0.12</v>
      </c>
      <c r="DE161" s="372"/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 t="shared" si="1"/>
        <v>3</v>
      </c>
      <c r="F162" s="80">
        <v>4.0</v>
      </c>
      <c r="G162" s="105">
        <f t="shared" si="2"/>
        <v>0.003445305771</v>
      </c>
      <c r="H162" s="47">
        <f t="shared" ref="H162:H165" si="152">H161+G162</f>
        <v>0.5633074935</v>
      </c>
      <c r="I162" s="231">
        <f t="shared" si="150"/>
        <v>8</v>
      </c>
      <c r="J162" s="172">
        <f t="shared" ref="J162:J165" si="153">J161+I162</f>
        <v>1006</v>
      </c>
      <c r="K162" s="115">
        <f t="shared" si="3"/>
        <v>0.8840070299</v>
      </c>
      <c r="L162" s="232">
        <f t="shared" si="151"/>
        <v>3.52</v>
      </c>
      <c r="M162" s="172">
        <f t="shared" ref="M162:M165" si="154">M161+L162</f>
        <v>442.64</v>
      </c>
      <c r="N162" s="7"/>
      <c r="O162" s="203">
        <f t="shared" si="7"/>
        <v>2</v>
      </c>
      <c r="P162" s="378">
        <v>8.0</v>
      </c>
      <c r="Q162" s="372"/>
      <c r="R162" s="372">
        <f>Roles!$D$5</f>
        <v>0.44</v>
      </c>
      <c r="S162" s="372">
        <f t="shared" si="8"/>
        <v>3.52</v>
      </c>
      <c r="T162" s="203">
        <f t="shared" si="9"/>
        <v>0</v>
      </c>
      <c r="U162" s="372"/>
      <c r="V162" s="372"/>
      <c r="W162" s="372">
        <f>Roles!$D$7</f>
        <v>0.12</v>
      </c>
      <c r="X162" s="372"/>
      <c r="Y162" s="203">
        <f t="shared" si="10"/>
        <v>0</v>
      </c>
      <c r="Z162" s="372"/>
      <c r="AA162" s="372"/>
      <c r="AB162" s="372">
        <f>Roles!$D$7</f>
        <v>0.12</v>
      </c>
      <c r="AC162" s="372"/>
      <c r="AD162" s="203">
        <f t="shared" si="11"/>
        <v>0</v>
      </c>
      <c r="AE162" s="372"/>
      <c r="AF162" s="372"/>
      <c r="AG162" s="372">
        <f>Roles!$D$7</f>
        <v>0.12</v>
      </c>
      <c r="AH162" s="372"/>
      <c r="AI162" s="203">
        <f t="shared" si="12"/>
        <v>0</v>
      </c>
      <c r="AJ162" s="372"/>
      <c r="AK162" s="372"/>
      <c r="AL162" s="372">
        <f>Roles!$D$7</f>
        <v>0.12</v>
      </c>
      <c r="AM162" s="372"/>
      <c r="AN162" s="203">
        <f t="shared" si="13"/>
        <v>0</v>
      </c>
      <c r="AO162" s="372"/>
      <c r="AP162" s="372"/>
      <c r="AQ162" s="372">
        <f>Roles!$D$7</f>
        <v>0.12</v>
      </c>
      <c r="AR162" s="372"/>
      <c r="AS162" s="203">
        <f t="shared" si="14"/>
        <v>0</v>
      </c>
      <c r="AT162" s="372"/>
      <c r="AU162" s="372"/>
      <c r="AV162" s="372">
        <f>Roles!$D$7</f>
        <v>0.12</v>
      </c>
      <c r="AW162" s="372"/>
      <c r="AX162" s="203">
        <f t="shared" si="15"/>
        <v>0</v>
      </c>
      <c r="AY162" s="372"/>
      <c r="AZ162" s="372"/>
      <c r="BA162" s="372">
        <f>Roles!$D$7</f>
        <v>0.12</v>
      </c>
      <c r="BB162" s="372"/>
      <c r="BC162" s="203">
        <f t="shared" si="16"/>
        <v>0</v>
      </c>
      <c r="BD162" s="372"/>
      <c r="BE162" s="372"/>
      <c r="BF162" s="372">
        <f>Roles!$D$7</f>
        <v>0.12</v>
      </c>
      <c r="BG162" s="372"/>
      <c r="BH162" s="203">
        <f t="shared" si="17"/>
        <v>0</v>
      </c>
      <c r="BI162" s="372"/>
      <c r="BJ162" s="372"/>
      <c r="BK162" s="372">
        <f>Roles!$D$7</f>
        <v>0.12</v>
      </c>
      <c r="BL162" s="372"/>
      <c r="BM162" s="203">
        <f t="shared" si="18"/>
        <v>0</v>
      </c>
      <c r="BN162" s="372"/>
      <c r="BO162" s="372"/>
      <c r="BP162" s="372">
        <f>Roles!$D$7</f>
        <v>0.12</v>
      </c>
      <c r="BQ162" s="372"/>
      <c r="BR162" s="203">
        <f t="shared" si="19"/>
        <v>0</v>
      </c>
      <c r="BS162" s="372"/>
      <c r="BT162" s="372"/>
      <c r="BU162" s="372">
        <f>Roles!$D$7</f>
        <v>0.12</v>
      </c>
      <c r="BV162" s="372"/>
      <c r="BW162" s="203">
        <f t="shared" si="20"/>
        <v>0</v>
      </c>
      <c r="BX162" s="372"/>
      <c r="BY162" s="372"/>
      <c r="BZ162" s="372">
        <f>Roles!$D$7</f>
        <v>0.12</v>
      </c>
      <c r="CA162" s="372"/>
      <c r="CB162" s="203">
        <f t="shared" si="21"/>
        <v>0</v>
      </c>
      <c r="CC162" s="372"/>
      <c r="CD162" s="372"/>
      <c r="CE162" s="372">
        <f>Roles!$D$7</f>
        <v>0.12</v>
      </c>
      <c r="CF162" s="372"/>
      <c r="CG162" s="203">
        <f t="shared" si="22"/>
        <v>0</v>
      </c>
      <c r="CH162" s="372"/>
      <c r="CI162" s="372"/>
      <c r="CJ162" s="372">
        <f>Roles!$D$7</f>
        <v>0.12</v>
      </c>
      <c r="CK162" s="372"/>
      <c r="CL162" s="203">
        <f t="shared" si="23"/>
        <v>0</v>
      </c>
      <c r="CM162" s="372"/>
      <c r="CN162" s="372"/>
      <c r="CO162" s="372">
        <f>Roles!$D$7</f>
        <v>0.12</v>
      </c>
      <c r="CP162" s="372"/>
      <c r="CQ162" s="203">
        <f t="shared" si="24"/>
        <v>0</v>
      </c>
      <c r="CR162" s="372"/>
      <c r="CS162" s="372"/>
      <c r="CT162" s="372">
        <f>Roles!$D$7</f>
        <v>0.12</v>
      </c>
      <c r="CU162" s="372"/>
      <c r="CV162" s="203">
        <f t="shared" si="25"/>
        <v>0</v>
      </c>
      <c r="CW162" s="372"/>
      <c r="CX162" s="372"/>
      <c r="CY162" s="372">
        <f>Roles!$D$7</f>
        <v>0.12</v>
      </c>
      <c r="CZ162" s="372"/>
      <c r="DA162" s="203">
        <f t="shared" si="26"/>
        <v>0</v>
      </c>
      <c r="DB162" s="372"/>
      <c r="DC162" s="372"/>
      <c r="DD162" s="372">
        <f>Roles!$D$7</f>
        <v>0.12</v>
      </c>
      <c r="DE162" s="372"/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 t="shared" si="1"/>
        <v>2</v>
      </c>
      <c r="F163" s="80">
        <v>3.0</v>
      </c>
      <c r="G163" s="105">
        <f t="shared" si="2"/>
        <v>0.002583979328</v>
      </c>
      <c r="H163" s="47">
        <f t="shared" si="152"/>
        <v>0.5658914729</v>
      </c>
      <c r="I163" s="231">
        <f t="shared" si="150"/>
        <v>4</v>
      </c>
      <c r="J163" s="172">
        <f t="shared" si="153"/>
        <v>1010</v>
      </c>
      <c r="K163" s="115">
        <f t="shared" si="3"/>
        <v>0.8875219684</v>
      </c>
      <c r="L163" s="232">
        <f t="shared" si="151"/>
        <v>1.76</v>
      </c>
      <c r="M163" s="172">
        <f t="shared" si="154"/>
        <v>444.4</v>
      </c>
      <c r="N163" s="7"/>
      <c r="O163" s="203">
        <f t="shared" si="7"/>
        <v>1.333333333</v>
      </c>
      <c r="P163" s="378">
        <v>4.0</v>
      </c>
      <c r="Q163" s="372"/>
      <c r="R163" s="372">
        <f>Roles!$D$5</f>
        <v>0.44</v>
      </c>
      <c r="S163" s="372">
        <f t="shared" si="8"/>
        <v>1.76</v>
      </c>
      <c r="T163" s="203">
        <f t="shared" si="9"/>
        <v>0</v>
      </c>
      <c r="U163" s="372"/>
      <c r="V163" s="372"/>
      <c r="W163" s="372">
        <f>Roles!$D$7</f>
        <v>0.12</v>
      </c>
      <c r="X163" s="372"/>
      <c r="Y163" s="203">
        <f t="shared" si="10"/>
        <v>0</v>
      </c>
      <c r="Z163" s="372"/>
      <c r="AA163" s="372"/>
      <c r="AB163" s="372">
        <f>Roles!$D$7</f>
        <v>0.12</v>
      </c>
      <c r="AC163" s="372"/>
      <c r="AD163" s="203">
        <f t="shared" si="11"/>
        <v>0</v>
      </c>
      <c r="AE163" s="372"/>
      <c r="AF163" s="372"/>
      <c r="AG163" s="372">
        <f>Roles!$D$7</f>
        <v>0.12</v>
      </c>
      <c r="AH163" s="372"/>
      <c r="AI163" s="203">
        <f t="shared" si="12"/>
        <v>0</v>
      </c>
      <c r="AJ163" s="372"/>
      <c r="AK163" s="372"/>
      <c r="AL163" s="372">
        <f>Roles!$D$7</f>
        <v>0.12</v>
      </c>
      <c r="AM163" s="372"/>
      <c r="AN163" s="203">
        <f t="shared" si="13"/>
        <v>0</v>
      </c>
      <c r="AO163" s="372"/>
      <c r="AP163" s="372"/>
      <c r="AQ163" s="372">
        <f>Roles!$D$7</f>
        <v>0.12</v>
      </c>
      <c r="AR163" s="372"/>
      <c r="AS163" s="203">
        <f t="shared" si="14"/>
        <v>0</v>
      </c>
      <c r="AT163" s="372"/>
      <c r="AU163" s="372"/>
      <c r="AV163" s="372">
        <f>Roles!$D$7</f>
        <v>0.12</v>
      </c>
      <c r="AW163" s="372"/>
      <c r="AX163" s="203">
        <f t="shared" si="15"/>
        <v>0</v>
      </c>
      <c r="AY163" s="372"/>
      <c r="AZ163" s="372"/>
      <c r="BA163" s="372">
        <f>Roles!$D$7</f>
        <v>0.12</v>
      </c>
      <c r="BB163" s="372"/>
      <c r="BC163" s="203">
        <f t="shared" si="16"/>
        <v>0</v>
      </c>
      <c r="BD163" s="372"/>
      <c r="BE163" s="372"/>
      <c r="BF163" s="372">
        <f>Roles!$D$7</f>
        <v>0.12</v>
      </c>
      <c r="BG163" s="372"/>
      <c r="BH163" s="203">
        <f t="shared" si="17"/>
        <v>0</v>
      </c>
      <c r="BI163" s="372"/>
      <c r="BJ163" s="372"/>
      <c r="BK163" s="372">
        <f>Roles!$D$7</f>
        <v>0.12</v>
      </c>
      <c r="BL163" s="372"/>
      <c r="BM163" s="203">
        <f t="shared" si="18"/>
        <v>0</v>
      </c>
      <c r="BN163" s="372"/>
      <c r="BO163" s="372"/>
      <c r="BP163" s="372">
        <f>Roles!$D$7</f>
        <v>0.12</v>
      </c>
      <c r="BQ163" s="372"/>
      <c r="BR163" s="203">
        <f t="shared" si="19"/>
        <v>0</v>
      </c>
      <c r="BS163" s="372"/>
      <c r="BT163" s="372"/>
      <c r="BU163" s="372">
        <f>Roles!$D$7</f>
        <v>0.12</v>
      </c>
      <c r="BV163" s="372"/>
      <c r="BW163" s="203">
        <f t="shared" si="20"/>
        <v>0</v>
      </c>
      <c r="BX163" s="372"/>
      <c r="BY163" s="372"/>
      <c r="BZ163" s="372">
        <f>Roles!$D$7</f>
        <v>0.12</v>
      </c>
      <c r="CA163" s="372"/>
      <c r="CB163" s="203">
        <f t="shared" si="21"/>
        <v>0</v>
      </c>
      <c r="CC163" s="372"/>
      <c r="CD163" s="372"/>
      <c r="CE163" s="372">
        <f>Roles!$D$7</f>
        <v>0.12</v>
      </c>
      <c r="CF163" s="372"/>
      <c r="CG163" s="203">
        <f t="shared" si="22"/>
        <v>0</v>
      </c>
      <c r="CH163" s="372"/>
      <c r="CI163" s="372"/>
      <c r="CJ163" s="372">
        <f>Roles!$D$7</f>
        <v>0.12</v>
      </c>
      <c r="CK163" s="372"/>
      <c r="CL163" s="203">
        <f t="shared" si="23"/>
        <v>0</v>
      </c>
      <c r="CM163" s="372"/>
      <c r="CN163" s="372"/>
      <c r="CO163" s="372">
        <f>Roles!$D$7</f>
        <v>0.12</v>
      </c>
      <c r="CP163" s="372"/>
      <c r="CQ163" s="203">
        <f t="shared" si="24"/>
        <v>0</v>
      </c>
      <c r="CR163" s="372"/>
      <c r="CS163" s="372"/>
      <c r="CT163" s="372">
        <f>Roles!$D$7</f>
        <v>0.12</v>
      </c>
      <c r="CU163" s="372"/>
      <c r="CV163" s="203">
        <f t="shared" si="25"/>
        <v>0</v>
      </c>
      <c r="CW163" s="372"/>
      <c r="CX163" s="372"/>
      <c r="CY163" s="372">
        <f>Roles!$D$7</f>
        <v>0.12</v>
      </c>
      <c r="CZ163" s="372"/>
      <c r="DA163" s="203">
        <f t="shared" si="26"/>
        <v>0</v>
      </c>
      <c r="DB163" s="372"/>
      <c r="DC163" s="372"/>
      <c r="DD163" s="372">
        <f>Roles!$D$7</f>
        <v>0.12</v>
      </c>
      <c r="DE163" s="372"/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 t="shared" si="1"/>
        <v>3</v>
      </c>
      <c r="F164" s="80">
        <v>4.0</v>
      </c>
      <c r="G164" s="105">
        <f t="shared" si="2"/>
        <v>0.003445305771</v>
      </c>
      <c r="H164" s="47">
        <f t="shared" si="152"/>
        <v>0.5693367786</v>
      </c>
      <c r="I164" s="231">
        <f t="shared" si="150"/>
        <v>8</v>
      </c>
      <c r="J164" s="172">
        <f t="shared" si="153"/>
        <v>1018</v>
      </c>
      <c r="K164" s="115">
        <f t="shared" si="3"/>
        <v>0.8945518453</v>
      </c>
      <c r="L164" s="232">
        <f t="shared" si="151"/>
        <v>3.52</v>
      </c>
      <c r="M164" s="172">
        <f t="shared" si="154"/>
        <v>447.92</v>
      </c>
      <c r="N164" s="7"/>
      <c r="O164" s="203">
        <f t="shared" si="7"/>
        <v>2</v>
      </c>
      <c r="P164" s="378">
        <v>8.0</v>
      </c>
      <c r="Q164" s="372"/>
      <c r="R164" s="372">
        <f>Roles!$D$5</f>
        <v>0.44</v>
      </c>
      <c r="S164" s="372">
        <f t="shared" si="8"/>
        <v>3.52</v>
      </c>
      <c r="T164" s="203">
        <f t="shared" si="9"/>
        <v>0</v>
      </c>
      <c r="U164" s="372"/>
      <c r="V164" s="372"/>
      <c r="W164" s="372">
        <f>Roles!$D$7</f>
        <v>0.12</v>
      </c>
      <c r="X164" s="372"/>
      <c r="Y164" s="203">
        <f t="shared" si="10"/>
        <v>0</v>
      </c>
      <c r="Z164" s="372"/>
      <c r="AA164" s="372"/>
      <c r="AB164" s="372">
        <f>Roles!$D$7</f>
        <v>0.12</v>
      </c>
      <c r="AC164" s="372"/>
      <c r="AD164" s="203">
        <f t="shared" si="11"/>
        <v>0</v>
      </c>
      <c r="AE164" s="372"/>
      <c r="AF164" s="372"/>
      <c r="AG164" s="372">
        <f>Roles!$D$7</f>
        <v>0.12</v>
      </c>
      <c r="AH164" s="372"/>
      <c r="AI164" s="203">
        <f t="shared" si="12"/>
        <v>0</v>
      </c>
      <c r="AJ164" s="372"/>
      <c r="AK164" s="372"/>
      <c r="AL164" s="372">
        <f>Roles!$D$7</f>
        <v>0.12</v>
      </c>
      <c r="AM164" s="372"/>
      <c r="AN164" s="203">
        <f t="shared" si="13"/>
        <v>0</v>
      </c>
      <c r="AO164" s="372"/>
      <c r="AP164" s="372"/>
      <c r="AQ164" s="372">
        <f>Roles!$D$7</f>
        <v>0.12</v>
      </c>
      <c r="AR164" s="372"/>
      <c r="AS164" s="203">
        <f t="shared" si="14"/>
        <v>0</v>
      </c>
      <c r="AT164" s="372"/>
      <c r="AU164" s="372"/>
      <c r="AV164" s="372">
        <f>Roles!$D$7</f>
        <v>0.12</v>
      </c>
      <c r="AW164" s="372"/>
      <c r="AX164" s="203">
        <f t="shared" si="15"/>
        <v>0</v>
      </c>
      <c r="AY164" s="372"/>
      <c r="AZ164" s="372"/>
      <c r="BA164" s="372">
        <f>Roles!$D$7</f>
        <v>0.12</v>
      </c>
      <c r="BB164" s="372"/>
      <c r="BC164" s="203">
        <f t="shared" si="16"/>
        <v>0</v>
      </c>
      <c r="BD164" s="372"/>
      <c r="BE164" s="372"/>
      <c r="BF164" s="372">
        <f>Roles!$D$7</f>
        <v>0.12</v>
      </c>
      <c r="BG164" s="372"/>
      <c r="BH164" s="203">
        <f t="shared" si="17"/>
        <v>0</v>
      </c>
      <c r="BI164" s="372"/>
      <c r="BJ164" s="372"/>
      <c r="BK164" s="372">
        <f>Roles!$D$7</f>
        <v>0.12</v>
      </c>
      <c r="BL164" s="372"/>
      <c r="BM164" s="203">
        <f t="shared" si="18"/>
        <v>0</v>
      </c>
      <c r="BN164" s="372"/>
      <c r="BO164" s="372"/>
      <c r="BP164" s="372">
        <f>Roles!$D$7</f>
        <v>0.12</v>
      </c>
      <c r="BQ164" s="372"/>
      <c r="BR164" s="203">
        <f t="shared" si="19"/>
        <v>0</v>
      </c>
      <c r="BS164" s="372"/>
      <c r="BT164" s="372"/>
      <c r="BU164" s="372">
        <f>Roles!$D$7</f>
        <v>0.12</v>
      </c>
      <c r="BV164" s="372"/>
      <c r="BW164" s="203">
        <f t="shared" si="20"/>
        <v>0</v>
      </c>
      <c r="BX164" s="372"/>
      <c r="BY164" s="372"/>
      <c r="BZ164" s="372">
        <f>Roles!$D$7</f>
        <v>0.12</v>
      </c>
      <c r="CA164" s="372"/>
      <c r="CB164" s="203">
        <f t="shared" si="21"/>
        <v>0</v>
      </c>
      <c r="CC164" s="372"/>
      <c r="CD164" s="372"/>
      <c r="CE164" s="372">
        <f>Roles!$D$7</f>
        <v>0.12</v>
      </c>
      <c r="CF164" s="372"/>
      <c r="CG164" s="203">
        <f t="shared" si="22"/>
        <v>0</v>
      </c>
      <c r="CH164" s="372"/>
      <c r="CI164" s="372"/>
      <c r="CJ164" s="372">
        <f>Roles!$D$7</f>
        <v>0.12</v>
      </c>
      <c r="CK164" s="372"/>
      <c r="CL164" s="203">
        <f t="shared" si="23"/>
        <v>0</v>
      </c>
      <c r="CM164" s="372"/>
      <c r="CN164" s="372"/>
      <c r="CO164" s="372">
        <f>Roles!$D$7</f>
        <v>0.12</v>
      </c>
      <c r="CP164" s="372"/>
      <c r="CQ164" s="203">
        <f t="shared" si="24"/>
        <v>0</v>
      </c>
      <c r="CR164" s="372"/>
      <c r="CS164" s="372"/>
      <c r="CT164" s="372">
        <f>Roles!$D$7</f>
        <v>0.12</v>
      </c>
      <c r="CU164" s="372"/>
      <c r="CV164" s="203">
        <f t="shared" si="25"/>
        <v>0</v>
      </c>
      <c r="CW164" s="372"/>
      <c r="CX164" s="372"/>
      <c r="CY164" s="372">
        <f>Roles!$D$7</f>
        <v>0.12</v>
      </c>
      <c r="CZ164" s="372"/>
      <c r="DA164" s="203">
        <f t="shared" si="26"/>
        <v>0</v>
      </c>
      <c r="DB164" s="372"/>
      <c r="DC164" s="372"/>
      <c r="DD164" s="372">
        <f>Roles!$D$7</f>
        <v>0.12</v>
      </c>
      <c r="DE164" s="372"/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 t="shared" si="1"/>
        <v>2</v>
      </c>
      <c r="F165" s="80">
        <v>3.0</v>
      </c>
      <c r="G165" s="105">
        <f t="shared" si="2"/>
        <v>0.002583979328</v>
      </c>
      <c r="H165" s="47">
        <f t="shared" si="152"/>
        <v>0.571920758</v>
      </c>
      <c r="I165" s="231">
        <f t="shared" si="150"/>
        <v>6</v>
      </c>
      <c r="J165" s="172">
        <f t="shared" si="153"/>
        <v>1024</v>
      </c>
      <c r="K165" s="115">
        <f t="shared" si="3"/>
        <v>0.8998242531</v>
      </c>
      <c r="L165" s="232">
        <f t="shared" si="151"/>
        <v>2.64</v>
      </c>
      <c r="M165" s="172">
        <f t="shared" si="154"/>
        <v>450.56</v>
      </c>
      <c r="N165" s="7"/>
      <c r="O165" s="203">
        <f t="shared" si="7"/>
        <v>2</v>
      </c>
      <c r="P165" s="378">
        <v>6.0</v>
      </c>
      <c r="Q165" s="372"/>
      <c r="R165" s="372">
        <f>Roles!$D$5</f>
        <v>0.44</v>
      </c>
      <c r="S165" s="372">
        <f t="shared" si="8"/>
        <v>2.64</v>
      </c>
      <c r="T165" s="203">
        <f t="shared" si="9"/>
        <v>0</v>
      </c>
      <c r="U165" s="372"/>
      <c r="V165" s="372"/>
      <c r="W165" s="372">
        <f>Roles!$D$7</f>
        <v>0.12</v>
      </c>
      <c r="X165" s="372"/>
      <c r="Y165" s="203">
        <f t="shared" si="10"/>
        <v>0</v>
      </c>
      <c r="Z165" s="372"/>
      <c r="AA165" s="372"/>
      <c r="AB165" s="372">
        <f>Roles!$D$7</f>
        <v>0.12</v>
      </c>
      <c r="AC165" s="372"/>
      <c r="AD165" s="203">
        <f t="shared" si="11"/>
        <v>0</v>
      </c>
      <c r="AE165" s="372"/>
      <c r="AF165" s="372"/>
      <c r="AG165" s="372">
        <f>Roles!$D$7</f>
        <v>0.12</v>
      </c>
      <c r="AH165" s="372"/>
      <c r="AI165" s="203">
        <f t="shared" si="12"/>
        <v>0</v>
      </c>
      <c r="AJ165" s="372"/>
      <c r="AK165" s="372"/>
      <c r="AL165" s="372">
        <f>Roles!$D$7</f>
        <v>0.12</v>
      </c>
      <c r="AM165" s="372"/>
      <c r="AN165" s="203">
        <f t="shared" si="13"/>
        <v>0</v>
      </c>
      <c r="AO165" s="372"/>
      <c r="AP165" s="372"/>
      <c r="AQ165" s="372">
        <f>Roles!$D$7</f>
        <v>0.12</v>
      </c>
      <c r="AR165" s="372"/>
      <c r="AS165" s="203">
        <f t="shared" si="14"/>
        <v>0</v>
      </c>
      <c r="AT165" s="372"/>
      <c r="AU165" s="372"/>
      <c r="AV165" s="372">
        <f>Roles!$D$7</f>
        <v>0.12</v>
      </c>
      <c r="AW165" s="372"/>
      <c r="AX165" s="203">
        <f t="shared" si="15"/>
        <v>0</v>
      </c>
      <c r="AY165" s="372"/>
      <c r="AZ165" s="372"/>
      <c r="BA165" s="372">
        <f>Roles!$D$7</f>
        <v>0.12</v>
      </c>
      <c r="BB165" s="372"/>
      <c r="BC165" s="203">
        <f t="shared" si="16"/>
        <v>0</v>
      </c>
      <c r="BD165" s="372"/>
      <c r="BE165" s="372"/>
      <c r="BF165" s="372">
        <f>Roles!$D$7</f>
        <v>0.12</v>
      </c>
      <c r="BG165" s="372"/>
      <c r="BH165" s="203">
        <f t="shared" si="17"/>
        <v>0</v>
      </c>
      <c r="BI165" s="372"/>
      <c r="BJ165" s="372"/>
      <c r="BK165" s="372">
        <f>Roles!$D$7</f>
        <v>0.12</v>
      </c>
      <c r="BL165" s="372"/>
      <c r="BM165" s="203">
        <f t="shared" si="18"/>
        <v>0</v>
      </c>
      <c r="BN165" s="372"/>
      <c r="BO165" s="372"/>
      <c r="BP165" s="372">
        <f>Roles!$D$7</f>
        <v>0.12</v>
      </c>
      <c r="BQ165" s="372"/>
      <c r="BR165" s="203">
        <f t="shared" si="19"/>
        <v>0</v>
      </c>
      <c r="BS165" s="372"/>
      <c r="BT165" s="372"/>
      <c r="BU165" s="372">
        <f>Roles!$D$7</f>
        <v>0.12</v>
      </c>
      <c r="BV165" s="372"/>
      <c r="BW165" s="203">
        <f t="shared" si="20"/>
        <v>0</v>
      </c>
      <c r="BX165" s="372"/>
      <c r="BY165" s="372"/>
      <c r="BZ165" s="372">
        <f>Roles!$D$7</f>
        <v>0.12</v>
      </c>
      <c r="CA165" s="372"/>
      <c r="CB165" s="203">
        <f t="shared" si="21"/>
        <v>0</v>
      </c>
      <c r="CC165" s="372"/>
      <c r="CD165" s="372"/>
      <c r="CE165" s="372">
        <f>Roles!$D$7</f>
        <v>0.12</v>
      </c>
      <c r="CF165" s="372"/>
      <c r="CG165" s="203">
        <f t="shared" si="22"/>
        <v>0</v>
      </c>
      <c r="CH165" s="372"/>
      <c r="CI165" s="372"/>
      <c r="CJ165" s="372">
        <f>Roles!$D$7</f>
        <v>0.12</v>
      </c>
      <c r="CK165" s="372"/>
      <c r="CL165" s="203">
        <f t="shared" si="23"/>
        <v>0</v>
      </c>
      <c r="CM165" s="372"/>
      <c r="CN165" s="372"/>
      <c r="CO165" s="372">
        <f>Roles!$D$7</f>
        <v>0.12</v>
      </c>
      <c r="CP165" s="372"/>
      <c r="CQ165" s="203">
        <f t="shared" si="24"/>
        <v>0</v>
      </c>
      <c r="CR165" s="372"/>
      <c r="CS165" s="372"/>
      <c r="CT165" s="372">
        <f>Roles!$D$7</f>
        <v>0.12</v>
      </c>
      <c r="CU165" s="372"/>
      <c r="CV165" s="203">
        <f t="shared" si="25"/>
        <v>0</v>
      </c>
      <c r="CW165" s="372"/>
      <c r="CX165" s="372"/>
      <c r="CY165" s="372">
        <f>Roles!$D$7</f>
        <v>0.12</v>
      </c>
      <c r="CZ165" s="372"/>
      <c r="DA165" s="203">
        <f t="shared" si="26"/>
        <v>0</v>
      </c>
      <c r="DB165" s="372"/>
      <c r="DC165" s="372"/>
      <c r="DD165" s="372">
        <f>Roles!$D$7</f>
        <v>0.12</v>
      </c>
      <c r="DE165" s="372"/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 t="shared" si="1"/>
        <v>8</v>
      </c>
      <c r="F166" s="246">
        <f>SUM(F167:F169)</f>
        <v>61</v>
      </c>
      <c r="G166" s="105">
        <f t="shared" si="2"/>
        <v>0.05254091301</v>
      </c>
      <c r="H166" s="226">
        <f>H169</f>
        <v>0.624461671</v>
      </c>
      <c r="I166" s="247">
        <f>SUM(I167:I169)</f>
        <v>1</v>
      </c>
      <c r="J166" s="247">
        <f>J169</f>
        <v>1025</v>
      </c>
      <c r="K166" s="167">
        <f t="shared" si="3"/>
        <v>0.9007029877</v>
      </c>
      <c r="L166" s="247">
        <f>SUM(L167:L169)</f>
        <v>0.44</v>
      </c>
      <c r="M166" s="247">
        <f>M169</f>
        <v>451</v>
      </c>
      <c r="N166" s="7"/>
      <c r="O166" s="203">
        <f t="shared" si="7"/>
        <v>0</v>
      </c>
      <c r="P166" s="372"/>
      <c r="Q166" s="372"/>
      <c r="R166" s="372">
        <f>Roles!$D$5</f>
        <v>0.44</v>
      </c>
      <c r="S166" s="372">
        <f t="shared" si="8"/>
        <v>0</v>
      </c>
      <c r="T166" s="203">
        <f t="shared" si="9"/>
        <v>0</v>
      </c>
      <c r="U166" s="372"/>
      <c r="V166" s="372"/>
      <c r="W166" s="372">
        <f>Roles!$D$7</f>
        <v>0.12</v>
      </c>
      <c r="X166" s="372"/>
      <c r="Y166" s="203">
        <f t="shared" si="10"/>
        <v>0</v>
      </c>
      <c r="Z166" s="372"/>
      <c r="AA166" s="372"/>
      <c r="AB166" s="372">
        <f>Roles!$D$7</f>
        <v>0.12</v>
      </c>
      <c r="AC166" s="372"/>
      <c r="AD166" s="203">
        <f t="shared" si="11"/>
        <v>0</v>
      </c>
      <c r="AE166" s="372"/>
      <c r="AF166" s="372"/>
      <c r="AG166" s="372">
        <f>Roles!$D$7</f>
        <v>0.12</v>
      </c>
      <c r="AH166" s="372"/>
      <c r="AI166" s="203">
        <f t="shared" si="12"/>
        <v>0</v>
      </c>
      <c r="AJ166" s="372"/>
      <c r="AK166" s="372"/>
      <c r="AL166" s="372">
        <f>Roles!$D$7</f>
        <v>0.12</v>
      </c>
      <c r="AM166" s="372"/>
      <c r="AN166" s="203">
        <f t="shared" si="13"/>
        <v>0</v>
      </c>
      <c r="AO166" s="372"/>
      <c r="AP166" s="372"/>
      <c r="AQ166" s="372">
        <f>Roles!$D$7</f>
        <v>0.12</v>
      </c>
      <c r="AR166" s="372"/>
      <c r="AS166" s="203">
        <f t="shared" si="14"/>
        <v>0</v>
      </c>
      <c r="AT166" s="372"/>
      <c r="AU166" s="372"/>
      <c r="AV166" s="372">
        <f>Roles!$D$7</f>
        <v>0.12</v>
      </c>
      <c r="AW166" s="372"/>
      <c r="AX166" s="203">
        <f t="shared" si="15"/>
        <v>0</v>
      </c>
      <c r="AY166" s="372"/>
      <c r="AZ166" s="372"/>
      <c r="BA166" s="372">
        <f>Roles!$D$7</f>
        <v>0.12</v>
      </c>
      <c r="BB166" s="372"/>
      <c r="BC166" s="203">
        <f t="shared" si="16"/>
        <v>0</v>
      </c>
      <c r="BD166" s="372"/>
      <c r="BE166" s="372"/>
      <c r="BF166" s="372">
        <f>Roles!$D$7</f>
        <v>0.12</v>
      </c>
      <c r="BG166" s="372"/>
      <c r="BH166" s="203">
        <f t="shared" si="17"/>
        <v>0</v>
      </c>
      <c r="BI166" s="372"/>
      <c r="BJ166" s="372"/>
      <c r="BK166" s="372">
        <f>Roles!$D$7</f>
        <v>0.12</v>
      </c>
      <c r="BL166" s="372"/>
      <c r="BM166" s="203">
        <f t="shared" si="18"/>
        <v>0</v>
      </c>
      <c r="BN166" s="372"/>
      <c r="BO166" s="372"/>
      <c r="BP166" s="372">
        <f>Roles!$D$7</f>
        <v>0.12</v>
      </c>
      <c r="BQ166" s="372"/>
      <c r="BR166" s="203">
        <f t="shared" si="19"/>
        <v>0</v>
      </c>
      <c r="BS166" s="372"/>
      <c r="BT166" s="372"/>
      <c r="BU166" s="372">
        <f>Roles!$D$7</f>
        <v>0.12</v>
      </c>
      <c r="BV166" s="372"/>
      <c r="BW166" s="203">
        <f t="shared" si="20"/>
        <v>0</v>
      </c>
      <c r="BX166" s="372"/>
      <c r="BY166" s="372"/>
      <c r="BZ166" s="372">
        <f>Roles!$D$7</f>
        <v>0.12</v>
      </c>
      <c r="CA166" s="372"/>
      <c r="CB166" s="203">
        <f t="shared" si="21"/>
        <v>0</v>
      </c>
      <c r="CC166" s="372"/>
      <c r="CD166" s="372"/>
      <c r="CE166" s="372">
        <f>Roles!$D$7</f>
        <v>0.12</v>
      </c>
      <c r="CF166" s="372"/>
      <c r="CG166" s="203">
        <f t="shared" si="22"/>
        <v>0</v>
      </c>
      <c r="CH166" s="372"/>
      <c r="CI166" s="372"/>
      <c r="CJ166" s="372">
        <f>Roles!$D$7</f>
        <v>0.12</v>
      </c>
      <c r="CK166" s="372"/>
      <c r="CL166" s="203">
        <f t="shared" si="23"/>
        <v>0</v>
      </c>
      <c r="CM166" s="372"/>
      <c r="CN166" s="372"/>
      <c r="CO166" s="372">
        <f>Roles!$D$7</f>
        <v>0.12</v>
      </c>
      <c r="CP166" s="372"/>
      <c r="CQ166" s="203">
        <f t="shared" si="24"/>
        <v>0</v>
      </c>
      <c r="CR166" s="372"/>
      <c r="CS166" s="372"/>
      <c r="CT166" s="372">
        <f>Roles!$D$7</f>
        <v>0.12</v>
      </c>
      <c r="CU166" s="372"/>
      <c r="CV166" s="203">
        <f t="shared" si="25"/>
        <v>0</v>
      </c>
      <c r="CW166" s="372"/>
      <c r="CX166" s="372"/>
      <c r="CY166" s="372">
        <f>Roles!$D$7</f>
        <v>0.12</v>
      </c>
      <c r="CZ166" s="372"/>
      <c r="DA166" s="203">
        <f t="shared" si="26"/>
        <v>0</v>
      </c>
      <c r="DB166" s="372"/>
      <c r="DC166" s="372"/>
      <c r="DD166" s="372">
        <f>Roles!$D$7</f>
        <v>0.12</v>
      </c>
      <c r="DE166" s="372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 t="shared" si="1"/>
        <v>4</v>
      </c>
      <c r="F167" s="80">
        <v>30.0</v>
      </c>
      <c r="G167" s="105">
        <f t="shared" si="2"/>
        <v>0.02583979328</v>
      </c>
      <c r="H167" s="47">
        <f>H165+G167</f>
        <v>0.5977605512</v>
      </c>
      <c r="I167" s="231">
        <f t="shared" ref="I167:I169" si="155">P167+U167+Z167+AE167+AJ167+AO167+AT167+AY167+BD167+BI167+BN167+BS167+BX167+CC167+CH167+CM167+CR167+CW167+DB167</f>
        <v>0</v>
      </c>
      <c r="J167" s="172">
        <f>J165+I167</f>
        <v>1024</v>
      </c>
      <c r="K167" s="115">
        <f t="shared" si="3"/>
        <v>0.8998242531</v>
      </c>
      <c r="L167" s="232">
        <f t="shared" ref="L167:L169" si="156">S167+X167+AC167+AH167+AM167+AR167+AW167+BB167+BG167+BL167+BQ167+BV167+CA167+CF167+CK167+CP167+CU167+CZ167+DE167</f>
        <v>0</v>
      </c>
      <c r="M167" s="172">
        <f>M165+L167</f>
        <v>450.56</v>
      </c>
      <c r="N167" s="7"/>
      <c r="O167" s="203">
        <f t="shared" si="7"/>
        <v>0</v>
      </c>
      <c r="P167" s="378">
        <v>0.0</v>
      </c>
      <c r="Q167" s="372"/>
      <c r="R167" s="372">
        <f>Roles!$D$5</f>
        <v>0.44</v>
      </c>
      <c r="S167" s="372">
        <f t="shared" si="8"/>
        <v>0</v>
      </c>
      <c r="T167" s="203">
        <f t="shared" si="9"/>
        <v>0</v>
      </c>
      <c r="U167" s="372"/>
      <c r="V167" s="372"/>
      <c r="W167" s="372">
        <f>Roles!$D$7</f>
        <v>0.12</v>
      </c>
      <c r="X167" s="372"/>
      <c r="Y167" s="203">
        <f t="shared" si="10"/>
        <v>0</v>
      </c>
      <c r="Z167" s="372"/>
      <c r="AA167" s="372"/>
      <c r="AB167" s="372">
        <f>Roles!$D$7</f>
        <v>0.12</v>
      </c>
      <c r="AC167" s="372"/>
      <c r="AD167" s="203">
        <f t="shared" si="11"/>
        <v>0</v>
      </c>
      <c r="AE167" s="372"/>
      <c r="AF167" s="372"/>
      <c r="AG167" s="372">
        <f>Roles!$D$7</f>
        <v>0.12</v>
      </c>
      <c r="AH167" s="372"/>
      <c r="AI167" s="203">
        <f t="shared" si="12"/>
        <v>0</v>
      </c>
      <c r="AJ167" s="372"/>
      <c r="AK167" s="372"/>
      <c r="AL167" s="372">
        <f>Roles!$D$7</f>
        <v>0.12</v>
      </c>
      <c r="AM167" s="372"/>
      <c r="AN167" s="203">
        <f t="shared" si="13"/>
        <v>0</v>
      </c>
      <c r="AO167" s="372"/>
      <c r="AP167" s="372"/>
      <c r="AQ167" s="372">
        <f>Roles!$D$7</f>
        <v>0.12</v>
      </c>
      <c r="AR167" s="372"/>
      <c r="AS167" s="203">
        <f t="shared" si="14"/>
        <v>0</v>
      </c>
      <c r="AT167" s="372"/>
      <c r="AU167" s="372"/>
      <c r="AV167" s="372">
        <f>Roles!$D$7</f>
        <v>0.12</v>
      </c>
      <c r="AW167" s="372"/>
      <c r="AX167" s="203">
        <f t="shared" si="15"/>
        <v>0</v>
      </c>
      <c r="AY167" s="372"/>
      <c r="AZ167" s="372"/>
      <c r="BA167" s="372">
        <f>Roles!$D$7</f>
        <v>0.12</v>
      </c>
      <c r="BB167" s="372"/>
      <c r="BC167" s="203">
        <f t="shared" si="16"/>
        <v>0</v>
      </c>
      <c r="BD167" s="372"/>
      <c r="BE167" s="372"/>
      <c r="BF167" s="372">
        <f>Roles!$D$7</f>
        <v>0.12</v>
      </c>
      <c r="BG167" s="372"/>
      <c r="BH167" s="203">
        <f t="shared" si="17"/>
        <v>0</v>
      </c>
      <c r="BI167" s="372"/>
      <c r="BJ167" s="372"/>
      <c r="BK167" s="372">
        <f>Roles!$D$7</f>
        <v>0.12</v>
      </c>
      <c r="BL167" s="372"/>
      <c r="BM167" s="203">
        <f t="shared" si="18"/>
        <v>0</v>
      </c>
      <c r="BN167" s="372"/>
      <c r="BO167" s="372"/>
      <c r="BP167" s="372">
        <f>Roles!$D$7</f>
        <v>0.12</v>
      </c>
      <c r="BQ167" s="372"/>
      <c r="BR167" s="203">
        <f t="shared" si="19"/>
        <v>0</v>
      </c>
      <c r="BS167" s="372"/>
      <c r="BT167" s="372"/>
      <c r="BU167" s="372">
        <f>Roles!$D$7</f>
        <v>0.12</v>
      </c>
      <c r="BV167" s="372"/>
      <c r="BW167" s="203">
        <f t="shared" si="20"/>
        <v>0</v>
      </c>
      <c r="BX167" s="372"/>
      <c r="BY167" s="372"/>
      <c r="BZ167" s="372">
        <f>Roles!$D$7</f>
        <v>0.12</v>
      </c>
      <c r="CA167" s="372"/>
      <c r="CB167" s="203">
        <f t="shared" si="21"/>
        <v>0</v>
      </c>
      <c r="CC167" s="372"/>
      <c r="CD167" s="372"/>
      <c r="CE167" s="372">
        <f>Roles!$D$7</f>
        <v>0.12</v>
      </c>
      <c r="CF167" s="372"/>
      <c r="CG167" s="203">
        <f t="shared" si="22"/>
        <v>0</v>
      </c>
      <c r="CH167" s="372"/>
      <c r="CI167" s="372"/>
      <c r="CJ167" s="372">
        <f>Roles!$D$7</f>
        <v>0.12</v>
      </c>
      <c r="CK167" s="372"/>
      <c r="CL167" s="203">
        <f t="shared" si="23"/>
        <v>0</v>
      </c>
      <c r="CM167" s="372"/>
      <c r="CN167" s="372"/>
      <c r="CO167" s="372">
        <f>Roles!$D$7</f>
        <v>0.12</v>
      </c>
      <c r="CP167" s="372"/>
      <c r="CQ167" s="203">
        <f t="shared" si="24"/>
        <v>0</v>
      </c>
      <c r="CR167" s="372"/>
      <c r="CS167" s="372"/>
      <c r="CT167" s="372">
        <f>Roles!$D$7</f>
        <v>0.12</v>
      </c>
      <c r="CU167" s="372"/>
      <c r="CV167" s="203">
        <f t="shared" si="25"/>
        <v>0</v>
      </c>
      <c r="CW167" s="372"/>
      <c r="CX167" s="372"/>
      <c r="CY167" s="372">
        <f>Roles!$D$7</f>
        <v>0.12</v>
      </c>
      <c r="CZ167" s="372"/>
      <c r="DA167" s="203">
        <f t="shared" si="26"/>
        <v>0</v>
      </c>
      <c r="DB167" s="372"/>
      <c r="DC167" s="372"/>
      <c r="DD167" s="372">
        <f>Roles!$D$7</f>
        <v>0.12</v>
      </c>
      <c r="DE167" s="372"/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 t="shared" si="1"/>
        <v>1</v>
      </c>
      <c r="F168" s="80">
        <v>1.0</v>
      </c>
      <c r="G168" s="105">
        <f t="shared" si="2"/>
        <v>0.0008613264427</v>
      </c>
      <c r="H168" s="47">
        <f t="shared" ref="H168:H169" si="157">H167+G168</f>
        <v>0.5986218777</v>
      </c>
      <c r="I168" s="231">
        <f t="shared" si="155"/>
        <v>1</v>
      </c>
      <c r="J168" s="172">
        <f t="shared" ref="J168:J169" si="158">J167+I168</f>
        <v>1025</v>
      </c>
      <c r="K168" s="115">
        <f t="shared" si="3"/>
        <v>0.9007029877</v>
      </c>
      <c r="L168" s="232">
        <f t="shared" si="156"/>
        <v>0.44</v>
      </c>
      <c r="M168" s="172">
        <f t="shared" ref="M168:M169" si="159">M167+L168</f>
        <v>451</v>
      </c>
      <c r="N168" s="7"/>
      <c r="O168" s="203">
        <f t="shared" si="7"/>
        <v>1</v>
      </c>
      <c r="P168" s="378">
        <v>1.0</v>
      </c>
      <c r="Q168" s="372"/>
      <c r="R168" s="372">
        <f>Roles!$D$5</f>
        <v>0.44</v>
      </c>
      <c r="S168" s="372">
        <f t="shared" si="8"/>
        <v>0.44</v>
      </c>
      <c r="T168" s="203">
        <f t="shared" si="9"/>
        <v>0</v>
      </c>
      <c r="U168" s="372"/>
      <c r="V168" s="372"/>
      <c r="W168" s="372">
        <f>Roles!$D$7</f>
        <v>0.12</v>
      </c>
      <c r="X168" s="372"/>
      <c r="Y168" s="203">
        <f t="shared" si="10"/>
        <v>0</v>
      </c>
      <c r="Z168" s="372"/>
      <c r="AA168" s="372"/>
      <c r="AB168" s="372">
        <f>Roles!$D$7</f>
        <v>0.12</v>
      </c>
      <c r="AC168" s="372"/>
      <c r="AD168" s="203">
        <f t="shared" si="11"/>
        <v>0</v>
      </c>
      <c r="AE168" s="372"/>
      <c r="AF168" s="372"/>
      <c r="AG168" s="372">
        <f>Roles!$D$7</f>
        <v>0.12</v>
      </c>
      <c r="AH168" s="372"/>
      <c r="AI168" s="203">
        <f t="shared" si="12"/>
        <v>0</v>
      </c>
      <c r="AJ168" s="372"/>
      <c r="AK168" s="372"/>
      <c r="AL168" s="372">
        <f>Roles!$D$7</f>
        <v>0.12</v>
      </c>
      <c r="AM168" s="372"/>
      <c r="AN168" s="203">
        <f t="shared" si="13"/>
        <v>0</v>
      </c>
      <c r="AO168" s="372"/>
      <c r="AP168" s="372"/>
      <c r="AQ168" s="372">
        <f>Roles!$D$7</f>
        <v>0.12</v>
      </c>
      <c r="AR168" s="372"/>
      <c r="AS168" s="203">
        <f t="shared" si="14"/>
        <v>0</v>
      </c>
      <c r="AT168" s="372"/>
      <c r="AU168" s="372"/>
      <c r="AV168" s="372">
        <f>Roles!$D$7</f>
        <v>0.12</v>
      </c>
      <c r="AW168" s="372"/>
      <c r="AX168" s="203">
        <f t="shared" si="15"/>
        <v>0</v>
      </c>
      <c r="AY168" s="372"/>
      <c r="AZ168" s="372"/>
      <c r="BA168" s="372">
        <f>Roles!$D$7</f>
        <v>0.12</v>
      </c>
      <c r="BB168" s="372"/>
      <c r="BC168" s="203">
        <f t="shared" si="16"/>
        <v>0</v>
      </c>
      <c r="BD168" s="372"/>
      <c r="BE168" s="372"/>
      <c r="BF168" s="372">
        <f>Roles!$D$7</f>
        <v>0.12</v>
      </c>
      <c r="BG168" s="372"/>
      <c r="BH168" s="203">
        <f t="shared" si="17"/>
        <v>0</v>
      </c>
      <c r="BI168" s="372"/>
      <c r="BJ168" s="372"/>
      <c r="BK168" s="372">
        <f>Roles!$D$7</f>
        <v>0.12</v>
      </c>
      <c r="BL168" s="372"/>
      <c r="BM168" s="203">
        <f t="shared" si="18"/>
        <v>0</v>
      </c>
      <c r="BN168" s="372"/>
      <c r="BO168" s="372"/>
      <c r="BP168" s="372">
        <f>Roles!$D$7</f>
        <v>0.12</v>
      </c>
      <c r="BQ168" s="372"/>
      <c r="BR168" s="203">
        <f t="shared" si="19"/>
        <v>0</v>
      </c>
      <c r="BS168" s="372"/>
      <c r="BT168" s="372"/>
      <c r="BU168" s="372">
        <f>Roles!$D$7</f>
        <v>0.12</v>
      </c>
      <c r="BV168" s="372"/>
      <c r="BW168" s="203">
        <f t="shared" si="20"/>
        <v>0</v>
      </c>
      <c r="BX168" s="372"/>
      <c r="BY168" s="372"/>
      <c r="BZ168" s="372">
        <f>Roles!$D$7</f>
        <v>0.12</v>
      </c>
      <c r="CA168" s="372"/>
      <c r="CB168" s="203">
        <f t="shared" si="21"/>
        <v>0</v>
      </c>
      <c r="CC168" s="372"/>
      <c r="CD168" s="372"/>
      <c r="CE168" s="372">
        <f>Roles!$D$7</f>
        <v>0.12</v>
      </c>
      <c r="CF168" s="372"/>
      <c r="CG168" s="203">
        <f t="shared" si="22"/>
        <v>0</v>
      </c>
      <c r="CH168" s="372"/>
      <c r="CI168" s="372"/>
      <c r="CJ168" s="372">
        <f>Roles!$D$7</f>
        <v>0.12</v>
      </c>
      <c r="CK168" s="372"/>
      <c r="CL168" s="203">
        <f t="shared" si="23"/>
        <v>0</v>
      </c>
      <c r="CM168" s="372"/>
      <c r="CN168" s="372"/>
      <c r="CO168" s="372">
        <f>Roles!$D$7</f>
        <v>0.12</v>
      </c>
      <c r="CP168" s="372"/>
      <c r="CQ168" s="203">
        <f t="shared" si="24"/>
        <v>0</v>
      </c>
      <c r="CR168" s="372"/>
      <c r="CS168" s="372"/>
      <c r="CT168" s="372">
        <f>Roles!$D$7</f>
        <v>0.12</v>
      </c>
      <c r="CU168" s="372"/>
      <c r="CV168" s="203">
        <f t="shared" si="25"/>
        <v>0</v>
      </c>
      <c r="CW168" s="372"/>
      <c r="CX168" s="372"/>
      <c r="CY168" s="372">
        <f>Roles!$D$7</f>
        <v>0.12</v>
      </c>
      <c r="CZ168" s="372"/>
      <c r="DA168" s="203">
        <f t="shared" si="26"/>
        <v>0</v>
      </c>
      <c r="DB168" s="372"/>
      <c r="DC168" s="372"/>
      <c r="DD168" s="372">
        <f>Roles!$D$7</f>
        <v>0.12</v>
      </c>
      <c r="DE168" s="372"/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 t="shared" si="1"/>
        <v>4</v>
      </c>
      <c r="F169" s="80">
        <v>30.0</v>
      </c>
      <c r="G169" s="105">
        <f t="shared" si="2"/>
        <v>0.02583979328</v>
      </c>
      <c r="H169" s="47">
        <f t="shared" si="157"/>
        <v>0.624461671</v>
      </c>
      <c r="I169" s="231">
        <f t="shared" si="155"/>
        <v>0</v>
      </c>
      <c r="J169" s="172">
        <f t="shared" si="158"/>
        <v>1025</v>
      </c>
      <c r="K169" s="115">
        <f t="shared" si="3"/>
        <v>0.9007029877</v>
      </c>
      <c r="L169" s="232">
        <f t="shared" si="156"/>
        <v>0</v>
      </c>
      <c r="M169" s="172">
        <f t="shared" si="159"/>
        <v>451</v>
      </c>
      <c r="N169" s="7"/>
      <c r="O169" s="203">
        <f t="shared" si="7"/>
        <v>0</v>
      </c>
      <c r="P169" s="378">
        <v>0.0</v>
      </c>
      <c r="Q169" s="372"/>
      <c r="R169" s="372">
        <f>Roles!$D$5</f>
        <v>0.44</v>
      </c>
      <c r="S169" s="372">
        <f t="shared" si="8"/>
        <v>0</v>
      </c>
      <c r="T169" s="203">
        <f t="shared" si="9"/>
        <v>0</v>
      </c>
      <c r="U169" s="372"/>
      <c r="V169" s="372"/>
      <c r="W169" s="372">
        <f>Roles!$D$7</f>
        <v>0.12</v>
      </c>
      <c r="X169" s="372"/>
      <c r="Y169" s="203">
        <f t="shared" si="10"/>
        <v>0</v>
      </c>
      <c r="Z169" s="372"/>
      <c r="AA169" s="372"/>
      <c r="AB169" s="372">
        <f>Roles!$D$7</f>
        <v>0.12</v>
      </c>
      <c r="AC169" s="372"/>
      <c r="AD169" s="203">
        <f t="shared" si="11"/>
        <v>0</v>
      </c>
      <c r="AE169" s="372"/>
      <c r="AF169" s="372"/>
      <c r="AG169" s="372">
        <f>Roles!$D$7</f>
        <v>0.12</v>
      </c>
      <c r="AH169" s="372"/>
      <c r="AI169" s="203">
        <f t="shared" si="12"/>
        <v>0</v>
      </c>
      <c r="AJ169" s="372"/>
      <c r="AK169" s="372"/>
      <c r="AL169" s="372">
        <f>Roles!$D$7</f>
        <v>0.12</v>
      </c>
      <c r="AM169" s="372"/>
      <c r="AN169" s="203">
        <f t="shared" si="13"/>
        <v>0</v>
      </c>
      <c r="AO169" s="372"/>
      <c r="AP169" s="372"/>
      <c r="AQ169" s="372">
        <f>Roles!$D$7</f>
        <v>0.12</v>
      </c>
      <c r="AR169" s="372"/>
      <c r="AS169" s="203">
        <f t="shared" si="14"/>
        <v>0</v>
      </c>
      <c r="AT169" s="372"/>
      <c r="AU169" s="372"/>
      <c r="AV169" s="372">
        <f>Roles!$D$7</f>
        <v>0.12</v>
      </c>
      <c r="AW169" s="372"/>
      <c r="AX169" s="203">
        <f t="shared" si="15"/>
        <v>0</v>
      </c>
      <c r="AY169" s="372"/>
      <c r="AZ169" s="372"/>
      <c r="BA169" s="372">
        <f>Roles!$D$7</f>
        <v>0.12</v>
      </c>
      <c r="BB169" s="372"/>
      <c r="BC169" s="203">
        <f t="shared" si="16"/>
        <v>0</v>
      </c>
      <c r="BD169" s="372"/>
      <c r="BE169" s="372"/>
      <c r="BF169" s="372">
        <f>Roles!$D$7</f>
        <v>0.12</v>
      </c>
      <c r="BG169" s="372"/>
      <c r="BH169" s="203">
        <f t="shared" si="17"/>
        <v>0</v>
      </c>
      <c r="BI169" s="372"/>
      <c r="BJ169" s="372"/>
      <c r="BK169" s="372">
        <f>Roles!$D$7</f>
        <v>0.12</v>
      </c>
      <c r="BL169" s="372"/>
      <c r="BM169" s="203">
        <f t="shared" si="18"/>
        <v>0</v>
      </c>
      <c r="BN169" s="372"/>
      <c r="BO169" s="372"/>
      <c r="BP169" s="372">
        <f>Roles!$D$7</f>
        <v>0.12</v>
      </c>
      <c r="BQ169" s="372"/>
      <c r="BR169" s="203">
        <f t="shared" si="19"/>
        <v>0</v>
      </c>
      <c r="BS169" s="372"/>
      <c r="BT169" s="372"/>
      <c r="BU169" s="372">
        <f>Roles!$D$7</f>
        <v>0.12</v>
      </c>
      <c r="BV169" s="372"/>
      <c r="BW169" s="203">
        <f t="shared" si="20"/>
        <v>0</v>
      </c>
      <c r="BX169" s="372"/>
      <c r="BY169" s="372"/>
      <c r="BZ169" s="372">
        <f>Roles!$D$7</f>
        <v>0.12</v>
      </c>
      <c r="CA169" s="372"/>
      <c r="CB169" s="203">
        <f t="shared" si="21"/>
        <v>0</v>
      </c>
      <c r="CC169" s="372"/>
      <c r="CD169" s="372"/>
      <c r="CE169" s="372">
        <f>Roles!$D$7</f>
        <v>0.12</v>
      </c>
      <c r="CF169" s="372"/>
      <c r="CG169" s="203">
        <f t="shared" si="22"/>
        <v>0</v>
      </c>
      <c r="CH169" s="372"/>
      <c r="CI169" s="372"/>
      <c r="CJ169" s="372">
        <f>Roles!$D$7</f>
        <v>0.12</v>
      </c>
      <c r="CK169" s="372"/>
      <c r="CL169" s="203">
        <f t="shared" si="23"/>
        <v>0</v>
      </c>
      <c r="CM169" s="372"/>
      <c r="CN169" s="372"/>
      <c r="CO169" s="372">
        <f>Roles!$D$7</f>
        <v>0.12</v>
      </c>
      <c r="CP169" s="372"/>
      <c r="CQ169" s="203">
        <f t="shared" si="24"/>
        <v>0</v>
      </c>
      <c r="CR169" s="372"/>
      <c r="CS169" s="372"/>
      <c r="CT169" s="372">
        <f>Roles!$D$7</f>
        <v>0.12</v>
      </c>
      <c r="CU169" s="372"/>
      <c r="CV169" s="203">
        <f t="shared" si="25"/>
        <v>0</v>
      </c>
      <c r="CW169" s="372"/>
      <c r="CX169" s="372"/>
      <c r="CY169" s="372">
        <f>Roles!$D$7</f>
        <v>0.12</v>
      </c>
      <c r="CZ169" s="372"/>
      <c r="DA169" s="203">
        <f t="shared" si="26"/>
        <v>0</v>
      </c>
      <c r="DB169" s="372"/>
      <c r="DC169" s="372"/>
      <c r="DD169" s="372">
        <f>Roles!$D$7</f>
        <v>0.12</v>
      </c>
      <c r="DE169" s="372"/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 t="shared" si="1"/>
        <v>7</v>
      </c>
      <c r="F170" s="246">
        <f>SUM(F171:F173)</f>
        <v>51</v>
      </c>
      <c r="G170" s="105">
        <f t="shared" si="2"/>
        <v>0.04392764858</v>
      </c>
      <c r="H170" s="226">
        <f>H173</f>
        <v>0.6683893196</v>
      </c>
      <c r="I170" s="247">
        <f>SUM(I171:I173)</f>
        <v>1</v>
      </c>
      <c r="J170" s="247">
        <f>J173</f>
        <v>1026</v>
      </c>
      <c r="K170" s="167">
        <f t="shared" si="3"/>
        <v>0.9015817223</v>
      </c>
      <c r="L170" s="247">
        <f>SUM(L171:L173)</f>
        <v>0.44</v>
      </c>
      <c r="M170" s="247">
        <f>M173</f>
        <v>451.44</v>
      </c>
      <c r="N170" s="7"/>
      <c r="O170" s="203">
        <f t="shared" si="7"/>
        <v>0</v>
      </c>
      <c r="P170" s="372"/>
      <c r="Q170" s="372"/>
      <c r="R170" s="372">
        <f>Roles!$D$5</f>
        <v>0.44</v>
      </c>
      <c r="S170" s="372">
        <f t="shared" si="8"/>
        <v>0</v>
      </c>
      <c r="T170" s="203">
        <f t="shared" si="9"/>
        <v>0</v>
      </c>
      <c r="U170" s="372"/>
      <c r="V170" s="372"/>
      <c r="W170" s="372">
        <f>Roles!$D$7</f>
        <v>0.12</v>
      </c>
      <c r="X170" s="372"/>
      <c r="Y170" s="203">
        <f t="shared" si="10"/>
        <v>0</v>
      </c>
      <c r="Z170" s="372"/>
      <c r="AA170" s="372"/>
      <c r="AB170" s="372">
        <f>Roles!$D$7</f>
        <v>0.12</v>
      </c>
      <c r="AC170" s="372"/>
      <c r="AD170" s="203">
        <f t="shared" si="11"/>
        <v>0</v>
      </c>
      <c r="AE170" s="372"/>
      <c r="AF170" s="372"/>
      <c r="AG170" s="372">
        <f>Roles!$D$7</f>
        <v>0.12</v>
      </c>
      <c r="AH170" s="372"/>
      <c r="AI170" s="203">
        <f t="shared" si="12"/>
        <v>0</v>
      </c>
      <c r="AJ170" s="372"/>
      <c r="AK170" s="372"/>
      <c r="AL170" s="372">
        <f>Roles!$D$7</f>
        <v>0.12</v>
      </c>
      <c r="AM170" s="372"/>
      <c r="AN170" s="203">
        <f t="shared" si="13"/>
        <v>0</v>
      </c>
      <c r="AO170" s="372"/>
      <c r="AP170" s="372"/>
      <c r="AQ170" s="372">
        <f>Roles!$D$7</f>
        <v>0.12</v>
      </c>
      <c r="AR170" s="372"/>
      <c r="AS170" s="203">
        <f t="shared" si="14"/>
        <v>0</v>
      </c>
      <c r="AT170" s="372"/>
      <c r="AU170" s="372"/>
      <c r="AV170" s="372">
        <f>Roles!$D$7</f>
        <v>0.12</v>
      </c>
      <c r="AW170" s="372"/>
      <c r="AX170" s="203">
        <f t="shared" si="15"/>
        <v>0</v>
      </c>
      <c r="AY170" s="372"/>
      <c r="AZ170" s="372"/>
      <c r="BA170" s="372">
        <f>Roles!$D$7</f>
        <v>0.12</v>
      </c>
      <c r="BB170" s="372"/>
      <c r="BC170" s="203">
        <f t="shared" si="16"/>
        <v>0</v>
      </c>
      <c r="BD170" s="372"/>
      <c r="BE170" s="372"/>
      <c r="BF170" s="372">
        <f>Roles!$D$7</f>
        <v>0.12</v>
      </c>
      <c r="BG170" s="372"/>
      <c r="BH170" s="203">
        <f t="shared" si="17"/>
        <v>0</v>
      </c>
      <c r="BI170" s="372"/>
      <c r="BJ170" s="372"/>
      <c r="BK170" s="372">
        <f>Roles!$D$7</f>
        <v>0.12</v>
      </c>
      <c r="BL170" s="372"/>
      <c r="BM170" s="203">
        <f t="shared" si="18"/>
        <v>0</v>
      </c>
      <c r="BN170" s="372"/>
      <c r="BO170" s="372"/>
      <c r="BP170" s="372">
        <f>Roles!$D$7</f>
        <v>0.12</v>
      </c>
      <c r="BQ170" s="372"/>
      <c r="BR170" s="203">
        <f t="shared" si="19"/>
        <v>0</v>
      </c>
      <c r="BS170" s="372"/>
      <c r="BT170" s="372"/>
      <c r="BU170" s="372">
        <f>Roles!$D$7</f>
        <v>0.12</v>
      </c>
      <c r="BV170" s="372"/>
      <c r="BW170" s="203">
        <f t="shared" si="20"/>
        <v>0</v>
      </c>
      <c r="BX170" s="372"/>
      <c r="BY170" s="372"/>
      <c r="BZ170" s="372">
        <f>Roles!$D$7</f>
        <v>0.12</v>
      </c>
      <c r="CA170" s="372"/>
      <c r="CB170" s="203">
        <f t="shared" si="21"/>
        <v>0</v>
      </c>
      <c r="CC170" s="372"/>
      <c r="CD170" s="372"/>
      <c r="CE170" s="372">
        <f>Roles!$D$7</f>
        <v>0.12</v>
      </c>
      <c r="CF170" s="372"/>
      <c r="CG170" s="203">
        <f t="shared" si="22"/>
        <v>0</v>
      </c>
      <c r="CH170" s="372"/>
      <c r="CI170" s="372"/>
      <c r="CJ170" s="372">
        <f>Roles!$D$7</f>
        <v>0.12</v>
      </c>
      <c r="CK170" s="372"/>
      <c r="CL170" s="203">
        <f t="shared" si="23"/>
        <v>0</v>
      </c>
      <c r="CM170" s="372"/>
      <c r="CN170" s="372"/>
      <c r="CO170" s="372">
        <f>Roles!$D$7</f>
        <v>0.12</v>
      </c>
      <c r="CP170" s="372"/>
      <c r="CQ170" s="203">
        <f t="shared" si="24"/>
        <v>0</v>
      </c>
      <c r="CR170" s="372"/>
      <c r="CS170" s="372"/>
      <c r="CT170" s="372">
        <f>Roles!$D$7</f>
        <v>0.12</v>
      </c>
      <c r="CU170" s="372"/>
      <c r="CV170" s="203">
        <f t="shared" si="25"/>
        <v>0</v>
      </c>
      <c r="CW170" s="372"/>
      <c r="CX170" s="372"/>
      <c r="CY170" s="372">
        <f>Roles!$D$7</f>
        <v>0.12</v>
      </c>
      <c r="CZ170" s="372"/>
      <c r="DA170" s="203">
        <f t="shared" si="26"/>
        <v>0</v>
      </c>
      <c r="DB170" s="372"/>
      <c r="DC170" s="372"/>
      <c r="DD170" s="372">
        <f>Roles!$D$7</f>
        <v>0.12</v>
      </c>
      <c r="DE170" s="372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 t="shared" si="1"/>
        <v>1</v>
      </c>
      <c r="F171" s="80">
        <v>1.0</v>
      </c>
      <c r="G171" s="105">
        <f t="shared" si="2"/>
        <v>0.0008613264427</v>
      </c>
      <c r="H171" s="47">
        <f>H169+G171</f>
        <v>0.6253229974</v>
      </c>
      <c r="I171" s="231">
        <f t="shared" ref="I171:I173" si="160">P171+U171+Z171+AE171+AJ171+AO171+AT171+AY171+BD171+BI171+BN171+BS171+BX171+CC171+CH171+CM171+CR171+CW171+DB171</f>
        <v>1</v>
      </c>
      <c r="J171" s="172">
        <f>J169+I171</f>
        <v>1026</v>
      </c>
      <c r="K171" s="115">
        <f t="shared" si="3"/>
        <v>0.9015817223</v>
      </c>
      <c r="L171" s="232">
        <f t="shared" ref="L171:L173" si="161">S171+X171+AC171+AH171+AM171+AR171+AW171+BB171+BG171+BL171+BQ171+BV171+CA171+CF171+CK171+CP171+CU171+CZ171+DE171</f>
        <v>0.44</v>
      </c>
      <c r="M171" s="172">
        <f>M169+L171</f>
        <v>451.44</v>
      </c>
      <c r="N171" s="7"/>
      <c r="O171" s="203">
        <f t="shared" si="7"/>
        <v>1</v>
      </c>
      <c r="P171" s="378">
        <v>1.0</v>
      </c>
      <c r="Q171" s="372"/>
      <c r="R171" s="372">
        <f>Roles!$D$5</f>
        <v>0.44</v>
      </c>
      <c r="S171" s="372">
        <f t="shared" si="8"/>
        <v>0.44</v>
      </c>
      <c r="T171" s="203">
        <f t="shared" si="9"/>
        <v>0</v>
      </c>
      <c r="U171" s="372"/>
      <c r="V171" s="372"/>
      <c r="W171" s="372">
        <f>Roles!$D$7</f>
        <v>0.12</v>
      </c>
      <c r="X171" s="372"/>
      <c r="Y171" s="203">
        <f t="shared" si="10"/>
        <v>0</v>
      </c>
      <c r="Z171" s="372"/>
      <c r="AA171" s="372"/>
      <c r="AB171" s="372">
        <f>Roles!$D$7</f>
        <v>0.12</v>
      </c>
      <c r="AC171" s="372"/>
      <c r="AD171" s="203">
        <f t="shared" si="11"/>
        <v>0</v>
      </c>
      <c r="AE171" s="372"/>
      <c r="AF171" s="372"/>
      <c r="AG171" s="372">
        <f>Roles!$D$7</f>
        <v>0.12</v>
      </c>
      <c r="AH171" s="372"/>
      <c r="AI171" s="203">
        <f t="shared" si="12"/>
        <v>0</v>
      </c>
      <c r="AJ171" s="372"/>
      <c r="AK171" s="372"/>
      <c r="AL171" s="372">
        <f>Roles!$D$7</f>
        <v>0.12</v>
      </c>
      <c r="AM171" s="372"/>
      <c r="AN171" s="203">
        <f t="shared" si="13"/>
        <v>0</v>
      </c>
      <c r="AO171" s="372"/>
      <c r="AP171" s="372"/>
      <c r="AQ171" s="372">
        <f>Roles!$D$7</f>
        <v>0.12</v>
      </c>
      <c r="AR171" s="372"/>
      <c r="AS171" s="203">
        <f t="shared" si="14"/>
        <v>0</v>
      </c>
      <c r="AT171" s="372"/>
      <c r="AU171" s="372"/>
      <c r="AV171" s="372">
        <f>Roles!$D$7</f>
        <v>0.12</v>
      </c>
      <c r="AW171" s="372"/>
      <c r="AX171" s="203">
        <f t="shared" si="15"/>
        <v>0</v>
      </c>
      <c r="AY171" s="372"/>
      <c r="AZ171" s="372"/>
      <c r="BA171" s="372">
        <f>Roles!$D$7</f>
        <v>0.12</v>
      </c>
      <c r="BB171" s="372"/>
      <c r="BC171" s="203">
        <f t="shared" si="16"/>
        <v>0</v>
      </c>
      <c r="BD171" s="372"/>
      <c r="BE171" s="372"/>
      <c r="BF171" s="372">
        <f>Roles!$D$7</f>
        <v>0.12</v>
      </c>
      <c r="BG171" s="372"/>
      <c r="BH171" s="203">
        <f t="shared" si="17"/>
        <v>0</v>
      </c>
      <c r="BI171" s="372"/>
      <c r="BJ171" s="372"/>
      <c r="BK171" s="372">
        <f>Roles!$D$7</f>
        <v>0.12</v>
      </c>
      <c r="BL171" s="372"/>
      <c r="BM171" s="203">
        <f t="shared" si="18"/>
        <v>0</v>
      </c>
      <c r="BN171" s="372"/>
      <c r="BO171" s="372"/>
      <c r="BP171" s="372">
        <f>Roles!$D$7</f>
        <v>0.12</v>
      </c>
      <c r="BQ171" s="372"/>
      <c r="BR171" s="203">
        <f t="shared" si="19"/>
        <v>0</v>
      </c>
      <c r="BS171" s="372"/>
      <c r="BT171" s="372"/>
      <c r="BU171" s="372">
        <f>Roles!$D$7</f>
        <v>0.12</v>
      </c>
      <c r="BV171" s="372"/>
      <c r="BW171" s="203">
        <f t="shared" si="20"/>
        <v>0</v>
      </c>
      <c r="BX171" s="372"/>
      <c r="BY171" s="372"/>
      <c r="BZ171" s="372">
        <f>Roles!$D$7</f>
        <v>0.12</v>
      </c>
      <c r="CA171" s="372"/>
      <c r="CB171" s="203">
        <f t="shared" si="21"/>
        <v>0</v>
      </c>
      <c r="CC171" s="372"/>
      <c r="CD171" s="372"/>
      <c r="CE171" s="372">
        <f>Roles!$D$7</f>
        <v>0.12</v>
      </c>
      <c r="CF171" s="372"/>
      <c r="CG171" s="203">
        <f t="shared" si="22"/>
        <v>0</v>
      </c>
      <c r="CH171" s="372"/>
      <c r="CI171" s="372"/>
      <c r="CJ171" s="372">
        <f>Roles!$D$7</f>
        <v>0.12</v>
      </c>
      <c r="CK171" s="372"/>
      <c r="CL171" s="203">
        <f t="shared" si="23"/>
        <v>0</v>
      </c>
      <c r="CM171" s="372"/>
      <c r="CN171" s="372"/>
      <c r="CO171" s="372">
        <f>Roles!$D$7</f>
        <v>0.12</v>
      </c>
      <c r="CP171" s="372"/>
      <c r="CQ171" s="203">
        <f t="shared" si="24"/>
        <v>0</v>
      </c>
      <c r="CR171" s="372"/>
      <c r="CS171" s="372"/>
      <c r="CT171" s="372">
        <f>Roles!$D$7</f>
        <v>0.12</v>
      </c>
      <c r="CU171" s="372"/>
      <c r="CV171" s="203">
        <f t="shared" si="25"/>
        <v>0</v>
      </c>
      <c r="CW171" s="372"/>
      <c r="CX171" s="372"/>
      <c r="CY171" s="372">
        <f>Roles!$D$7</f>
        <v>0.12</v>
      </c>
      <c r="CZ171" s="372"/>
      <c r="DA171" s="203">
        <f t="shared" si="26"/>
        <v>0</v>
      </c>
      <c r="DB171" s="372"/>
      <c r="DC171" s="372"/>
      <c r="DD171" s="372">
        <f>Roles!$D$7</f>
        <v>0.12</v>
      </c>
      <c r="DE171" s="372"/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 t="shared" si="1"/>
        <v>4</v>
      </c>
      <c r="F172" s="80">
        <v>25.0</v>
      </c>
      <c r="G172" s="105">
        <f t="shared" si="2"/>
        <v>0.02153316107</v>
      </c>
      <c r="H172" s="47">
        <f t="shared" ref="H172:H173" si="162">H171+G172</f>
        <v>0.6468561585</v>
      </c>
      <c r="I172" s="231">
        <f t="shared" si="160"/>
        <v>0</v>
      </c>
      <c r="J172" s="172">
        <f t="shared" ref="J172:J173" si="163">J171+I172</f>
        <v>1026</v>
      </c>
      <c r="K172" s="115">
        <f t="shared" si="3"/>
        <v>0.9015817223</v>
      </c>
      <c r="L172" s="232">
        <f t="shared" si="161"/>
        <v>0</v>
      </c>
      <c r="M172" s="172">
        <f t="shared" ref="M172:M173" si="164">M171+L172</f>
        <v>451.44</v>
      </c>
      <c r="N172" s="7"/>
      <c r="O172" s="203">
        <f t="shared" si="7"/>
        <v>0</v>
      </c>
      <c r="P172" s="378">
        <v>0.0</v>
      </c>
      <c r="Q172" s="372"/>
      <c r="R172" s="372">
        <f>Roles!$D$5</f>
        <v>0.44</v>
      </c>
      <c r="S172" s="372">
        <f t="shared" si="8"/>
        <v>0</v>
      </c>
      <c r="T172" s="203">
        <f t="shared" si="9"/>
        <v>0</v>
      </c>
      <c r="U172" s="372"/>
      <c r="V172" s="372"/>
      <c r="W172" s="372">
        <f>Roles!$D$7</f>
        <v>0.12</v>
      </c>
      <c r="X172" s="372"/>
      <c r="Y172" s="203">
        <f t="shared" si="10"/>
        <v>0</v>
      </c>
      <c r="Z172" s="372"/>
      <c r="AA172" s="372"/>
      <c r="AB172" s="372">
        <f>Roles!$D$7</f>
        <v>0.12</v>
      </c>
      <c r="AC172" s="372"/>
      <c r="AD172" s="203">
        <f t="shared" si="11"/>
        <v>0</v>
      </c>
      <c r="AE172" s="372"/>
      <c r="AF172" s="372"/>
      <c r="AG172" s="372">
        <f>Roles!$D$7</f>
        <v>0.12</v>
      </c>
      <c r="AH172" s="372"/>
      <c r="AI172" s="203">
        <f t="shared" si="12"/>
        <v>0</v>
      </c>
      <c r="AJ172" s="372"/>
      <c r="AK172" s="372"/>
      <c r="AL172" s="372">
        <f>Roles!$D$7</f>
        <v>0.12</v>
      </c>
      <c r="AM172" s="372"/>
      <c r="AN172" s="203">
        <f t="shared" si="13"/>
        <v>0</v>
      </c>
      <c r="AO172" s="372"/>
      <c r="AP172" s="372"/>
      <c r="AQ172" s="372">
        <f>Roles!$D$7</f>
        <v>0.12</v>
      </c>
      <c r="AR172" s="372"/>
      <c r="AS172" s="203">
        <f t="shared" si="14"/>
        <v>0</v>
      </c>
      <c r="AT172" s="372"/>
      <c r="AU172" s="372"/>
      <c r="AV172" s="372">
        <f>Roles!$D$7</f>
        <v>0.12</v>
      </c>
      <c r="AW172" s="372"/>
      <c r="AX172" s="203">
        <f t="shared" si="15"/>
        <v>0</v>
      </c>
      <c r="AY172" s="372"/>
      <c r="AZ172" s="372"/>
      <c r="BA172" s="372">
        <f>Roles!$D$7</f>
        <v>0.12</v>
      </c>
      <c r="BB172" s="372"/>
      <c r="BC172" s="203">
        <f t="shared" si="16"/>
        <v>0</v>
      </c>
      <c r="BD172" s="372"/>
      <c r="BE172" s="372"/>
      <c r="BF172" s="372">
        <f>Roles!$D$7</f>
        <v>0.12</v>
      </c>
      <c r="BG172" s="372"/>
      <c r="BH172" s="203">
        <f t="shared" si="17"/>
        <v>0</v>
      </c>
      <c r="BI172" s="372"/>
      <c r="BJ172" s="372"/>
      <c r="BK172" s="372">
        <f>Roles!$D$7</f>
        <v>0.12</v>
      </c>
      <c r="BL172" s="372"/>
      <c r="BM172" s="203">
        <f t="shared" si="18"/>
        <v>0</v>
      </c>
      <c r="BN172" s="372"/>
      <c r="BO172" s="372"/>
      <c r="BP172" s="372">
        <f>Roles!$D$7</f>
        <v>0.12</v>
      </c>
      <c r="BQ172" s="372"/>
      <c r="BR172" s="203">
        <f t="shared" si="19"/>
        <v>0</v>
      </c>
      <c r="BS172" s="372"/>
      <c r="BT172" s="372"/>
      <c r="BU172" s="372">
        <f>Roles!$D$7</f>
        <v>0.12</v>
      </c>
      <c r="BV172" s="372"/>
      <c r="BW172" s="203">
        <f t="shared" si="20"/>
        <v>0</v>
      </c>
      <c r="BX172" s="372"/>
      <c r="BY172" s="372"/>
      <c r="BZ172" s="372">
        <f>Roles!$D$7</f>
        <v>0.12</v>
      </c>
      <c r="CA172" s="372"/>
      <c r="CB172" s="203">
        <f t="shared" si="21"/>
        <v>0</v>
      </c>
      <c r="CC172" s="372"/>
      <c r="CD172" s="372"/>
      <c r="CE172" s="372">
        <f>Roles!$D$7</f>
        <v>0.12</v>
      </c>
      <c r="CF172" s="372"/>
      <c r="CG172" s="203">
        <f t="shared" si="22"/>
        <v>0</v>
      </c>
      <c r="CH172" s="372"/>
      <c r="CI172" s="372"/>
      <c r="CJ172" s="372">
        <f>Roles!$D$7</f>
        <v>0.12</v>
      </c>
      <c r="CK172" s="372"/>
      <c r="CL172" s="203">
        <f t="shared" si="23"/>
        <v>0</v>
      </c>
      <c r="CM172" s="372"/>
      <c r="CN172" s="372"/>
      <c r="CO172" s="372">
        <f>Roles!$D$7</f>
        <v>0.12</v>
      </c>
      <c r="CP172" s="372"/>
      <c r="CQ172" s="203">
        <f t="shared" si="24"/>
        <v>0</v>
      </c>
      <c r="CR172" s="372"/>
      <c r="CS172" s="372"/>
      <c r="CT172" s="372">
        <f>Roles!$D$7</f>
        <v>0.12</v>
      </c>
      <c r="CU172" s="372"/>
      <c r="CV172" s="203">
        <f t="shared" si="25"/>
        <v>0</v>
      </c>
      <c r="CW172" s="372"/>
      <c r="CX172" s="372"/>
      <c r="CY172" s="372">
        <f>Roles!$D$7</f>
        <v>0.12</v>
      </c>
      <c r="CZ172" s="372"/>
      <c r="DA172" s="203">
        <f t="shared" si="26"/>
        <v>0</v>
      </c>
      <c r="DB172" s="372"/>
      <c r="DC172" s="372"/>
      <c r="DD172" s="372">
        <f>Roles!$D$7</f>
        <v>0.12</v>
      </c>
      <c r="DE172" s="372"/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 t="shared" si="1"/>
        <v>3</v>
      </c>
      <c r="F173" s="80">
        <v>25.0</v>
      </c>
      <c r="G173" s="105">
        <f t="shared" si="2"/>
        <v>0.02153316107</v>
      </c>
      <c r="H173" s="47">
        <f t="shared" si="162"/>
        <v>0.6683893196</v>
      </c>
      <c r="I173" s="231">
        <f t="shared" si="160"/>
        <v>0</v>
      </c>
      <c r="J173" s="172">
        <f t="shared" si="163"/>
        <v>1026</v>
      </c>
      <c r="K173" s="115">
        <f t="shared" si="3"/>
        <v>0.9015817223</v>
      </c>
      <c r="L173" s="232">
        <f t="shared" si="161"/>
        <v>0</v>
      </c>
      <c r="M173" s="172">
        <f t="shared" si="164"/>
        <v>451.44</v>
      </c>
      <c r="N173" s="7"/>
      <c r="O173" s="203">
        <f t="shared" si="7"/>
        <v>0</v>
      </c>
      <c r="P173" s="378">
        <v>0.0</v>
      </c>
      <c r="Q173" s="372"/>
      <c r="R173" s="372">
        <f>Roles!$D$5</f>
        <v>0.44</v>
      </c>
      <c r="S173" s="372">
        <f t="shared" si="8"/>
        <v>0</v>
      </c>
      <c r="T173" s="203">
        <f t="shared" si="9"/>
        <v>0</v>
      </c>
      <c r="U173" s="372"/>
      <c r="V173" s="372"/>
      <c r="W173" s="372">
        <f>Roles!$D$7</f>
        <v>0.12</v>
      </c>
      <c r="X173" s="372"/>
      <c r="Y173" s="203">
        <f t="shared" si="10"/>
        <v>0</v>
      </c>
      <c r="Z173" s="372"/>
      <c r="AA173" s="372"/>
      <c r="AB173" s="372">
        <f>Roles!$D$7</f>
        <v>0.12</v>
      </c>
      <c r="AC173" s="372"/>
      <c r="AD173" s="203">
        <f t="shared" si="11"/>
        <v>0</v>
      </c>
      <c r="AE173" s="372"/>
      <c r="AF173" s="372"/>
      <c r="AG173" s="372">
        <f>Roles!$D$7</f>
        <v>0.12</v>
      </c>
      <c r="AH173" s="372"/>
      <c r="AI173" s="203">
        <f t="shared" si="12"/>
        <v>0</v>
      </c>
      <c r="AJ173" s="372"/>
      <c r="AK173" s="372"/>
      <c r="AL173" s="372">
        <f>Roles!$D$7</f>
        <v>0.12</v>
      </c>
      <c r="AM173" s="372"/>
      <c r="AN173" s="203">
        <f t="shared" si="13"/>
        <v>0</v>
      </c>
      <c r="AO173" s="372"/>
      <c r="AP173" s="372"/>
      <c r="AQ173" s="372">
        <f>Roles!$D$7</f>
        <v>0.12</v>
      </c>
      <c r="AR173" s="372"/>
      <c r="AS173" s="203">
        <f t="shared" si="14"/>
        <v>0</v>
      </c>
      <c r="AT173" s="372"/>
      <c r="AU173" s="372"/>
      <c r="AV173" s="372">
        <f>Roles!$D$7</f>
        <v>0.12</v>
      </c>
      <c r="AW173" s="372"/>
      <c r="AX173" s="203">
        <f t="shared" si="15"/>
        <v>0</v>
      </c>
      <c r="AY173" s="372"/>
      <c r="AZ173" s="372"/>
      <c r="BA173" s="372">
        <f>Roles!$D$7</f>
        <v>0.12</v>
      </c>
      <c r="BB173" s="372"/>
      <c r="BC173" s="203">
        <f t="shared" si="16"/>
        <v>0</v>
      </c>
      <c r="BD173" s="372"/>
      <c r="BE173" s="372"/>
      <c r="BF173" s="372">
        <f>Roles!$D$7</f>
        <v>0.12</v>
      </c>
      <c r="BG173" s="372"/>
      <c r="BH173" s="203">
        <f t="shared" si="17"/>
        <v>0</v>
      </c>
      <c r="BI173" s="372"/>
      <c r="BJ173" s="372"/>
      <c r="BK173" s="372">
        <f>Roles!$D$7</f>
        <v>0.12</v>
      </c>
      <c r="BL173" s="372"/>
      <c r="BM173" s="203">
        <f t="shared" si="18"/>
        <v>0</v>
      </c>
      <c r="BN173" s="372"/>
      <c r="BO173" s="372"/>
      <c r="BP173" s="372">
        <f>Roles!$D$7</f>
        <v>0.12</v>
      </c>
      <c r="BQ173" s="372"/>
      <c r="BR173" s="203">
        <f t="shared" si="19"/>
        <v>0</v>
      </c>
      <c r="BS173" s="372"/>
      <c r="BT173" s="372"/>
      <c r="BU173" s="372">
        <f>Roles!$D$7</f>
        <v>0.12</v>
      </c>
      <c r="BV173" s="372"/>
      <c r="BW173" s="203">
        <f t="shared" si="20"/>
        <v>0</v>
      </c>
      <c r="BX173" s="372"/>
      <c r="BY173" s="372"/>
      <c r="BZ173" s="372">
        <f>Roles!$D$7</f>
        <v>0.12</v>
      </c>
      <c r="CA173" s="372"/>
      <c r="CB173" s="203">
        <f t="shared" si="21"/>
        <v>0</v>
      </c>
      <c r="CC173" s="372"/>
      <c r="CD173" s="372"/>
      <c r="CE173" s="372">
        <f>Roles!$D$7</f>
        <v>0.12</v>
      </c>
      <c r="CF173" s="372"/>
      <c r="CG173" s="203">
        <f t="shared" si="22"/>
        <v>0</v>
      </c>
      <c r="CH173" s="372"/>
      <c r="CI173" s="372"/>
      <c r="CJ173" s="372">
        <f>Roles!$D$7</f>
        <v>0.12</v>
      </c>
      <c r="CK173" s="372"/>
      <c r="CL173" s="203">
        <f t="shared" si="23"/>
        <v>0</v>
      </c>
      <c r="CM173" s="372"/>
      <c r="CN173" s="372"/>
      <c r="CO173" s="372">
        <f>Roles!$D$7</f>
        <v>0.12</v>
      </c>
      <c r="CP173" s="372"/>
      <c r="CQ173" s="203">
        <f t="shared" si="24"/>
        <v>0</v>
      </c>
      <c r="CR173" s="372"/>
      <c r="CS173" s="372"/>
      <c r="CT173" s="372">
        <f>Roles!$D$7</f>
        <v>0.12</v>
      </c>
      <c r="CU173" s="372"/>
      <c r="CV173" s="203">
        <f t="shared" si="25"/>
        <v>0</v>
      </c>
      <c r="CW173" s="372"/>
      <c r="CX173" s="372"/>
      <c r="CY173" s="372">
        <f>Roles!$D$7</f>
        <v>0.12</v>
      </c>
      <c r="CZ173" s="372"/>
      <c r="DA173" s="203">
        <f t="shared" si="26"/>
        <v>0</v>
      </c>
      <c r="DB173" s="372"/>
      <c r="DC173" s="372"/>
      <c r="DD173" s="372">
        <f>Roles!$D$7</f>
        <v>0.12</v>
      </c>
      <c r="DE173" s="372"/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 t="shared" si="1"/>
        <v>4</v>
      </c>
      <c r="F174" s="246">
        <f>SUM(F175:F178)</f>
        <v>28</v>
      </c>
      <c r="G174" s="105">
        <f t="shared" si="2"/>
        <v>0.0241171404</v>
      </c>
      <c r="H174" s="226">
        <f>H178</f>
        <v>0.6925064599</v>
      </c>
      <c r="I174" s="247">
        <f>SUM(I175:I178)</f>
        <v>1</v>
      </c>
      <c r="J174" s="247">
        <f>J178</f>
        <v>1027</v>
      </c>
      <c r="K174" s="167">
        <f t="shared" si="3"/>
        <v>0.9024604569</v>
      </c>
      <c r="L174" s="247">
        <f>SUM(L175:L178)</f>
        <v>0.44</v>
      </c>
      <c r="M174" s="247">
        <f>M178</f>
        <v>451.88</v>
      </c>
      <c r="N174" s="7"/>
      <c r="O174" s="203">
        <f t="shared" si="7"/>
        <v>0</v>
      </c>
      <c r="P174" s="372"/>
      <c r="Q174" s="372"/>
      <c r="R174" s="372">
        <f>Roles!$D$5</f>
        <v>0.44</v>
      </c>
      <c r="S174" s="372">
        <f t="shared" si="8"/>
        <v>0</v>
      </c>
      <c r="T174" s="203">
        <f t="shared" si="9"/>
        <v>0</v>
      </c>
      <c r="U174" s="372"/>
      <c r="V174" s="372"/>
      <c r="W174" s="372">
        <f>Roles!$D$7</f>
        <v>0.12</v>
      </c>
      <c r="X174" s="372"/>
      <c r="Y174" s="203">
        <f t="shared" si="10"/>
        <v>0</v>
      </c>
      <c r="Z174" s="372"/>
      <c r="AA174" s="372"/>
      <c r="AB174" s="372">
        <f>Roles!$D$7</f>
        <v>0.12</v>
      </c>
      <c r="AC174" s="372"/>
      <c r="AD174" s="203">
        <f t="shared" si="11"/>
        <v>0</v>
      </c>
      <c r="AE174" s="372"/>
      <c r="AF174" s="372"/>
      <c r="AG174" s="372">
        <f>Roles!$D$7</f>
        <v>0.12</v>
      </c>
      <c r="AH174" s="372"/>
      <c r="AI174" s="203">
        <f t="shared" si="12"/>
        <v>0</v>
      </c>
      <c r="AJ174" s="372"/>
      <c r="AK174" s="372"/>
      <c r="AL174" s="372">
        <f>Roles!$D$7</f>
        <v>0.12</v>
      </c>
      <c r="AM174" s="372"/>
      <c r="AN174" s="203">
        <f t="shared" si="13"/>
        <v>0</v>
      </c>
      <c r="AO174" s="372"/>
      <c r="AP174" s="372"/>
      <c r="AQ174" s="372">
        <f>Roles!$D$7</f>
        <v>0.12</v>
      </c>
      <c r="AR174" s="372"/>
      <c r="AS174" s="203">
        <f t="shared" si="14"/>
        <v>0</v>
      </c>
      <c r="AT174" s="372"/>
      <c r="AU174" s="372"/>
      <c r="AV174" s="372">
        <f>Roles!$D$7</f>
        <v>0.12</v>
      </c>
      <c r="AW174" s="372"/>
      <c r="AX174" s="203">
        <f t="shared" si="15"/>
        <v>0</v>
      </c>
      <c r="AY174" s="372"/>
      <c r="AZ174" s="372"/>
      <c r="BA174" s="372">
        <f>Roles!$D$7</f>
        <v>0.12</v>
      </c>
      <c r="BB174" s="372"/>
      <c r="BC174" s="203">
        <f t="shared" si="16"/>
        <v>0</v>
      </c>
      <c r="BD174" s="372"/>
      <c r="BE174" s="372"/>
      <c r="BF174" s="372">
        <f>Roles!$D$7</f>
        <v>0.12</v>
      </c>
      <c r="BG174" s="372"/>
      <c r="BH174" s="203">
        <f t="shared" si="17"/>
        <v>0</v>
      </c>
      <c r="BI174" s="372"/>
      <c r="BJ174" s="372"/>
      <c r="BK174" s="372">
        <f>Roles!$D$7</f>
        <v>0.12</v>
      </c>
      <c r="BL174" s="372"/>
      <c r="BM174" s="203">
        <f t="shared" si="18"/>
        <v>0</v>
      </c>
      <c r="BN174" s="372"/>
      <c r="BO174" s="372"/>
      <c r="BP174" s="372">
        <f>Roles!$D$7</f>
        <v>0.12</v>
      </c>
      <c r="BQ174" s="372"/>
      <c r="BR174" s="203">
        <f t="shared" si="19"/>
        <v>0</v>
      </c>
      <c r="BS174" s="372"/>
      <c r="BT174" s="372"/>
      <c r="BU174" s="372">
        <f>Roles!$D$7</f>
        <v>0.12</v>
      </c>
      <c r="BV174" s="372"/>
      <c r="BW174" s="203">
        <f t="shared" si="20"/>
        <v>0</v>
      </c>
      <c r="BX174" s="372"/>
      <c r="BY174" s="372"/>
      <c r="BZ174" s="372">
        <f>Roles!$D$7</f>
        <v>0.12</v>
      </c>
      <c r="CA174" s="372"/>
      <c r="CB174" s="203">
        <f t="shared" si="21"/>
        <v>0</v>
      </c>
      <c r="CC174" s="372"/>
      <c r="CD174" s="372"/>
      <c r="CE174" s="372">
        <f>Roles!$D$7</f>
        <v>0.12</v>
      </c>
      <c r="CF174" s="372"/>
      <c r="CG174" s="203">
        <f t="shared" si="22"/>
        <v>0</v>
      </c>
      <c r="CH174" s="372"/>
      <c r="CI174" s="372"/>
      <c r="CJ174" s="372">
        <f>Roles!$D$7</f>
        <v>0.12</v>
      </c>
      <c r="CK174" s="372"/>
      <c r="CL174" s="203">
        <f t="shared" si="23"/>
        <v>0</v>
      </c>
      <c r="CM174" s="372"/>
      <c r="CN174" s="372"/>
      <c r="CO174" s="372">
        <f>Roles!$D$7</f>
        <v>0.12</v>
      </c>
      <c r="CP174" s="372"/>
      <c r="CQ174" s="203">
        <f t="shared" si="24"/>
        <v>0</v>
      </c>
      <c r="CR174" s="372"/>
      <c r="CS174" s="372"/>
      <c r="CT174" s="372">
        <f>Roles!$D$7</f>
        <v>0.12</v>
      </c>
      <c r="CU174" s="372"/>
      <c r="CV174" s="203">
        <f t="shared" si="25"/>
        <v>0</v>
      </c>
      <c r="CW174" s="372"/>
      <c r="CX174" s="372"/>
      <c r="CY174" s="372">
        <f>Roles!$D$7</f>
        <v>0.12</v>
      </c>
      <c r="CZ174" s="372"/>
      <c r="DA174" s="203">
        <f t="shared" si="26"/>
        <v>0</v>
      </c>
      <c r="DB174" s="372"/>
      <c r="DC174" s="372"/>
      <c r="DD174" s="372">
        <f>Roles!$D$7</f>
        <v>0.12</v>
      </c>
      <c r="DE174" s="372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 t="shared" si="1"/>
        <v>1</v>
      </c>
      <c r="F175" s="80">
        <v>1.0</v>
      </c>
      <c r="G175" s="105">
        <f t="shared" si="2"/>
        <v>0.0008613264427</v>
      </c>
      <c r="H175" s="47">
        <f>H173+G175</f>
        <v>0.669250646</v>
      </c>
      <c r="I175" s="231">
        <f t="shared" ref="I175:I178" si="165">P175+U175+Z175+AE175+AJ175+AO175+AT175+AY175+BD175+BI175+BN175+BS175+BX175+CC175+CH175+CM175+CR175+CW175+DB175</f>
        <v>1</v>
      </c>
      <c r="J175" s="172">
        <f>J173+I175</f>
        <v>1027</v>
      </c>
      <c r="K175" s="115">
        <f t="shared" si="3"/>
        <v>0.9024604569</v>
      </c>
      <c r="L175" s="232">
        <f t="shared" ref="L175:L178" si="166">S175+X175+AC175+AH175+AM175+AR175+AW175+BB175+BG175+BL175+BQ175+BV175+CA175+CF175+CK175+CP175+CU175+CZ175+DE175</f>
        <v>0.44</v>
      </c>
      <c r="M175" s="172">
        <f>M173+L175</f>
        <v>451.88</v>
      </c>
      <c r="N175" s="7"/>
      <c r="O175" s="203">
        <f t="shared" si="7"/>
        <v>1</v>
      </c>
      <c r="P175" s="378">
        <v>1.0</v>
      </c>
      <c r="Q175" s="372"/>
      <c r="R175" s="372">
        <f>Roles!$D$5</f>
        <v>0.44</v>
      </c>
      <c r="S175" s="372">
        <f t="shared" si="8"/>
        <v>0.44</v>
      </c>
      <c r="T175" s="203">
        <f t="shared" si="9"/>
        <v>0</v>
      </c>
      <c r="U175" s="372"/>
      <c r="V175" s="372"/>
      <c r="W175" s="372">
        <f>Roles!$D$7</f>
        <v>0.12</v>
      </c>
      <c r="X175" s="372"/>
      <c r="Y175" s="203">
        <f t="shared" si="10"/>
        <v>0</v>
      </c>
      <c r="Z175" s="372"/>
      <c r="AA175" s="372"/>
      <c r="AB175" s="372">
        <f>Roles!$D$7</f>
        <v>0.12</v>
      </c>
      <c r="AC175" s="372"/>
      <c r="AD175" s="203">
        <f t="shared" si="11"/>
        <v>0</v>
      </c>
      <c r="AE175" s="372"/>
      <c r="AF175" s="372"/>
      <c r="AG175" s="372">
        <f>Roles!$D$7</f>
        <v>0.12</v>
      </c>
      <c r="AH175" s="372"/>
      <c r="AI175" s="203">
        <f t="shared" si="12"/>
        <v>0</v>
      </c>
      <c r="AJ175" s="372"/>
      <c r="AK175" s="372"/>
      <c r="AL175" s="372">
        <f>Roles!$D$7</f>
        <v>0.12</v>
      </c>
      <c r="AM175" s="372"/>
      <c r="AN175" s="203">
        <f t="shared" si="13"/>
        <v>0</v>
      </c>
      <c r="AO175" s="372"/>
      <c r="AP175" s="372"/>
      <c r="AQ175" s="372">
        <f>Roles!$D$7</f>
        <v>0.12</v>
      </c>
      <c r="AR175" s="372"/>
      <c r="AS175" s="203">
        <f t="shared" si="14"/>
        <v>0</v>
      </c>
      <c r="AT175" s="372"/>
      <c r="AU175" s="372"/>
      <c r="AV175" s="372">
        <f>Roles!$D$7</f>
        <v>0.12</v>
      </c>
      <c r="AW175" s="372"/>
      <c r="AX175" s="203">
        <f t="shared" si="15"/>
        <v>0</v>
      </c>
      <c r="AY175" s="372"/>
      <c r="AZ175" s="372"/>
      <c r="BA175" s="372">
        <f>Roles!$D$7</f>
        <v>0.12</v>
      </c>
      <c r="BB175" s="372"/>
      <c r="BC175" s="203">
        <f t="shared" si="16"/>
        <v>0</v>
      </c>
      <c r="BD175" s="372"/>
      <c r="BE175" s="372"/>
      <c r="BF175" s="372">
        <f>Roles!$D$7</f>
        <v>0.12</v>
      </c>
      <c r="BG175" s="372"/>
      <c r="BH175" s="203">
        <f t="shared" si="17"/>
        <v>0</v>
      </c>
      <c r="BI175" s="372"/>
      <c r="BJ175" s="372"/>
      <c r="BK175" s="372">
        <f>Roles!$D$7</f>
        <v>0.12</v>
      </c>
      <c r="BL175" s="372"/>
      <c r="BM175" s="203">
        <f t="shared" si="18"/>
        <v>0</v>
      </c>
      <c r="BN175" s="372"/>
      <c r="BO175" s="372"/>
      <c r="BP175" s="372">
        <f>Roles!$D$7</f>
        <v>0.12</v>
      </c>
      <c r="BQ175" s="372"/>
      <c r="BR175" s="203">
        <f t="shared" si="19"/>
        <v>0</v>
      </c>
      <c r="BS175" s="372"/>
      <c r="BT175" s="372"/>
      <c r="BU175" s="372">
        <f>Roles!$D$7</f>
        <v>0.12</v>
      </c>
      <c r="BV175" s="372"/>
      <c r="BW175" s="203">
        <f t="shared" si="20"/>
        <v>0</v>
      </c>
      <c r="BX175" s="372"/>
      <c r="BY175" s="372"/>
      <c r="BZ175" s="372">
        <f>Roles!$D$7</f>
        <v>0.12</v>
      </c>
      <c r="CA175" s="372"/>
      <c r="CB175" s="203">
        <f t="shared" si="21"/>
        <v>0</v>
      </c>
      <c r="CC175" s="372"/>
      <c r="CD175" s="372"/>
      <c r="CE175" s="372">
        <f>Roles!$D$7</f>
        <v>0.12</v>
      </c>
      <c r="CF175" s="372"/>
      <c r="CG175" s="203">
        <f t="shared" si="22"/>
        <v>0</v>
      </c>
      <c r="CH175" s="372"/>
      <c r="CI175" s="372"/>
      <c r="CJ175" s="372">
        <f>Roles!$D$7</f>
        <v>0.12</v>
      </c>
      <c r="CK175" s="372"/>
      <c r="CL175" s="203">
        <f t="shared" si="23"/>
        <v>0</v>
      </c>
      <c r="CM175" s="372"/>
      <c r="CN175" s="372"/>
      <c r="CO175" s="372">
        <f>Roles!$D$7</f>
        <v>0.12</v>
      </c>
      <c r="CP175" s="372"/>
      <c r="CQ175" s="203">
        <f t="shared" si="24"/>
        <v>0</v>
      </c>
      <c r="CR175" s="372"/>
      <c r="CS175" s="372"/>
      <c r="CT175" s="372">
        <f>Roles!$D$7</f>
        <v>0.12</v>
      </c>
      <c r="CU175" s="372"/>
      <c r="CV175" s="203">
        <f t="shared" si="25"/>
        <v>0</v>
      </c>
      <c r="CW175" s="372"/>
      <c r="CX175" s="372"/>
      <c r="CY175" s="372">
        <f>Roles!$D$7</f>
        <v>0.12</v>
      </c>
      <c r="CZ175" s="372"/>
      <c r="DA175" s="203">
        <f t="shared" si="26"/>
        <v>0</v>
      </c>
      <c r="DB175" s="372"/>
      <c r="DC175" s="372"/>
      <c r="DD175" s="372">
        <f>Roles!$D$7</f>
        <v>0.12</v>
      </c>
      <c r="DE175" s="372"/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 t="shared" si="1"/>
        <v>2</v>
      </c>
      <c r="F176" s="80">
        <v>15.0</v>
      </c>
      <c r="G176" s="105">
        <f t="shared" si="2"/>
        <v>0.01291989664</v>
      </c>
      <c r="H176" s="47">
        <f t="shared" ref="H176:H178" si="167">H175+G176</f>
        <v>0.6821705426</v>
      </c>
      <c r="I176" s="231">
        <f t="shared" si="165"/>
        <v>0</v>
      </c>
      <c r="J176" s="172">
        <f t="shared" ref="J176:J178" si="168">J175+I176</f>
        <v>1027</v>
      </c>
      <c r="K176" s="115">
        <f t="shared" si="3"/>
        <v>0.9024604569</v>
      </c>
      <c r="L176" s="232">
        <f t="shared" si="166"/>
        <v>0</v>
      </c>
      <c r="M176" s="172">
        <f t="shared" ref="M176:M178" si="169">M175+L176</f>
        <v>451.88</v>
      </c>
      <c r="N176" s="7"/>
      <c r="O176" s="203">
        <f t="shared" si="7"/>
        <v>0</v>
      </c>
      <c r="P176" s="378">
        <v>0.0</v>
      </c>
      <c r="Q176" s="372"/>
      <c r="R176" s="372">
        <f>Roles!$D$5</f>
        <v>0.44</v>
      </c>
      <c r="S176" s="372">
        <f t="shared" si="8"/>
        <v>0</v>
      </c>
      <c r="T176" s="203">
        <f t="shared" si="9"/>
        <v>0</v>
      </c>
      <c r="U176" s="372"/>
      <c r="V176" s="372"/>
      <c r="W176" s="372">
        <f>Roles!$D$7</f>
        <v>0.12</v>
      </c>
      <c r="X176" s="372"/>
      <c r="Y176" s="203">
        <f t="shared" si="10"/>
        <v>0</v>
      </c>
      <c r="Z176" s="372"/>
      <c r="AA176" s="372"/>
      <c r="AB176" s="372">
        <f>Roles!$D$7</f>
        <v>0.12</v>
      </c>
      <c r="AC176" s="372"/>
      <c r="AD176" s="203">
        <f t="shared" si="11"/>
        <v>0</v>
      </c>
      <c r="AE176" s="372"/>
      <c r="AF176" s="372"/>
      <c r="AG176" s="372">
        <f>Roles!$D$7</f>
        <v>0.12</v>
      </c>
      <c r="AH176" s="372"/>
      <c r="AI176" s="203">
        <f t="shared" si="12"/>
        <v>0</v>
      </c>
      <c r="AJ176" s="372"/>
      <c r="AK176" s="372"/>
      <c r="AL176" s="372">
        <f>Roles!$D$7</f>
        <v>0.12</v>
      </c>
      <c r="AM176" s="372"/>
      <c r="AN176" s="203">
        <f t="shared" si="13"/>
        <v>0</v>
      </c>
      <c r="AO176" s="372"/>
      <c r="AP176" s="372"/>
      <c r="AQ176" s="372">
        <f>Roles!$D$7</f>
        <v>0.12</v>
      </c>
      <c r="AR176" s="372"/>
      <c r="AS176" s="203">
        <f t="shared" si="14"/>
        <v>0</v>
      </c>
      <c r="AT176" s="372"/>
      <c r="AU176" s="372"/>
      <c r="AV176" s="372">
        <f>Roles!$D$7</f>
        <v>0.12</v>
      </c>
      <c r="AW176" s="372"/>
      <c r="AX176" s="203">
        <f t="shared" si="15"/>
        <v>0</v>
      </c>
      <c r="AY176" s="372"/>
      <c r="AZ176" s="372"/>
      <c r="BA176" s="372">
        <f>Roles!$D$7</f>
        <v>0.12</v>
      </c>
      <c r="BB176" s="372"/>
      <c r="BC176" s="203">
        <f t="shared" si="16"/>
        <v>0</v>
      </c>
      <c r="BD176" s="372"/>
      <c r="BE176" s="372"/>
      <c r="BF176" s="372">
        <f>Roles!$D$7</f>
        <v>0.12</v>
      </c>
      <c r="BG176" s="372"/>
      <c r="BH176" s="203">
        <f t="shared" si="17"/>
        <v>0</v>
      </c>
      <c r="BI176" s="372"/>
      <c r="BJ176" s="372"/>
      <c r="BK176" s="372">
        <f>Roles!$D$7</f>
        <v>0.12</v>
      </c>
      <c r="BL176" s="372"/>
      <c r="BM176" s="203">
        <f t="shared" si="18"/>
        <v>0</v>
      </c>
      <c r="BN176" s="372"/>
      <c r="BO176" s="372"/>
      <c r="BP176" s="372">
        <f>Roles!$D$7</f>
        <v>0.12</v>
      </c>
      <c r="BQ176" s="372"/>
      <c r="BR176" s="203">
        <f t="shared" si="19"/>
        <v>0</v>
      </c>
      <c r="BS176" s="372"/>
      <c r="BT176" s="372"/>
      <c r="BU176" s="372">
        <f>Roles!$D$7</f>
        <v>0.12</v>
      </c>
      <c r="BV176" s="372"/>
      <c r="BW176" s="203">
        <f t="shared" si="20"/>
        <v>0</v>
      </c>
      <c r="BX176" s="372"/>
      <c r="BY176" s="372"/>
      <c r="BZ176" s="372">
        <f>Roles!$D$7</f>
        <v>0.12</v>
      </c>
      <c r="CA176" s="372"/>
      <c r="CB176" s="203">
        <f t="shared" si="21"/>
        <v>0</v>
      </c>
      <c r="CC176" s="372"/>
      <c r="CD176" s="372"/>
      <c r="CE176" s="372">
        <f>Roles!$D$7</f>
        <v>0.12</v>
      </c>
      <c r="CF176" s="372"/>
      <c r="CG176" s="203">
        <f t="shared" si="22"/>
        <v>0</v>
      </c>
      <c r="CH176" s="372"/>
      <c r="CI176" s="372"/>
      <c r="CJ176" s="372">
        <f>Roles!$D$7</f>
        <v>0.12</v>
      </c>
      <c r="CK176" s="372"/>
      <c r="CL176" s="203">
        <f t="shared" si="23"/>
        <v>0</v>
      </c>
      <c r="CM176" s="372"/>
      <c r="CN176" s="372"/>
      <c r="CO176" s="372">
        <f>Roles!$D$7</f>
        <v>0.12</v>
      </c>
      <c r="CP176" s="372"/>
      <c r="CQ176" s="203">
        <f t="shared" si="24"/>
        <v>0</v>
      </c>
      <c r="CR176" s="372"/>
      <c r="CS176" s="372"/>
      <c r="CT176" s="372">
        <f>Roles!$D$7</f>
        <v>0.12</v>
      </c>
      <c r="CU176" s="372"/>
      <c r="CV176" s="203">
        <f t="shared" si="25"/>
        <v>0</v>
      </c>
      <c r="CW176" s="372"/>
      <c r="CX176" s="372"/>
      <c r="CY176" s="372">
        <f>Roles!$D$7</f>
        <v>0.12</v>
      </c>
      <c r="CZ176" s="372"/>
      <c r="DA176" s="203">
        <f t="shared" si="26"/>
        <v>0</v>
      </c>
      <c r="DB176" s="372"/>
      <c r="DC176" s="372"/>
      <c r="DD176" s="372">
        <f>Roles!$D$7</f>
        <v>0.12</v>
      </c>
      <c r="DE176" s="372"/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 t="shared" si="1"/>
        <v>2</v>
      </c>
      <c r="F177" s="80">
        <v>2.0</v>
      </c>
      <c r="G177" s="105">
        <f t="shared" si="2"/>
        <v>0.001722652885</v>
      </c>
      <c r="H177" s="47">
        <f t="shared" si="167"/>
        <v>0.6838931955</v>
      </c>
      <c r="I177" s="231">
        <f t="shared" si="165"/>
        <v>0</v>
      </c>
      <c r="J177" s="172">
        <f t="shared" si="168"/>
        <v>1027</v>
      </c>
      <c r="K177" s="115">
        <f t="shared" si="3"/>
        <v>0.9024604569</v>
      </c>
      <c r="L177" s="232">
        <f t="shared" si="166"/>
        <v>0</v>
      </c>
      <c r="M177" s="172">
        <f t="shared" si="169"/>
        <v>451.88</v>
      </c>
      <c r="N177" s="7"/>
      <c r="O177" s="203">
        <f t="shared" si="7"/>
        <v>0</v>
      </c>
      <c r="P177" s="378">
        <v>0.0</v>
      </c>
      <c r="Q177" s="372"/>
      <c r="R177" s="372">
        <f>Roles!$D$5</f>
        <v>0.44</v>
      </c>
      <c r="S177" s="372">
        <f t="shared" si="8"/>
        <v>0</v>
      </c>
      <c r="T177" s="203">
        <f t="shared" si="9"/>
        <v>0</v>
      </c>
      <c r="U177" s="372"/>
      <c r="V177" s="372"/>
      <c r="W177" s="372">
        <f>Roles!$D$7</f>
        <v>0.12</v>
      </c>
      <c r="X177" s="372"/>
      <c r="Y177" s="203">
        <f t="shared" si="10"/>
        <v>0</v>
      </c>
      <c r="Z177" s="372"/>
      <c r="AA177" s="372"/>
      <c r="AB177" s="372">
        <f>Roles!$D$7</f>
        <v>0.12</v>
      </c>
      <c r="AC177" s="372"/>
      <c r="AD177" s="203">
        <f t="shared" si="11"/>
        <v>0</v>
      </c>
      <c r="AE177" s="372"/>
      <c r="AF177" s="372"/>
      <c r="AG177" s="372">
        <f>Roles!$D$7</f>
        <v>0.12</v>
      </c>
      <c r="AH177" s="372"/>
      <c r="AI177" s="203">
        <f t="shared" si="12"/>
        <v>0</v>
      </c>
      <c r="AJ177" s="372"/>
      <c r="AK177" s="372"/>
      <c r="AL177" s="372">
        <f>Roles!$D$7</f>
        <v>0.12</v>
      </c>
      <c r="AM177" s="372"/>
      <c r="AN177" s="203">
        <f t="shared" si="13"/>
        <v>0</v>
      </c>
      <c r="AO177" s="372"/>
      <c r="AP177" s="372"/>
      <c r="AQ177" s="372">
        <f>Roles!$D$7</f>
        <v>0.12</v>
      </c>
      <c r="AR177" s="372"/>
      <c r="AS177" s="203">
        <f t="shared" si="14"/>
        <v>0</v>
      </c>
      <c r="AT177" s="372"/>
      <c r="AU177" s="372"/>
      <c r="AV177" s="372">
        <f>Roles!$D$7</f>
        <v>0.12</v>
      </c>
      <c r="AW177" s="372"/>
      <c r="AX177" s="203">
        <f t="shared" si="15"/>
        <v>0</v>
      </c>
      <c r="AY177" s="372"/>
      <c r="AZ177" s="372"/>
      <c r="BA177" s="372">
        <f>Roles!$D$7</f>
        <v>0.12</v>
      </c>
      <c r="BB177" s="372"/>
      <c r="BC177" s="203">
        <f t="shared" si="16"/>
        <v>0</v>
      </c>
      <c r="BD177" s="372"/>
      <c r="BE177" s="372"/>
      <c r="BF177" s="372">
        <f>Roles!$D$7</f>
        <v>0.12</v>
      </c>
      <c r="BG177" s="372"/>
      <c r="BH177" s="203">
        <f t="shared" si="17"/>
        <v>0</v>
      </c>
      <c r="BI177" s="372"/>
      <c r="BJ177" s="372"/>
      <c r="BK177" s="372">
        <f>Roles!$D$7</f>
        <v>0.12</v>
      </c>
      <c r="BL177" s="372"/>
      <c r="BM177" s="203">
        <f t="shared" si="18"/>
        <v>0</v>
      </c>
      <c r="BN177" s="372"/>
      <c r="BO177" s="372"/>
      <c r="BP177" s="372">
        <f>Roles!$D$7</f>
        <v>0.12</v>
      </c>
      <c r="BQ177" s="372"/>
      <c r="BR177" s="203">
        <f t="shared" si="19"/>
        <v>0</v>
      </c>
      <c r="BS177" s="372"/>
      <c r="BT177" s="372"/>
      <c r="BU177" s="372">
        <f>Roles!$D$7</f>
        <v>0.12</v>
      </c>
      <c r="BV177" s="372"/>
      <c r="BW177" s="203">
        <f t="shared" si="20"/>
        <v>0</v>
      </c>
      <c r="BX177" s="372"/>
      <c r="BY177" s="372"/>
      <c r="BZ177" s="372">
        <f>Roles!$D$7</f>
        <v>0.12</v>
      </c>
      <c r="CA177" s="372"/>
      <c r="CB177" s="203">
        <f t="shared" si="21"/>
        <v>0</v>
      </c>
      <c r="CC177" s="372"/>
      <c r="CD177" s="372"/>
      <c r="CE177" s="372">
        <f>Roles!$D$7</f>
        <v>0.12</v>
      </c>
      <c r="CF177" s="372"/>
      <c r="CG177" s="203">
        <f t="shared" si="22"/>
        <v>0</v>
      </c>
      <c r="CH177" s="372"/>
      <c r="CI177" s="372"/>
      <c r="CJ177" s="372">
        <f>Roles!$D$7</f>
        <v>0.12</v>
      </c>
      <c r="CK177" s="372"/>
      <c r="CL177" s="203">
        <f t="shared" si="23"/>
        <v>0</v>
      </c>
      <c r="CM177" s="372"/>
      <c r="CN177" s="372"/>
      <c r="CO177" s="372">
        <f>Roles!$D$7</f>
        <v>0.12</v>
      </c>
      <c r="CP177" s="372"/>
      <c r="CQ177" s="203">
        <f t="shared" si="24"/>
        <v>0</v>
      </c>
      <c r="CR177" s="372"/>
      <c r="CS177" s="372"/>
      <c r="CT177" s="372">
        <f>Roles!$D$7</f>
        <v>0.12</v>
      </c>
      <c r="CU177" s="372"/>
      <c r="CV177" s="203">
        <f t="shared" si="25"/>
        <v>0</v>
      </c>
      <c r="CW177" s="372"/>
      <c r="CX177" s="372"/>
      <c r="CY177" s="372">
        <f>Roles!$D$7</f>
        <v>0.12</v>
      </c>
      <c r="CZ177" s="372"/>
      <c r="DA177" s="203">
        <f t="shared" si="26"/>
        <v>0</v>
      </c>
      <c r="DB177" s="372"/>
      <c r="DC177" s="372"/>
      <c r="DD177" s="372">
        <f>Roles!$D$7</f>
        <v>0.12</v>
      </c>
      <c r="DE177" s="372"/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 t="shared" si="1"/>
        <v>2</v>
      </c>
      <c r="F178" s="80">
        <v>10.0</v>
      </c>
      <c r="G178" s="105">
        <f t="shared" si="2"/>
        <v>0.008613264427</v>
      </c>
      <c r="H178" s="47">
        <f t="shared" si="167"/>
        <v>0.6925064599</v>
      </c>
      <c r="I178" s="231">
        <f t="shared" si="165"/>
        <v>0</v>
      </c>
      <c r="J178" s="172">
        <f t="shared" si="168"/>
        <v>1027</v>
      </c>
      <c r="K178" s="115">
        <f t="shared" si="3"/>
        <v>0.9024604569</v>
      </c>
      <c r="L178" s="232">
        <f t="shared" si="166"/>
        <v>0</v>
      </c>
      <c r="M178" s="172">
        <f t="shared" si="169"/>
        <v>451.88</v>
      </c>
      <c r="N178" s="7"/>
      <c r="O178" s="203">
        <f t="shared" si="7"/>
        <v>0</v>
      </c>
      <c r="P178" s="378">
        <v>0.0</v>
      </c>
      <c r="Q178" s="372"/>
      <c r="R178" s="372">
        <f>Roles!$D$5</f>
        <v>0.44</v>
      </c>
      <c r="S178" s="372">
        <f t="shared" si="8"/>
        <v>0</v>
      </c>
      <c r="T178" s="203">
        <f t="shared" si="9"/>
        <v>0</v>
      </c>
      <c r="U178" s="372"/>
      <c r="V178" s="372"/>
      <c r="W178" s="372">
        <f>Roles!$D$7</f>
        <v>0.12</v>
      </c>
      <c r="X178" s="372"/>
      <c r="Y178" s="203">
        <f t="shared" si="10"/>
        <v>0</v>
      </c>
      <c r="Z178" s="372"/>
      <c r="AA178" s="372"/>
      <c r="AB178" s="372">
        <f>Roles!$D$7</f>
        <v>0.12</v>
      </c>
      <c r="AC178" s="372"/>
      <c r="AD178" s="203">
        <f t="shared" si="11"/>
        <v>0</v>
      </c>
      <c r="AE178" s="372"/>
      <c r="AF178" s="372"/>
      <c r="AG178" s="372">
        <f>Roles!$D$7</f>
        <v>0.12</v>
      </c>
      <c r="AH178" s="372"/>
      <c r="AI178" s="203">
        <f t="shared" si="12"/>
        <v>0</v>
      </c>
      <c r="AJ178" s="372"/>
      <c r="AK178" s="372"/>
      <c r="AL178" s="372">
        <f>Roles!$D$7</f>
        <v>0.12</v>
      </c>
      <c r="AM178" s="372"/>
      <c r="AN178" s="203">
        <f t="shared" si="13"/>
        <v>0</v>
      </c>
      <c r="AO178" s="372"/>
      <c r="AP178" s="372"/>
      <c r="AQ178" s="372">
        <f>Roles!$D$7</f>
        <v>0.12</v>
      </c>
      <c r="AR178" s="372"/>
      <c r="AS178" s="203">
        <f t="shared" si="14"/>
        <v>0</v>
      </c>
      <c r="AT178" s="372"/>
      <c r="AU178" s="372"/>
      <c r="AV178" s="372">
        <f>Roles!$D$7</f>
        <v>0.12</v>
      </c>
      <c r="AW178" s="372"/>
      <c r="AX178" s="203">
        <f t="shared" si="15"/>
        <v>0</v>
      </c>
      <c r="AY178" s="372"/>
      <c r="AZ178" s="372"/>
      <c r="BA178" s="372">
        <f>Roles!$D$7</f>
        <v>0.12</v>
      </c>
      <c r="BB178" s="372"/>
      <c r="BC178" s="203">
        <f t="shared" si="16"/>
        <v>0</v>
      </c>
      <c r="BD178" s="372"/>
      <c r="BE178" s="372"/>
      <c r="BF178" s="372">
        <f>Roles!$D$7</f>
        <v>0.12</v>
      </c>
      <c r="BG178" s="372"/>
      <c r="BH178" s="203">
        <f t="shared" si="17"/>
        <v>0</v>
      </c>
      <c r="BI178" s="372"/>
      <c r="BJ178" s="372"/>
      <c r="BK178" s="372">
        <f>Roles!$D$7</f>
        <v>0.12</v>
      </c>
      <c r="BL178" s="372"/>
      <c r="BM178" s="203">
        <f t="shared" si="18"/>
        <v>0</v>
      </c>
      <c r="BN178" s="372"/>
      <c r="BO178" s="372"/>
      <c r="BP178" s="372">
        <f>Roles!$D$7</f>
        <v>0.12</v>
      </c>
      <c r="BQ178" s="372"/>
      <c r="BR178" s="203">
        <f t="shared" si="19"/>
        <v>0</v>
      </c>
      <c r="BS178" s="372"/>
      <c r="BT178" s="372"/>
      <c r="BU178" s="372">
        <f>Roles!$D$7</f>
        <v>0.12</v>
      </c>
      <c r="BV178" s="372"/>
      <c r="BW178" s="203">
        <f t="shared" si="20"/>
        <v>0</v>
      </c>
      <c r="BX178" s="372"/>
      <c r="BY178" s="372"/>
      <c r="BZ178" s="372">
        <f>Roles!$D$7</f>
        <v>0.12</v>
      </c>
      <c r="CA178" s="372"/>
      <c r="CB178" s="203">
        <f t="shared" si="21"/>
        <v>0</v>
      </c>
      <c r="CC178" s="372"/>
      <c r="CD178" s="372"/>
      <c r="CE178" s="372">
        <f>Roles!$D$7</f>
        <v>0.12</v>
      </c>
      <c r="CF178" s="372"/>
      <c r="CG178" s="203">
        <f t="shared" si="22"/>
        <v>0</v>
      </c>
      <c r="CH178" s="372"/>
      <c r="CI178" s="372"/>
      <c r="CJ178" s="372">
        <f>Roles!$D$7</f>
        <v>0.12</v>
      </c>
      <c r="CK178" s="372"/>
      <c r="CL178" s="203">
        <f t="shared" si="23"/>
        <v>0</v>
      </c>
      <c r="CM178" s="372"/>
      <c r="CN178" s="372"/>
      <c r="CO178" s="372">
        <f>Roles!$D$7</f>
        <v>0.12</v>
      </c>
      <c r="CP178" s="372"/>
      <c r="CQ178" s="203">
        <f t="shared" si="24"/>
        <v>0</v>
      </c>
      <c r="CR178" s="372"/>
      <c r="CS178" s="372"/>
      <c r="CT178" s="372">
        <f>Roles!$D$7</f>
        <v>0.12</v>
      </c>
      <c r="CU178" s="372"/>
      <c r="CV178" s="203">
        <f t="shared" si="25"/>
        <v>0</v>
      </c>
      <c r="CW178" s="372"/>
      <c r="CX178" s="372"/>
      <c r="CY178" s="372">
        <f>Roles!$D$7</f>
        <v>0.12</v>
      </c>
      <c r="CZ178" s="372"/>
      <c r="DA178" s="203">
        <f t="shared" si="26"/>
        <v>0</v>
      </c>
      <c r="DB178" s="372"/>
      <c r="DC178" s="372"/>
      <c r="DD178" s="372">
        <f>Roles!$D$7</f>
        <v>0.12</v>
      </c>
      <c r="DE178" s="372"/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 t="shared" si="1"/>
        <v>4</v>
      </c>
      <c r="F179" s="246">
        <f>SUM(F180:F184)</f>
        <v>29</v>
      </c>
      <c r="G179" s="105">
        <f t="shared" si="2"/>
        <v>0.02497846684</v>
      </c>
      <c r="H179" s="226">
        <f>H184</f>
        <v>0.7174849268</v>
      </c>
      <c r="I179" s="247">
        <f>SUM(I180:I184)</f>
        <v>4</v>
      </c>
      <c r="J179" s="247">
        <f>J184</f>
        <v>1031</v>
      </c>
      <c r="K179" s="167">
        <f t="shared" si="3"/>
        <v>0.9059753954</v>
      </c>
      <c r="L179" s="247">
        <f>SUM(L180:L184)</f>
        <v>1.76</v>
      </c>
      <c r="M179" s="247">
        <f>M184</f>
        <v>453.64</v>
      </c>
      <c r="N179" s="7"/>
      <c r="O179" s="203">
        <f t="shared" si="7"/>
        <v>0</v>
      </c>
      <c r="P179" s="372"/>
      <c r="Q179" s="372"/>
      <c r="R179" s="372">
        <f>Roles!$D$5</f>
        <v>0.44</v>
      </c>
      <c r="S179" s="372">
        <f t="shared" si="8"/>
        <v>0</v>
      </c>
      <c r="T179" s="203">
        <f t="shared" si="9"/>
        <v>0</v>
      </c>
      <c r="U179" s="372"/>
      <c r="V179" s="372"/>
      <c r="W179" s="372">
        <f>Roles!$D$7</f>
        <v>0.12</v>
      </c>
      <c r="X179" s="372"/>
      <c r="Y179" s="203">
        <f t="shared" si="10"/>
        <v>0</v>
      </c>
      <c r="Z179" s="372"/>
      <c r="AA179" s="372"/>
      <c r="AB179" s="372">
        <f>Roles!$D$7</f>
        <v>0.12</v>
      </c>
      <c r="AC179" s="372"/>
      <c r="AD179" s="203">
        <f t="shared" si="11"/>
        <v>0</v>
      </c>
      <c r="AE179" s="372"/>
      <c r="AF179" s="372"/>
      <c r="AG179" s="372">
        <f>Roles!$D$7</f>
        <v>0.12</v>
      </c>
      <c r="AH179" s="372"/>
      <c r="AI179" s="203">
        <f t="shared" si="12"/>
        <v>0</v>
      </c>
      <c r="AJ179" s="372"/>
      <c r="AK179" s="372"/>
      <c r="AL179" s="372">
        <f>Roles!$D$7</f>
        <v>0.12</v>
      </c>
      <c r="AM179" s="372"/>
      <c r="AN179" s="203">
        <f t="shared" si="13"/>
        <v>0</v>
      </c>
      <c r="AO179" s="372"/>
      <c r="AP179" s="372"/>
      <c r="AQ179" s="372">
        <f>Roles!$D$7</f>
        <v>0.12</v>
      </c>
      <c r="AR179" s="372"/>
      <c r="AS179" s="203">
        <f t="shared" si="14"/>
        <v>0</v>
      </c>
      <c r="AT179" s="372"/>
      <c r="AU179" s="372"/>
      <c r="AV179" s="372">
        <f>Roles!$D$7</f>
        <v>0.12</v>
      </c>
      <c r="AW179" s="372"/>
      <c r="AX179" s="203">
        <f t="shared" si="15"/>
        <v>0</v>
      </c>
      <c r="AY179" s="372"/>
      <c r="AZ179" s="372"/>
      <c r="BA179" s="372">
        <f>Roles!$D$7</f>
        <v>0.12</v>
      </c>
      <c r="BB179" s="372"/>
      <c r="BC179" s="203">
        <f t="shared" si="16"/>
        <v>0</v>
      </c>
      <c r="BD179" s="372"/>
      <c r="BE179" s="372"/>
      <c r="BF179" s="372">
        <f>Roles!$D$7</f>
        <v>0.12</v>
      </c>
      <c r="BG179" s="372"/>
      <c r="BH179" s="203">
        <f t="shared" si="17"/>
        <v>0</v>
      </c>
      <c r="BI179" s="372"/>
      <c r="BJ179" s="372"/>
      <c r="BK179" s="372">
        <f>Roles!$D$7</f>
        <v>0.12</v>
      </c>
      <c r="BL179" s="372"/>
      <c r="BM179" s="203">
        <f t="shared" si="18"/>
        <v>0</v>
      </c>
      <c r="BN179" s="372"/>
      <c r="BO179" s="372"/>
      <c r="BP179" s="372">
        <f>Roles!$D$7</f>
        <v>0.12</v>
      </c>
      <c r="BQ179" s="372"/>
      <c r="BR179" s="203">
        <f t="shared" si="19"/>
        <v>0</v>
      </c>
      <c r="BS179" s="372"/>
      <c r="BT179" s="372"/>
      <c r="BU179" s="372">
        <f>Roles!$D$7</f>
        <v>0.12</v>
      </c>
      <c r="BV179" s="372"/>
      <c r="BW179" s="203">
        <f t="shared" si="20"/>
        <v>0</v>
      </c>
      <c r="BX179" s="372"/>
      <c r="BY179" s="372"/>
      <c r="BZ179" s="372">
        <f>Roles!$D$7</f>
        <v>0.12</v>
      </c>
      <c r="CA179" s="372"/>
      <c r="CB179" s="203">
        <f t="shared" si="21"/>
        <v>0</v>
      </c>
      <c r="CC179" s="372"/>
      <c r="CD179" s="372"/>
      <c r="CE179" s="372">
        <f>Roles!$D$7</f>
        <v>0.12</v>
      </c>
      <c r="CF179" s="372"/>
      <c r="CG179" s="203">
        <f t="shared" si="22"/>
        <v>0</v>
      </c>
      <c r="CH179" s="372"/>
      <c r="CI179" s="372"/>
      <c r="CJ179" s="372">
        <f>Roles!$D$7</f>
        <v>0.12</v>
      </c>
      <c r="CK179" s="372"/>
      <c r="CL179" s="203">
        <f t="shared" si="23"/>
        <v>0</v>
      </c>
      <c r="CM179" s="372"/>
      <c r="CN179" s="372"/>
      <c r="CO179" s="372">
        <f>Roles!$D$7</f>
        <v>0.12</v>
      </c>
      <c r="CP179" s="372"/>
      <c r="CQ179" s="203">
        <f t="shared" si="24"/>
        <v>0</v>
      </c>
      <c r="CR179" s="372"/>
      <c r="CS179" s="372"/>
      <c r="CT179" s="372">
        <f>Roles!$D$7</f>
        <v>0.12</v>
      </c>
      <c r="CU179" s="372"/>
      <c r="CV179" s="203">
        <f t="shared" si="25"/>
        <v>0</v>
      </c>
      <c r="CW179" s="372"/>
      <c r="CX179" s="372"/>
      <c r="CY179" s="372">
        <f>Roles!$D$7</f>
        <v>0.12</v>
      </c>
      <c r="CZ179" s="372"/>
      <c r="DA179" s="203">
        <f t="shared" si="26"/>
        <v>0</v>
      </c>
      <c r="DB179" s="372"/>
      <c r="DC179" s="372"/>
      <c r="DD179" s="372">
        <f>Roles!$D$7</f>
        <v>0.12</v>
      </c>
      <c r="DE179" s="372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 t="shared" si="1"/>
        <v>3</v>
      </c>
      <c r="F180" s="80">
        <v>4.0</v>
      </c>
      <c r="G180" s="105">
        <f t="shared" si="2"/>
        <v>0.003445305771</v>
      </c>
      <c r="H180" s="47">
        <f>H178+G180</f>
        <v>0.6959517657</v>
      </c>
      <c r="I180" s="231">
        <f t="shared" ref="I180:I184" si="170">P180+U180+Z180+AE180+AJ180+AO180+AT180+AY180+BD180+BI180+BN180+BS180+BX180+CC180+CH180+CM180+CR180+CW180+DB180</f>
        <v>4</v>
      </c>
      <c r="J180" s="172">
        <f>J178+I180</f>
        <v>1031</v>
      </c>
      <c r="K180" s="115">
        <f t="shared" si="3"/>
        <v>0.9059753954</v>
      </c>
      <c r="L180" s="232">
        <f t="shared" ref="L180:L184" si="171">S180+X180+AC180+AH180+AM180+AR180+AW180+BB180+BG180+BL180+BQ180+BV180+CA180+CF180+CK180+CP180+CU180+CZ180+DE180</f>
        <v>1.76</v>
      </c>
      <c r="M180" s="172">
        <f>M178+L180</f>
        <v>453.64</v>
      </c>
      <c r="N180" s="7"/>
      <c r="O180" s="203">
        <f t="shared" si="7"/>
        <v>1</v>
      </c>
      <c r="P180" s="378">
        <v>4.0</v>
      </c>
      <c r="Q180" s="372"/>
      <c r="R180" s="372">
        <f>Roles!$D$5</f>
        <v>0.44</v>
      </c>
      <c r="S180" s="372">
        <f t="shared" si="8"/>
        <v>1.76</v>
      </c>
      <c r="T180" s="203">
        <f t="shared" si="9"/>
        <v>0</v>
      </c>
      <c r="U180" s="372"/>
      <c r="V180" s="372"/>
      <c r="W180" s="372">
        <f>Roles!$D$7</f>
        <v>0.12</v>
      </c>
      <c r="X180" s="372"/>
      <c r="Y180" s="203">
        <f t="shared" si="10"/>
        <v>0</v>
      </c>
      <c r="Z180" s="372"/>
      <c r="AA180" s="372"/>
      <c r="AB180" s="372">
        <f>Roles!$D$7</f>
        <v>0.12</v>
      </c>
      <c r="AC180" s="372"/>
      <c r="AD180" s="203">
        <f t="shared" si="11"/>
        <v>0</v>
      </c>
      <c r="AE180" s="372"/>
      <c r="AF180" s="372"/>
      <c r="AG180" s="372">
        <f>Roles!$D$7</f>
        <v>0.12</v>
      </c>
      <c r="AH180" s="372"/>
      <c r="AI180" s="203">
        <f t="shared" si="12"/>
        <v>0</v>
      </c>
      <c r="AJ180" s="372"/>
      <c r="AK180" s="372"/>
      <c r="AL180" s="372">
        <f>Roles!$D$7</f>
        <v>0.12</v>
      </c>
      <c r="AM180" s="372"/>
      <c r="AN180" s="203">
        <f t="shared" si="13"/>
        <v>0</v>
      </c>
      <c r="AO180" s="372"/>
      <c r="AP180" s="372"/>
      <c r="AQ180" s="372">
        <f>Roles!$D$7</f>
        <v>0.12</v>
      </c>
      <c r="AR180" s="372"/>
      <c r="AS180" s="203">
        <f t="shared" si="14"/>
        <v>0</v>
      </c>
      <c r="AT180" s="372"/>
      <c r="AU180" s="372"/>
      <c r="AV180" s="372">
        <f>Roles!$D$7</f>
        <v>0.12</v>
      </c>
      <c r="AW180" s="372"/>
      <c r="AX180" s="203">
        <f t="shared" si="15"/>
        <v>0</v>
      </c>
      <c r="AY180" s="372"/>
      <c r="AZ180" s="372"/>
      <c r="BA180" s="372">
        <f>Roles!$D$7</f>
        <v>0.12</v>
      </c>
      <c r="BB180" s="372"/>
      <c r="BC180" s="203">
        <f t="shared" si="16"/>
        <v>0</v>
      </c>
      <c r="BD180" s="372"/>
      <c r="BE180" s="372"/>
      <c r="BF180" s="372">
        <f>Roles!$D$7</f>
        <v>0.12</v>
      </c>
      <c r="BG180" s="372"/>
      <c r="BH180" s="203">
        <f t="shared" si="17"/>
        <v>0</v>
      </c>
      <c r="BI180" s="372"/>
      <c r="BJ180" s="372"/>
      <c r="BK180" s="372">
        <f>Roles!$D$7</f>
        <v>0.12</v>
      </c>
      <c r="BL180" s="372"/>
      <c r="BM180" s="203">
        <f t="shared" si="18"/>
        <v>0</v>
      </c>
      <c r="BN180" s="372"/>
      <c r="BO180" s="372"/>
      <c r="BP180" s="372">
        <f>Roles!$D$7</f>
        <v>0.12</v>
      </c>
      <c r="BQ180" s="372"/>
      <c r="BR180" s="203">
        <f t="shared" si="19"/>
        <v>0</v>
      </c>
      <c r="BS180" s="372"/>
      <c r="BT180" s="372"/>
      <c r="BU180" s="372">
        <f>Roles!$D$7</f>
        <v>0.12</v>
      </c>
      <c r="BV180" s="372"/>
      <c r="BW180" s="203">
        <f t="shared" si="20"/>
        <v>0</v>
      </c>
      <c r="BX180" s="372"/>
      <c r="BY180" s="372"/>
      <c r="BZ180" s="372">
        <f>Roles!$D$7</f>
        <v>0.12</v>
      </c>
      <c r="CA180" s="372"/>
      <c r="CB180" s="203">
        <f t="shared" si="21"/>
        <v>0</v>
      </c>
      <c r="CC180" s="372"/>
      <c r="CD180" s="372"/>
      <c r="CE180" s="372">
        <f>Roles!$D$7</f>
        <v>0.12</v>
      </c>
      <c r="CF180" s="372"/>
      <c r="CG180" s="203">
        <f t="shared" si="22"/>
        <v>0</v>
      </c>
      <c r="CH180" s="372"/>
      <c r="CI180" s="372"/>
      <c r="CJ180" s="372">
        <f>Roles!$D$7</f>
        <v>0.12</v>
      </c>
      <c r="CK180" s="372"/>
      <c r="CL180" s="203">
        <f t="shared" si="23"/>
        <v>0</v>
      </c>
      <c r="CM180" s="372"/>
      <c r="CN180" s="372"/>
      <c r="CO180" s="372">
        <f>Roles!$D$7</f>
        <v>0.12</v>
      </c>
      <c r="CP180" s="372"/>
      <c r="CQ180" s="203">
        <f t="shared" si="24"/>
        <v>0</v>
      </c>
      <c r="CR180" s="372"/>
      <c r="CS180" s="372"/>
      <c r="CT180" s="372">
        <f>Roles!$D$7</f>
        <v>0.12</v>
      </c>
      <c r="CU180" s="372"/>
      <c r="CV180" s="203">
        <f t="shared" si="25"/>
        <v>0</v>
      </c>
      <c r="CW180" s="372"/>
      <c r="CX180" s="372"/>
      <c r="CY180" s="372">
        <f>Roles!$D$7</f>
        <v>0.12</v>
      </c>
      <c r="CZ180" s="372"/>
      <c r="DA180" s="203">
        <f t="shared" si="26"/>
        <v>0</v>
      </c>
      <c r="DB180" s="372"/>
      <c r="DC180" s="372"/>
      <c r="DD180" s="372">
        <f>Roles!$D$7</f>
        <v>0.12</v>
      </c>
      <c r="DE180" s="372"/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 t="shared" si="1"/>
        <v>2</v>
      </c>
      <c r="F181" s="80">
        <v>10.0</v>
      </c>
      <c r="G181" s="105">
        <f t="shared" si="2"/>
        <v>0.008613264427</v>
      </c>
      <c r="H181" s="47">
        <f t="shared" ref="H181:H185" si="172">H180+G181</f>
        <v>0.7045650301</v>
      </c>
      <c r="I181" s="231">
        <f t="shared" si="170"/>
        <v>0</v>
      </c>
      <c r="J181" s="172">
        <f t="shared" ref="J181:J185" si="173">J180+I181</f>
        <v>1031</v>
      </c>
      <c r="K181" s="115">
        <f t="shared" si="3"/>
        <v>0.9059753954</v>
      </c>
      <c r="L181" s="232">
        <f t="shared" si="171"/>
        <v>0</v>
      </c>
      <c r="M181" s="172">
        <f t="shared" ref="M181:M185" si="174">M180+L181</f>
        <v>453.64</v>
      </c>
      <c r="N181" s="7"/>
      <c r="O181" s="203">
        <f t="shared" si="7"/>
        <v>0</v>
      </c>
      <c r="P181" s="378">
        <v>0.0</v>
      </c>
      <c r="Q181" s="372"/>
      <c r="R181" s="372">
        <f>Roles!$D$5</f>
        <v>0.44</v>
      </c>
      <c r="S181" s="372">
        <f t="shared" si="8"/>
        <v>0</v>
      </c>
      <c r="T181" s="203">
        <f t="shared" si="9"/>
        <v>0</v>
      </c>
      <c r="U181" s="372"/>
      <c r="V181" s="372"/>
      <c r="W181" s="372">
        <f>Roles!$D$7</f>
        <v>0.12</v>
      </c>
      <c r="X181" s="372"/>
      <c r="Y181" s="203">
        <f t="shared" si="10"/>
        <v>0</v>
      </c>
      <c r="Z181" s="372"/>
      <c r="AA181" s="372"/>
      <c r="AB181" s="372">
        <f>Roles!$D$7</f>
        <v>0.12</v>
      </c>
      <c r="AC181" s="372"/>
      <c r="AD181" s="203">
        <f t="shared" si="11"/>
        <v>0</v>
      </c>
      <c r="AE181" s="372"/>
      <c r="AF181" s="372"/>
      <c r="AG181" s="372">
        <f>Roles!$D$7</f>
        <v>0.12</v>
      </c>
      <c r="AH181" s="372"/>
      <c r="AI181" s="203">
        <f t="shared" si="12"/>
        <v>0</v>
      </c>
      <c r="AJ181" s="372"/>
      <c r="AK181" s="372"/>
      <c r="AL181" s="372">
        <f>Roles!$D$7</f>
        <v>0.12</v>
      </c>
      <c r="AM181" s="372"/>
      <c r="AN181" s="203">
        <f t="shared" si="13"/>
        <v>0</v>
      </c>
      <c r="AO181" s="372"/>
      <c r="AP181" s="372"/>
      <c r="AQ181" s="372">
        <f>Roles!$D$7</f>
        <v>0.12</v>
      </c>
      <c r="AR181" s="372"/>
      <c r="AS181" s="203">
        <f t="shared" si="14"/>
        <v>0</v>
      </c>
      <c r="AT181" s="372"/>
      <c r="AU181" s="372"/>
      <c r="AV181" s="372">
        <f>Roles!$D$7</f>
        <v>0.12</v>
      </c>
      <c r="AW181" s="372"/>
      <c r="AX181" s="203">
        <f t="shared" si="15"/>
        <v>0</v>
      </c>
      <c r="AY181" s="372"/>
      <c r="AZ181" s="372"/>
      <c r="BA181" s="372">
        <f>Roles!$D$7</f>
        <v>0.12</v>
      </c>
      <c r="BB181" s="372"/>
      <c r="BC181" s="203">
        <f t="shared" si="16"/>
        <v>0</v>
      </c>
      <c r="BD181" s="372"/>
      <c r="BE181" s="372"/>
      <c r="BF181" s="372">
        <f>Roles!$D$7</f>
        <v>0.12</v>
      </c>
      <c r="BG181" s="372"/>
      <c r="BH181" s="203">
        <f t="shared" si="17"/>
        <v>0</v>
      </c>
      <c r="BI181" s="372"/>
      <c r="BJ181" s="372"/>
      <c r="BK181" s="372">
        <f>Roles!$D$7</f>
        <v>0.12</v>
      </c>
      <c r="BL181" s="372"/>
      <c r="BM181" s="203">
        <f t="shared" si="18"/>
        <v>0</v>
      </c>
      <c r="BN181" s="372"/>
      <c r="BO181" s="372"/>
      <c r="BP181" s="372">
        <f>Roles!$D$7</f>
        <v>0.12</v>
      </c>
      <c r="BQ181" s="372"/>
      <c r="BR181" s="203">
        <f t="shared" si="19"/>
        <v>0</v>
      </c>
      <c r="BS181" s="372"/>
      <c r="BT181" s="372"/>
      <c r="BU181" s="372">
        <f>Roles!$D$7</f>
        <v>0.12</v>
      </c>
      <c r="BV181" s="372"/>
      <c r="BW181" s="203">
        <f t="shared" si="20"/>
        <v>0</v>
      </c>
      <c r="BX181" s="372"/>
      <c r="BY181" s="372"/>
      <c r="BZ181" s="372">
        <f>Roles!$D$7</f>
        <v>0.12</v>
      </c>
      <c r="CA181" s="372"/>
      <c r="CB181" s="203">
        <f t="shared" si="21"/>
        <v>0</v>
      </c>
      <c r="CC181" s="372"/>
      <c r="CD181" s="372"/>
      <c r="CE181" s="372">
        <f>Roles!$D$7</f>
        <v>0.12</v>
      </c>
      <c r="CF181" s="372"/>
      <c r="CG181" s="203">
        <f t="shared" si="22"/>
        <v>0</v>
      </c>
      <c r="CH181" s="372"/>
      <c r="CI181" s="372"/>
      <c r="CJ181" s="372">
        <f>Roles!$D$7</f>
        <v>0.12</v>
      </c>
      <c r="CK181" s="372"/>
      <c r="CL181" s="203">
        <f t="shared" si="23"/>
        <v>0</v>
      </c>
      <c r="CM181" s="372"/>
      <c r="CN181" s="372"/>
      <c r="CO181" s="372">
        <f>Roles!$D$7</f>
        <v>0.12</v>
      </c>
      <c r="CP181" s="372"/>
      <c r="CQ181" s="203">
        <f t="shared" si="24"/>
        <v>0</v>
      </c>
      <c r="CR181" s="372"/>
      <c r="CS181" s="372"/>
      <c r="CT181" s="372">
        <f>Roles!$D$7</f>
        <v>0.12</v>
      </c>
      <c r="CU181" s="372"/>
      <c r="CV181" s="203">
        <f t="shared" si="25"/>
        <v>0</v>
      </c>
      <c r="CW181" s="372"/>
      <c r="CX181" s="372"/>
      <c r="CY181" s="372">
        <f>Roles!$D$7</f>
        <v>0.12</v>
      </c>
      <c r="CZ181" s="372"/>
      <c r="DA181" s="203">
        <f t="shared" si="26"/>
        <v>0</v>
      </c>
      <c r="DB181" s="372"/>
      <c r="DC181" s="372"/>
      <c r="DD181" s="372">
        <f>Roles!$D$7</f>
        <v>0.12</v>
      </c>
      <c r="DE181" s="372"/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 t="shared" si="1"/>
        <v>2</v>
      </c>
      <c r="F182" s="80">
        <v>3.0</v>
      </c>
      <c r="G182" s="105">
        <f t="shared" si="2"/>
        <v>0.002583979328</v>
      </c>
      <c r="H182" s="47">
        <f t="shared" si="172"/>
        <v>0.7071490095</v>
      </c>
      <c r="I182" s="231">
        <f t="shared" si="170"/>
        <v>0</v>
      </c>
      <c r="J182" s="172">
        <f t="shared" si="173"/>
        <v>1031</v>
      </c>
      <c r="K182" s="115">
        <f t="shared" si="3"/>
        <v>0.9059753954</v>
      </c>
      <c r="L182" s="232">
        <f t="shared" si="171"/>
        <v>0</v>
      </c>
      <c r="M182" s="172">
        <f t="shared" si="174"/>
        <v>453.64</v>
      </c>
      <c r="N182" s="7"/>
      <c r="O182" s="203">
        <f t="shared" si="7"/>
        <v>0</v>
      </c>
      <c r="P182" s="378">
        <v>0.0</v>
      </c>
      <c r="Q182" s="372"/>
      <c r="R182" s="372">
        <f>Roles!$D$5</f>
        <v>0.44</v>
      </c>
      <c r="S182" s="372">
        <f t="shared" si="8"/>
        <v>0</v>
      </c>
      <c r="T182" s="203">
        <f t="shared" si="9"/>
        <v>0</v>
      </c>
      <c r="U182" s="372"/>
      <c r="V182" s="372"/>
      <c r="W182" s="372">
        <f>Roles!$D$7</f>
        <v>0.12</v>
      </c>
      <c r="X182" s="372"/>
      <c r="Y182" s="203">
        <f t="shared" si="10"/>
        <v>0</v>
      </c>
      <c r="Z182" s="372"/>
      <c r="AA182" s="372"/>
      <c r="AB182" s="372">
        <f>Roles!$D$7</f>
        <v>0.12</v>
      </c>
      <c r="AC182" s="372"/>
      <c r="AD182" s="203">
        <f t="shared" si="11"/>
        <v>0</v>
      </c>
      <c r="AE182" s="372"/>
      <c r="AF182" s="372"/>
      <c r="AG182" s="372">
        <f>Roles!$D$7</f>
        <v>0.12</v>
      </c>
      <c r="AH182" s="372"/>
      <c r="AI182" s="203">
        <f t="shared" si="12"/>
        <v>0</v>
      </c>
      <c r="AJ182" s="372"/>
      <c r="AK182" s="372"/>
      <c r="AL182" s="372">
        <f>Roles!$D$7</f>
        <v>0.12</v>
      </c>
      <c r="AM182" s="372"/>
      <c r="AN182" s="203">
        <f t="shared" si="13"/>
        <v>0</v>
      </c>
      <c r="AO182" s="372"/>
      <c r="AP182" s="372"/>
      <c r="AQ182" s="372">
        <f>Roles!$D$7</f>
        <v>0.12</v>
      </c>
      <c r="AR182" s="372"/>
      <c r="AS182" s="203">
        <f t="shared" si="14"/>
        <v>0</v>
      </c>
      <c r="AT182" s="372"/>
      <c r="AU182" s="372"/>
      <c r="AV182" s="372">
        <f>Roles!$D$7</f>
        <v>0.12</v>
      </c>
      <c r="AW182" s="372"/>
      <c r="AX182" s="203">
        <f t="shared" si="15"/>
        <v>0</v>
      </c>
      <c r="AY182" s="372"/>
      <c r="AZ182" s="372"/>
      <c r="BA182" s="372">
        <f>Roles!$D$7</f>
        <v>0.12</v>
      </c>
      <c r="BB182" s="372"/>
      <c r="BC182" s="203">
        <f t="shared" si="16"/>
        <v>0</v>
      </c>
      <c r="BD182" s="372"/>
      <c r="BE182" s="372"/>
      <c r="BF182" s="372">
        <f>Roles!$D$7</f>
        <v>0.12</v>
      </c>
      <c r="BG182" s="372"/>
      <c r="BH182" s="203">
        <f t="shared" si="17"/>
        <v>0</v>
      </c>
      <c r="BI182" s="372"/>
      <c r="BJ182" s="372"/>
      <c r="BK182" s="372">
        <f>Roles!$D$7</f>
        <v>0.12</v>
      </c>
      <c r="BL182" s="372"/>
      <c r="BM182" s="203">
        <f t="shared" si="18"/>
        <v>0</v>
      </c>
      <c r="BN182" s="372"/>
      <c r="BO182" s="372"/>
      <c r="BP182" s="372">
        <f>Roles!$D$7</f>
        <v>0.12</v>
      </c>
      <c r="BQ182" s="372"/>
      <c r="BR182" s="203">
        <f t="shared" si="19"/>
        <v>0</v>
      </c>
      <c r="BS182" s="372"/>
      <c r="BT182" s="372"/>
      <c r="BU182" s="372">
        <f>Roles!$D$7</f>
        <v>0.12</v>
      </c>
      <c r="BV182" s="372"/>
      <c r="BW182" s="203">
        <f t="shared" si="20"/>
        <v>0</v>
      </c>
      <c r="BX182" s="372"/>
      <c r="BY182" s="372"/>
      <c r="BZ182" s="372">
        <f>Roles!$D$7</f>
        <v>0.12</v>
      </c>
      <c r="CA182" s="372"/>
      <c r="CB182" s="203">
        <f t="shared" si="21"/>
        <v>0</v>
      </c>
      <c r="CC182" s="372"/>
      <c r="CD182" s="372"/>
      <c r="CE182" s="372">
        <f>Roles!$D$7</f>
        <v>0.12</v>
      </c>
      <c r="CF182" s="372"/>
      <c r="CG182" s="203">
        <f t="shared" si="22"/>
        <v>0</v>
      </c>
      <c r="CH182" s="372"/>
      <c r="CI182" s="372"/>
      <c r="CJ182" s="372">
        <f>Roles!$D$7</f>
        <v>0.12</v>
      </c>
      <c r="CK182" s="372"/>
      <c r="CL182" s="203">
        <f t="shared" si="23"/>
        <v>0</v>
      </c>
      <c r="CM182" s="372"/>
      <c r="CN182" s="372"/>
      <c r="CO182" s="372">
        <f>Roles!$D$7</f>
        <v>0.12</v>
      </c>
      <c r="CP182" s="372"/>
      <c r="CQ182" s="203">
        <f t="shared" si="24"/>
        <v>0</v>
      </c>
      <c r="CR182" s="372"/>
      <c r="CS182" s="372"/>
      <c r="CT182" s="372">
        <f>Roles!$D$7</f>
        <v>0.12</v>
      </c>
      <c r="CU182" s="372"/>
      <c r="CV182" s="203">
        <f t="shared" si="25"/>
        <v>0</v>
      </c>
      <c r="CW182" s="372"/>
      <c r="CX182" s="372"/>
      <c r="CY182" s="372">
        <f>Roles!$D$7</f>
        <v>0.12</v>
      </c>
      <c r="CZ182" s="372"/>
      <c r="DA182" s="203">
        <f t="shared" si="26"/>
        <v>0</v>
      </c>
      <c r="DB182" s="372"/>
      <c r="DC182" s="372"/>
      <c r="DD182" s="372">
        <f>Roles!$D$7</f>
        <v>0.12</v>
      </c>
      <c r="DE182" s="372"/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 t="shared" si="1"/>
        <v>1</v>
      </c>
      <c r="F183" s="80">
        <v>2.0</v>
      </c>
      <c r="G183" s="105">
        <f t="shared" si="2"/>
        <v>0.001722652885</v>
      </c>
      <c r="H183" s="47">
        <f t="shared" si="172"/>
        <v>0.7088716624</v>
      </c>
      <c r="I183" s="231">
        <f t="shared" si="170"/>
        <v>0</v>
      </c>
      <c r="J183" s="172">
        <f t="shared" si="173"/>
        <v>1031</v>
      </c>
      <c r="K183" s="115">
        <f t="shared" si="3"/>
        <v>0.9059753954</v>
      </c>
      <c r="L183" s="232">
        <f t="shared" si="171"/>
        <v>0</v>
      </c>
      <c r="M183" s="172">
        <f t="shared" si="174"/>
        <v>453.64</v>
      </c>
      <c r="N183" s="7"/>
      <c r="O183" s="203">
        <f t="shared" si="7"/>
        <v>0</v>
      </c>
      <c r="P183" s="378">
        <v>0.0</v>
      </c>
      <c r="Q183" s="372"/>
      <c r="R183" s="372">
        <f>Roles!$D$5</f>
        <v>0.44</v>
      </c>
      <c r="S183" s="372">
        <f t="shared" si="8"/>
        <v>0</v>
      </c>
      <c r="T183" s="203">
        <f t="shared" si="9"/>
        <v>0</v>
      </c>
      <c r="U183" s="372"/>
      <c r="V183" s="372"/>
      <c r="W183" s="372">
        <f>Roles!$D$7</f>
        <v>0.12</v>
      </c>
      <c r="X183" s="372"/>
      <c r="Y183" s="203">
        <f t="shared" si="10"/>
        <v>0</v>
      </c>
      <c r="Z183" s="372"/>
      <c r="AA183" s="372"/>
      <c r="AB183" s="372">
        <f>Roles!$D$7</f>
        <v>0.12</v>
      </c>
      <c r="AC183" s="372"/>
      <c r="AD183" s="203">
        <f t="shared" si="11"/>
        <v>0</v>
      </c>
      <c r="AE183" s="372"/>
      <c r="AF183" s="372"/>
      <c r="AG183" s="372">
        <f>Roles!$D$7</f>
        <v>0.12</v>
      </c>
      <c r="AH183" s="372"/>
      <c r="AI183" s="203">
        <f t="shared" si="12"/>
        <v>0</v>
      </c>
      <c r="AJ183" s="372"/>
      <c r="AK183" s="372"/>
      <c r="AL183" s="372">
        <f>Roles!$D$7</f>
        <v>0.12</v>
      </c>
      <c r="AM183" s="372"/>
      <c r="AN183" s="203">
        <f t="shared" si="13"/>
        <v>0</v>
      </c>
      <c r="AO183" s="372"/>
      <c r="AP183" s="372"/>
      <c r="AQ183" s="372">
        <f>Roles!$D$7</f>
        <v>0.12</v>
      </c>
      <c r="AR183" s="372"/>
      <c r="AS183" s="203">
        <f t="shared" si="14"/>
        <v>0</v>
      </c>
      <c r="AT183" s="372"/>
      <c r="AU183" s="372"/>
      <c r="AV183" s="372">
        <f>Roles!$D$7</f>
        <v>0.12</v>
      </c>
      <c r="AW183" s="372"/>
      <c r="AX183" s="203">
        <f t="shared" si="15"/>
        <v>0</v>
      </c>
      <c r="AY183" s="372"/>
      <c r="AZ183" s="372"/>
      <c r="BA183" s="372">
        <f>Roles!$D$7</f>
        <v>0.12</v>
      </c>
      <c r="BB183" s="372"/>
      <c r="BC183" s="203">
        <f t="shared" si="16"/>
        <v>0</v>
      </c>
      <c r="BD183" s="372"/>
      <c r="BE183" s="372"/>
      <c r="BF183" s="372">
        <f>Roles!$D$7</f>
        <v>0.12</v>
      </c>
      <c r="BG183" s="372"/>
      <c r="BH183" s="203">
        <f t="shared" si="17"/>
        <v>0</v>
      </c>
      <c r="BI183" s="372"/>
      <c r="BJ183" s="372"/>
      <c r="BK183" s="372">
        <f>Roles!$D$7</f>
        <v>0.12</v>
      </c>
      <c r="BL183" s="372"/>
      <c r="BM183" s="203">
        <f t="shared" si="18"/>
        <v>0</v>
      </c>
      <c r="BN183" s="372"/>
      <c r="BO183" s="372"/>
      <c r="BP183" s="372">
        <f>Roles!$D$7</f>
        <v>0.12</v>
      </c>
      <c r="BQ183" s="372"/>
      <c r="BR183" s="203">
        <f t="shared" si="19"/>
        <v>0</v>
      </c>
      <c r="BS183" s="372"/>
      <c r="BT183" s="372"/>
      <c r="BU183" s="372">
        <f>Roles!$D$7</f>
        <v>0.12</v>
      </c>
      <c r="BV183" s="372"/>
      <c r="BW183" s="203">
        <f t="shared" si="20"/>
        <v>0</v>
      </c>
      <c r="BX183" s="372"/>
      <c r="BY183" s="372"/>
      <c r="BZ183" s="372">
        <f>Roles!$D$7</f>
        <v>0.12</v>
      </c>
      <c r="CA183" s="372"/>
      <c r="CB183" s="203">
        <f t="shared" si="21"/>
        <v>0</v>
      </c>
      <c r="CC183" s="372"/>
      <c r="CD183" s="372"/>
      <c r="CE183" s="372">
        <f>Roles!$D$7</f>
        <v>0.12</v>
      </c>
      <c r="CF183" s="372"/>
      <c r="CG183" s="203">
        <f t="shared" si="22"/>
        <v>0</v>
      </c>
      <c r="CH183" s="372"/>
      <c r="CI183" s="372"/>
      <c r="CJ183" s="372">
        <f>Roles!$D$7</f>
        <v>0.12</v>
      </c>
      <c r="CK183" s="372"/>
      <c r="CL183" s="203">
        <f t="shared" si="23"/>
        <v>0</v>
      </c>
      <c r="CM183" s="372"/>
      <c r="CN183" s="372"/>
      <c r="CO183" s="372">
        <f>Roles!$D$7</f>
        <v>0.12</v>
      </c>
      <c r="CP183" s="372"/>
      <c r="CQ183" s="203">
        <f t="shared" si="24"/>
        <v>0</v>
      </c>
      <c r="CR183" s="372"/>
      <c r="CS183" s="372"/>
      <c r="CT183" s="372">
        <f>Roles!$D$7</f>
        <v>0.12</v>
      </c>
      <c r="CU183" s="372"/>
      <c r="CV183" s="203">
        <f t="shared" si="25"/>
        <v>0</v>
      </c>
      <c r="CW183" s="372"/>
      <c r="CX183" s="372"/>
      <c r="CY183" s="372">
        <f>Roles!$D$7</f>
        <v>0.12</v>
      </c>
      <c r="CZ183" s="372"/>
      <c r="DA183" s="203">
        <f t="shared" si="26"/>
        <v>0</v>
      </c>
      <c r="DB183" s="372"/>
      <c r="DC183" s="372"/>
      <c r="DD183" s="372">
        <f>Roles!$D$7</f>
        <v>0.12</v>
      </c>
      <c r="DE183" s="372"/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 t="shared" si="1"/>
        <v>1</v>
      </c>
      <c r="F184" s="80">
        <v>10.0</v>
      </c>
      <c r="G184" s="105">
        <f t="shared" si="2"/>
        <v>0.008613264427</v>
      </c>
      <c r="H184" s="47">
        <f t="shared" si="172"/>
        <v>0.7174849268</v>
      </c>
      <c r="I184" s="231">
        <f t="shared" si="170"/>
        <v>0</v>
      </c>
      <c r="J184" s="172">
        <f t="shared" si="173"/>
        <v>1031</v>
      </c>
      <c r="K184" s="115">
        <f t="shared" si="3"/>
        <v>0.9059753954</v>
      </c>
      <c r="L184" s="232">
        <f t="shared" si="171"/>
        <v>0</v>
      </c>
      <c r="M184" s="172">
        <f t="shared" si="174"/>
        <v>453.64</v>
      </c>
      <c r="N184" s="7"/>
      <c r="O184" s="203">
        <f t="shared" si="7"/>
        <v>0</v>
      </c>
      <c r="P184" s="378">
        <v>0.0</v>
      </c>
      <c r="Q184" s="372"/>
      <c r="R184" s="372">
        <f>Roles!$D$5</f>
        <v>0.44</v>
      </c>
      <c r="S184" s="372">
        <f t="shared" si="8"/>
        <v>0</v>
      </c>
      <c r="T184" s="203">
        <f t="shared" si="9"/>
        <v>0</v>
      </c>
      <c r="U184" s="372"/>
      <c r="V184" s="372"/>
      <c r="W184" s="372">
        <f>Roles!$D$7</f>
        <v>0.12</v>
      </c>
      <c r="X184" s="372"/>
      <c r="Y184" s="203">
        <f t="shared" si="10"/>
        <v>0</v>
      </c>
      <c r="Z184" s="372"/>
      <c r="AA184" s="372"/>
      <c r="AB184" s="372">
        <f>Roles!$D$7</f>
        <v>0.12</v>
      </c>
      <c r="AC184" s="372"/>
      <c r="AD184" s="203">
        <f t="shared" si="11"/>
        <v>0</v>
      </c>
      <c r="AE184" s="372"/>
      <c r="AF184" s="372"/>
      <c r="AG184" s="372">
        <f>Roles!$D$7</f>
        <v>0.12</v>
      </c>
      <c r="AH184" s="372"/>
      <c r="AI184" s="203">
        <f t="shared" si="12"/>
        <v>0</v>
      </c>
      <c r="AJ184" s="372"/>
      <c r="AK184" s="372"/>
      <c r="AL184" s="372">
        <f>Roles!$D$7</f>
        <v>0.12</v>
      </c>
      <c r="AM184" s="372"/>
      <c r="AN184" s="203">
        <f t="shared" si="13"/>
        <v>0</v>
      </c>
      <c r="AO184" s="372"/>
      <c r="AP184" s="372"/>
      <c r="AQ184" s="372">
        <f>Roles!$D$7</f>
        <v>0.12</v>
      </c>
      <c r="AR184" s="372"/>
      <c r="AS184" s="203">
        <f t="shared" si="14"/>
        <v>0</v>
      </c>
      <c r="AT184" s="372"/>
      <c r="AU184" s="372"/>
      <c r="AV184" s="372">
        <f>Roles!$D$7</f>
        <v>0.12</v>
      </c>
      <c r="AW184" s="372"/>
      <c r="AX184" s="203">
        <f t="shared" si="15"/>
        <v>0</v>
      </c>
      <c r="AY184" s="372"/>
      <c r="AZ184" s="372"/>
      <c r="BA184" s="372">
        <f>Roles!$D$7</f>
        <v>0.12</v>
      </c>
      <c r="BB184" s="372"/>
      <c r="BC184" s="203">
        <f t="shared" si="16"/>
        <v>0</v>
      </c>
      <c r="BD184" s="372"/>
      <c r="BE184" s="372"/>
      <c r="BF184" s="372">
        <f>Roles!$D$7</f>
        <v>0.12</v>
      </c>
      <c r="BG184" s="372"/>
      <c r="BH184" s="203">
        <f t="shared" si="17"/>
        <v>0</v>
      </c>
      <c r="BI184" s="372"/>
      <c r="BJ184" s="372"/>
      <c r="BK184" s="372">
        <f>Roles!$D$7</f>
        <v>0.12</v>
      </c>
      <c r="BL184" s="372"/>
      <c r="BM184" s="203">
        <f t="shared" si="18"/>
        <v>0</v>
      </c>
      <c r="BN184" s="372"/>
      <c r="BO184" s="372"/>
      <c r="BP184" s="372">
        <f>Roles!$D$7</f>
        <v>0.12</v>
      </c>
      <c r="BQ184" s="372"/>
      <c r="BR184" s="203">
        <f t="shared" si="19"/>
        <v>0</v>
      </c>
      <c r="BS184" s="372"/>
      <c r="BT184" s="372"/>
      <c r="BU184" s="372">
        <f>Roles!$D$7</f>
        <v>0.12</v>
      </c>
      <c r="BV184" s="372"/>
      <c r="BW184" s="203">
        <f t="shared" si="20"/>
        <v>0</v>
      </c>
      <c r="BX184" s="372"/>
      <c r="BY184" s="372"/>
      <c r="BZ184" s="372">
        <f>Roles!$D$7</f>
        <v>0.12</v>
      </c>
      <c r="CA184" s="372"/>
      <c r="CB184" s="203">
        <f t="shared" si="21"/>
        <v>0</v>
      </c>
      <c r="CC184" s="372"/>
      <c r="CD184" s="372"/>
      <c r="CE184" s="372">
        <f>Roles!$D$7</f>
        <v>0.12</v>
      </c>
      <c r="CF184" s="372"/>
      <c r="CG184" s="203">
        <f t="shared" si="22"/>
        <v>0</v>
      </c>
      <c r="CH184" s="372"/>
      <c r="CI184" s="372"/>
      <c r="CJ184" s="372">
        <f>Roles!$D$7</f>
        <v>0.12</v>
      </c>
      <c r="CK184" s="372"/>
      <c r="CL184" s="203">
        <f t="shared" si="23"/>
        <v>0</v>
      </c>
      <c r="CM184" s="372"/>
      <c r="CN184" s="372"/>
      <c r="CO184" s="372">
        <f>Roles!$D$7</f>
        <v>0.12</v>
      </c>
      <c r="CP184" s="372"/>
      <c r="CQ184" s="203">
        <f t="shared" si="24"/>
        <v>0</v>
      </c>
      <c r="CR184" s="372"/>
      <c r="CS184" s="372"/>
      <c r="CT184" s="372">
        <f>Roles!$D$7</f>
        <v>0.12</v>
      </c>
      <c r="CU184" s="372"/>
      <c r="CV184" s="203">
        <f t="shared" si="25"/>
        <v>0</v>
      </c>
      <c r="CW184" s="372"/>
      <c r="CX184" s="372"/>
      <c r="CY184" s="372">
        <f>Roles!$D$7</f>
        <v>0.12</v>
      </c>
      <c r="CZ184" s="372"/>
      <c r="DA184" s="203">
        <f t="shared" si="26"/>
        <v>0</v>
      </c>
      <c r="DB184" s="372"/>
      <c r="DC184" s="372"/>
      <c r="DD184" s="372">
        <f>Roles!$D$7</f>
        <v>0.12</v>
      </c>
      <c r="DE184" s="372"/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 t="shared" si="1"/>
        <v>1</v>
      </c>
      <c r="F185" s="136">
        <v>0.0</v>
      </c>
      <c r="G185" s="105">
        <f t="shared" si="2"/>
        <v>0</v>
      </c>
      <c r="H185" s="115">
        <f t="shared" si="172"/>
        <v>0.7174849268</v>
      </c>
      <c r="I185" s="110">
        <f>F185</f>
        <v>0</v>
      </c>
      <c r="J185" s="110">
        <f t="shared" si="173"/>
        <v>1031</v>
      </c>
      <c r="K185" s="115">
        <f t="shared" si="3"/>
        <v>0.9059753954</v>
      </c>
      <c r="L185" s="110">
        <v>0.0</v>
      </c>
      <c r="M185" s="110">
        <f t="shared" si="174"/>
        <v>453.64</v>
      </c>
      <c r="N185" s="7"/>
      <c r="O185" s="203" t="str">
        <f t="shared" si="7"/>
        <v>#DIV/0!</v>
      </c>
      <c r="P185" s="372"/>
      <c r="Q185" s="372"/>
      <c r="R185" s="372">
        <f>Roles!$D$5</f>
        <v>0.44</v>
      </c>
      <c r="S185" s="372">
        <f t="shared" si="8"/>
        <v>0</v>
      </c>
      <c r="T185" s="203" t="str">
        <f t="shared" si="9"/>
        <v>#DIV/0!</v>
      </c>
      <c r="U185" s="372"/>
      <c r="V185" s="372"/>
      <c r="W185" s="372">
        <f>Roles!$D$7</f>
        <v>0.12</v>
      </c>
      <c r="X185" s="372"/>
      <c r="Y185" s="203" t="str">
        <f t="shared" si="10"/>
        <v>#DIV/0!</v>
      </c>
      <c r="Z185" s="372"/>
      <c r="AA185" s="372"/>
      <c r="AB185" s="372">
        <f>Roles!$D$7</f>
        <v>0.12</v>
      </c>
      <c r="AC185" s="372"/>
      <c r="AD185" s="203" t="str">
        <f t="shared" si="11"/>
        <v>#DIV/0!</v>
      </c>
      <c r="AE185" s="372"/>
      <c r="AF185" s="372"/>
      <c r="AG185" s="372">
        <f>Roles!$D$7</f>
        <v>0.12</v>
      </c>
      <c r="AH185" s="372"/>
      <c r="AI185" s="203" t="str">
        <f t="shared" si="12"/>
        <v>#DIV/0!</v>
      </c>
      <c r="AJ185" s="372"/>
      <c r="AK185" s="372"/>
      <c r="AL185" s="372">
        <f>Roles!$D$7</f>
        <v>0.12</v>
      </c>
      <c r="AM185" s="372"/>
      <c r="AN185" s="203" t="str">
        <f t="shared" si="13"/>
        <v>#DIV/0!</v>
      </c>
      <c r="AO185" s="372"/>
      <c r="AP185" s="372"/>
      <c r="AQ185" s="372">
        <f>Roles!$D$7</f>
        <v>0.12</v>
      </c>
      <c r="AR185" s="372"/>
      <c r="AS185" s="203" t="str">
        <f t="shared" si="14"/>
        <v>#DIV/0!</v>
      </c>
      <c r="AT185" s="372"/>
      <c r="AU185" s="372"/>
      <c r="AV185" s="372">
        <f>Roles!$D$7</f>
        <v>0.12</v>
      </c>
      <c r="AW185" s="372"/>
      <c r="AX185" s="203" t="str">
        <f t="shared" si="15"/>
        <v>#DIV/0!</v>
      </c>
      <c r="AY185" s="372"/>
      <c r="AZ185" s="372"/>
      <c r="BA185" s="372">
        <f>Roles!$D$7</f>
        <v>0.12</v>
      </c>
      <c r="BB185" s="372"/>
      <c r="BC185" s="203" t="str">
        <f t="shared" si="16"/>
        <v>#DIV/0!</v>
      </c>
      <c r="BD185" s="372"/>
      <c r="BE185" s="372"/>
      <c r="BF185" s="372">
        <f>Roles!$D$7</f>
        <v>0.12</v>
      </c>
      <c r="BG185" s="372"/>
      <c r="BH185" s="203" t="str">
        <f t="shared" si="17"/>
        <v>#DIV/0!</v>
      </c>
      <c r="BI185" s="372"/>
      <c r="BJ185" s="372"/>
      <c r="BK185" s="372">
        <f>Roles!$D$7</f>
        <v>0.12</v>
      </c>
      <c r="BL185" s="372"/>
      <c r="BM185" s="203" t="str">
        <f t="shared" si="18"/>
        <v>#DIV/0!</v>
      </c>
      <c r="BN185" s="372"/>
      <c r="BO185" s="372"/>
      <c r="BP185" s="372">
        <f>Roles!$D$7</f>
        <v>0.12</v>
      </c>
      <c r="BQ185" s="372"/>
      <c r="BR185" s="203" t="str">
        <f t="shared" si="19"/>
        <v>#DIV/0!</v>
      </c>
      <c r="BS185" s="372"/>
      <c r="BT185" s="372"/>
      <c r="BU185" s="372">
        <f>Roles!$D$7</f>
        <v>0.12</v>
      </c>
      <c r="BV185" s="372"/>
      <c r="BW185" s="203" t="str">
        <f t="shared" si="20"/>
        <v>#DIV/0!</v>
      </c>
      <c r="BX185" s="372"/>
      <c r="BY185" s="372"/>
      <c r="BZ185" s="372">
        <f>Roles!$D$7</f>
        <v>0.12</v>
      </c>
      <c r="CA185" s="372"/>
      <c r="CB185" s="203" t="str">
        <f t="shared" si="21"/>
        <v>#DIV/0!</v>
      </c>
      <c r="CC185" s="372"/>
      <c r="CD185" s="372"/>
      <c r="CE185" s="372">
        <f>Roles!$D$7</f>
        <v>0.12</v>
      </c>
      <c r="CF185" s="372"/>
      <c r="CG185" s="203" t="str">
        <f t="shared" si="22"/>
        <v>#DIV/0!</v>
      </c>
      <c r="CH185" s="372"/>
      <c r="CI185" s="372"/>
      <c r="CJ185" s="372">
        <f>Roles!$D$7</f>
        <v>0.12</v>
      </c>
      <c r="CK185" s="372"/>
      <c r="CL185" s="203" t="str">
        <f t="shared" si="23"/>
        <v>#DIV/0!</v>
      </c>
      <c r="CM185" s="372"/>
      <c r="CN185" s="372"/>
      <c r="CO185" s="372">
        <f>Roles!$D$7</f>
        <v>0.12</v>
      </c>
      <c r="CP185" s="372"/>
      <c r="CQ185" s="203" t="str">
        <f t="shared" si="24"/>
        <v>#DIV/0!</v>
      </c>
      <c r="CR185" s="372"/>
      <c r="CS185" s="372"/>
      <c r="CT185" s="372">
        <f>Roles!$D$7</f>
        <v>0.12</v>
      </c>
      <c r="CU185" s="372"/>
      <c r="CV185" s="203" t="str">
        <f t="shared" si="25"/>
        <v>#DIV/0!</v>
      </c>
      <c r="CW185" s="372"/>
      <c r="CX185" s="372"/>
      <c r="CY185" s="372">
        <f>Roles!$D$7</f>
        <v>0.12</v>
      </c>
      <c r="CZ185" s="372"/>
      <c r="DA185" s="203" t="str">
        <f t="shared" si="26"/>
        <v>#DIV/0!</v>
      </c>
      <c r="DB185" s="372"/>
      <c r="DC185" s="372"/>
      <c r="DD185" s="372">
        <f>Roles!$D$7</f>
        <v>0.12</v>
      </c>
      <c r="DE185" s="372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 t="shared" si="1"/>
        <v>21</v>
      </c>
      <c r="F186" s="240">
        <f>F187+F194+F198+F202+F206</f>
        <v>209</v>
      </c>
      <c r="G186" s="105">
        <f t="shared" si="2"/>
        <v>0.1800172265</v>
      </c>
      <c r="H186" s="224">
        <f>H211</f>
        <v>0.8975021533</v>
      </c>
      <c r="I186" s="241">
        <f>I187+I194+I198+I202+I206</f>
        <v>35</v>
      </c>
      <c r="J186" s="241">
        <f>J211</f>
        <v>1066</v>
      </c>
      <c r="K186" s="138">
        <f t="shared" si="3"/>
        <v>0.9367311072</v>
      </c>
      <c r="L186" s="241">
        <f>L187+L194+L198+L202+L206</f>
        <v>15.4</v>
      </c>
      <c r="M186" s="241">
        <f>M211</f>
        <v>469.04</v>
      </c>
      <c r="N186" s="7"/>
      <c r="O186" s="203">
        <f t="shared" si="7"/>
        <v>0</v>
      </c>
      <c r="P186" s="372"/>
      <c r="Q186" s="372"/>
      <c r="R186" s="372">
        <f>Roles!$D$5</f>
        <v>0.44</v>
      </c>
      <c r="S186" s="372">
        <f t="shared" si="8"/>
        <v>0</v>
      </c>
      <c r="T186" s="203">
        <f t="shared" si="9"/>
        <v>0</v>
      </c>
      <c r="U186" s="372"/>
      <c r="V186" s="372"/>
      <c r="W186" s="372">
        <f>Roles!$D$7</f>
        <v>0.12</v>
      </c>
      <c r="X186" s="372"/>
      <c r="Y186" s="203">
        <f t="shared" si="10"/>
        <v>0</v>
      </c>
      <c r="Z186" s="372"/>
      <c r="AA186" s="372"/>
      <c r="AB186" s="372">
        <f>Roles!$D$7</f>
        <v>0.12</v>
      </c>
      <c r="AC186" s="372"/>
      <c r="AD186" s="203">
        <f t="shared" si="11"/>
        <v>0</v>
      </c>
      <c r="AE186" s="372"/>
      <c r="AF186" s="372"/>
      <c r="AG186" s="372">
        <f>Roles!$D$7</f>
        <v>0.12</v>
      </c>
      <c r="AH186" s="372"/>
      <c r="AI186" s="203">
        <f t="shared" si="12"/>
        <v>0</v>
      </c>
      <c r="AJ186" s="372"/>
      <c r="AK186" s="372"/>
      <c r="AL186" s="372">
        <f>Roles!$D$7</f>
        <v>0.12</v>
      </c>
      <c r="AM186" s="372"/>
      <c r="AN186" s="203">
        <f t="shared" si="13"/>
        <v>0</v>
      </c>
      <c r="AO186" s="372"/>
      <c r="AP186" s="372"/>
      <c r="AQ186" s="372">
        <f>Roles!$D$7</f>
        <v>0.12</v>
      </c>
      <c r="AR186" s="372"/>
      <c r="AS186" s="203">
        <f t="shared" si="14"/>
        <v>0</v>
      </c>
      <c r="AT186" s="372"/>
      <c r="AU186" s="372"/>
      <c r="AV186" s="372">
        <f>Roles!$D$7</f>
        <v>0.12</v>
      </c>
      <c r="AW186" s="372"/>
      <c r="AX186" s="203">
        <f t="shared" si="15"/>
        <v>0</v>
      </c>
      <c r="AY186" s="372"/>
      <c r="AZ186" s="372"/>
      <c r="BA186" s="372">
        <f>Roles!$D$7</f>
        <v>0.12</v>
      </c>
      <c r="BB186" s="372"/>
      <c r="BC186" s="203">
        <f t="shared" si="16"/>
        <v>0</v>
      </c>
      <c r="BD186" s="372"/>
      <c r="BE186" s="372"/>
      <c r="BF186" s="372">
        <f>Roles!$D$7</f>
        <v>0.12</v>
      </c>
      <c r="BG186" s="372"/>
      <c r="BH186" s="203">
        <f t="shared" si="17"/>
        <v>0</v>
      </c>
      <c r="BI186" s="372"/>
      <c r="BJ186" s="372"/>
      <c r="BK186" s="372">
        <f>Roles!$D$7</f>
        <v>0.12</v>
      </c>
      <c r="BL186" s="372"/>
      <c r="BM186" s="203">
        <f t="shared" si="18"/>
        <v>0</v>
      </c>
      <c r="BN186" s="372"/>
      <c r="BO186" s="372"/>
      <c r="BP186" s="372">
        <f>Roles!$D$7</f>
        <v>0.12</v>
      </c>
      <c r="BQ186" s="372"/>
      <c r="BR186" s="203">
        <f t="shared" si="19"/>
        <v>0</v>
      </c>
      <c r="BS186" s="372"/>
      <c r="BT186" s="372"/>
      <c r="BU186" s="372">
        <f>Roles!$D$7</f>
        <v>0.12</v>
      </c>
      <c r="BV186" s="372"/>
      <c r="BW186" s="203">
        <f t="shared" si="20"/>
        <v>0</v>
      </c>
      <c r="BX186" s="372"/>
      <c r="BY186" s="372"/>
      <c r="BZ186" s="372">
        <f>Roles!$D$7</f>
        <v>0.12</v>
      </c>
      <c r="CA186" s="372"/>
      <c r="CB186" s="203">
        <f t="shared" si="21"/>
        <v>0</v>
      </c>
      <c r="CC186" s="372"/>
      <c r="CD186" s="372"/>
      <c r="CE186" s="372">
        <f>Roles!$D$7</f>
        <v>0.12</v>
      </c>
      <c r="CF186" s="372"/>
      <c r="CG186" s="203">
        <f t="shared" si="22"/>
        <v>0</v>
      </c>
      <c r="CH186" s="372"/>
      <c r="CI186" s="372"/>
      <c r="CJ186" s="372">
        <f>Roles!$D$7</f>
        <v>0.12</v>
      </c>
      <c r="CK186" s="372"/>
      <c r="CL186" s="203">
        <f t="shared" si="23"/>
        <v>0</v>
      </c>
      <c r="CM186" s="372"/>
      <c r="CN186" s="372"/>
      <c r="CO186" s="372">
        <f>Roles!$D$7</f>
        <v>0.12</v>
      </c>
      <c r="CP186" s="372"/>
      <c r="CQ186" s="203">
        <f t="shared" si="24"/>
        <v>0</v>
      </c>
      <c r="CR186" s="372"/>
      <c r="CS186" s="372"/>
      <c r="CT186" s="372">
        <f>Roles!$D$7</f>
        <v>0.12</v>
      </c>
      <c r="CU186" s="372"/>
      <c r="CV186" s="203">
        <f t="shared" si="25"/>
        <v>0</v>
      </c>
      <c r="CW186" s="372"/>
      <c r="CX186" s="372"/>
      <c r="CY186" s="372">
        <f>Roles!$D$7</f>
        <v>0.12</v>
      </c>
      <c r="CZ186" s="372"/>
      <c r="DA186" s="203">
        <f t="shared" si="26"/>
        <v>0</v>
      </c>
      <c r="DB186" s="372"/>
      <c r="DC186" s="372"/>
      <c r="DD186" s="372">
        <f>Roles!$D$7</f>
        <v>0.12</v>
      </c>
      <c r="DE186" s="372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 t="shared" si="1"/>
        <v>14</v>
      </c>
      <c r="F187" s="246">
        <f>SUM(F188:F193)</f>
        <v>19</v>
      </c>
      <c r="G187" s="105">
        <f t="shared" si="2"/>
        <v>0.01636520241</v>
      </c>
      <c r="H187" s="226">
        <f>H193</f>
        <v>0.7338501292</v>
      </c>
      <c r="I187" s="247">
        <f>SUM(I188:I193)</f>
        <v>32</v>
      </c>
      <c r="J187" s="247">
        <f>J193</f>
        <v>1063</v>
      </c>
      <c r="K187" s="167">
        <f t="shared" si="3"/>
        <v>0.9340949033</v>
      </c>
      <c r="L187" s="247">
        <f>SUM(L188:L193)</f>
        <v>14.08</v>
      </c>
      <c r="M187" s="247">
        <f>M193</f>
        <v>467.72</v>
      </c>
      <c r="N187" s="7"/>
      <c r="O187" s="203">
        <f t="shared" si="7"/>
        <v>0</v>
      </c>
      <c r="P187" s="372"/>
      <c r="Q187" s="372"/>
      <c r="R187" s="372">
        <f>Roles!$D$5</f>
        <v>0.44</v>
      </c>
      <c r="S187" s="372">
        <f t="shared" si="8"/>
        <v>0</v>
      </c>
      <c r="T187" s="203">
        <f t="shared" si="9"/>
        <v>0</v>
      </c>
      <c r="U187" s="372"/>
      <c r="V187" s="372"/>
      <c r="W187" s="372">
        <f>Roles!$D$7</f>
        <v>0.12</v>
      </c>
      <c r="X187" s="372"/>
      <c r="Y187" s="203">
        <f t="shared" si="10"/>
        <v>0</v>
      </c>
      <c r="Z187" s="372"/>
      <c r="AA187" s="372"/>
      <c r="AB187" s="372">
        <f>Roles!$D$7</f>
        <v>0.12</v>
      </c>
      <c r="AC187" s="372"/>
      <c r="AD187" s="203">
        <f t="shared" si="11"/>
        <v>0</v>
      </c>
      <c r="AE187" s="372"/>
      <c r="AF187" s="372"/>
      <c r="AG187" s="372">
        <f>Roles!$D$7</f>
        <v>0.12</v>
      </c>
      <c r="AH187" s="372"/>
      <c r="AI187" s="203">
        <f t="shared" si="12"/>
        <v>0</v>
      </c>
      <c r="AJ187" s="372"/>
      <c r="AK187" s="372"/>
      <c r="AL187" s="372">
        <f>Roles!$D$7</f>
        <v>0.12</v>
      </c>
      <c r="AM187" s="372"/>
      <c r="AN187" s="203">
        <f t="shared" si="13"/>
        <v>0</v>
      </c>
      <c r="AO187" s="372"/>
      <c r="AP187" s="372"/>
      <c r="AQ187" s="372">
        <f>Roles!$D$7</f>
        <v>0.12</v>
      </c>
      <c r="AR187" s="372"/>
      <c r="AS187" s="203">
        <f t="shared" si="14"/>
        <v>0</v>
      </c>
      <c r="AT187" s="372"/>
      <c r="AU187" s="372"/>
      <c r="AV187" s="372">
        <f>Roles!$D$7</f>
        <v>0.12</v>
      </c>
      <c r="AW187" s="372"/>
      <c r="AX187" s="203">
        <f t="shared" si="15"/>
        <v>0</v>
      </c>
      <c r="AY187" s="372"/>
      <c r="AZ187" s="372"/>
      <c r="BA187" s="372">
        <f>Roles!$D$7</f>
        <v>0.12</v>
      </c>
      <c r="BB187" s="372"/>
      <c r="BC187" s="203">
        <f t="shared" si="16"/>
        <v>0</v>
      </c>
      <c r="BD187" s="372"/>
      <c r="BE187" s="372"/>
      <c r="BF187" s="372">
        <f>Roles!$D$7</f>
        <v>0.12</v>
      </c>
      <c r="BG187" s="372"/>
      <c r="BH187" s="203">
        <f t="shared" si="17"/>
        <v>0</v>
      </c>
      <c r="BI187" s="372"/>
      <c r="BJ187" s="372"/>
      <c r="BK187" s="372">
        <f>Roles!$D$7</f>
        <v>0.12</v>
      </c>
      <c r="BL187" s="372"/>
      <c r="BM187" s="203">
        <f t="shared" si="18"/>
        <v>0</v>
      </c>
      <c r="BN187" s="372"/>
      <c r="BO187" s="372"/>
      <c r="BP187" s="372">
        <f>Roles!$D$7</f>
        <v>0.12</v>
      </c>
      <c r="BQ187" s="372"/>
      <c r="BR187" s="203">
        <f t="shared" si="19"/>
        <v>0</v>
      </c>
      <c r="BS187" s="372"/>
      <c r="BT187" s="372"/>
      <c r="BU187" s="372">
        <f>Roles!$D$7</f>
        <v>0.12</v>
      </c>
      <c r="BV187" s="372"/>
      <c r="BW187" s="203">
        <f t="shared" si="20"/>
        <v>0</v>
      </c>
      <c r="BX187" s="372"/>
      <c r="BY187" s="372"/>
      <c r="BZ187" s="372">
        <f>Roles!$D$7</f>
        <v>0.12</v>
      </c>
      <c r="CA187" s="372"/>
      <c r="CB187" s="203">
        <f t="shared" si="21"/>
        <v>0</v>
      </c>
      <c r="CC187" s="372"/>
      <c r="CD187" s="372"/>
      <c r="CE187" s="372">
        <f>Roles!$D$7</f>
        <v>0.12</v>
      </c>
      <c r="CF187" s="372"/>
      <c r="CG187" s="203">
        <f t="shared" si="22"/>
        <v>0</v>
      </c>
      <c r="CH187" s="372"/>
      <c r="CI187" s="372"/>
      <c r="CJ187" s="372">
        <f>Roles!$D$7</f>
        <v>0.12</v>
      </c>
      <c r="CK187" s="372"/>
      <c r="CL187" s="203">
        <f t="shared" si="23"/>
        <v>0</v>
      </c>
      <c r="CM187" s="372"/>
      <c r="CN187" s="372"/>
      <c r="CO187" s="372">
        <f>Roles!$D$7</f>
        <v>0.12</v>
      </c>
      <c r="CP187" s="372"/>
      <c r="CQ187" s="203">
        <f t="shared" si="24"/>
        <v>0</v>
      </c>
      <c r="CR187" s="372"/>
      <c r="CS187" s="372"/>
      <c r="CT187" s="372">
        <f>Roles!$D$7</f>
        <v>0.12</v>
      </c>
      <c r="CU187" s="372"/>
      <c r="CV187" s="203">
        <f t="shared" si="25"/>
        <v>0</v>
      </c>
      <c r="CW187" s="372"/>
      <c r="CX187" s="372"/>
      <c r="CY187" s="372">
        <f>Roles!$D$7</f>
        <v>0.12</v>
      </c>
      <c r="CZ187" s="372"/>
      <c r="DA187" s="203">
        <f t="shared" si="26"/>
        <v>0</v>
      </c>
      <c r="DB187" s="372"/>
      <c r="DC187" s="372"/>
      <c r="DD187" s="372">
        <f>Roles!$D$7</f>
        <v>0.12</v>
      </c>
      <c r="DE187" s="372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 t="shared" si="1"/>
        <v>2</v>
      </c>
      <c r="F188" s="80">
        <v>3.0</v>
      </c>
      <c r="G188" s="105">
        <f t="shared" si="2"/>
        <v>0.002583979328</v>
      </c>
      <c r="H188" s="47">
        <f>H185+G188</f>
        <v>0.7200689061</v>
      </c>
      <c r="I188" s="231">
        <f t="shared" ref="I188:I193" si="175">P188+U188+Z188+AE188+AJ188+AO188+AT188+AY188+BD188+BI188+BN188+BS188+BX188+CC188+CH188+CM188+CR188+CW188+DB188</f>
        <v>6</v>
      </c>
      <c r="J188" s="172">
        <f>J185+I188</f>
        <v>1037</v>
      </c>
      <c r="K188" s="115">
        <f t="shared" si="3"/>
        <v>0.9112478032</v>
      </c>
      <c r="L188" s="232">
        <f t="shared" ref="L188:L193" si="176">S188+X188+AC188+AH188+AM188+AR188+AW188+BB188+BG188+BL188+BQ188+BV188+CA188+CF188+CK188+CP188+CU188+CZ188+DE188</f>
        <v>2.64</v>
      </c>
      <c r="M188" s="172">
        <f>M185+L188</f>
        <v>456.28</v>
      </c>
      <c r="N188" s="7"/>
      <c r="O188" s="203">
        <f t="shared" si="7"/>
        <v>2</v>
      </c>
      <c r="P188" s="378">
        <v>6.0</v>
      </c>
      <c r="Q188" s="372"/>
      <c r="R188" s="372">
        <f>Roles!$D$5</f>
        <v>0.44</v>
      </c>
      <c r="S188" s="372">
        <f t="shared" si="8"/>
        <v>2.64</v>
      </c>
      <c r="T188" s="203">
        <f t="shared" si="9"/>
        <v>0</v>
      </c>
      <c r="U188" s="372"/>
      <c r="V188" s="372"/>
      <c r="W188" s="372">
        <f>Roles!$D$7</f>
        <v>0.12</v>
      </c>
      <c r="X188" s="372"/>
      <c r="Y188" s="203">
        <f t="shared" si="10"/>
        <v>0</v>
      </c>
      <c r="Z188" s="372"/>
      <c r="AA188" s="372"/>
      <c r="AB188" s="372">
        <f>Roles!$D$7</f>
        <v>0.12</v>
      </c>
      <c r="AC188" s="372"/>
      <c r="AD188" s="203">
        <f t="shared" si="11"/>
        <v>0</v>
      </c>
      <c r="AE188" s="372"/>
      <c r="AF188" s="372"/>
      <c r="AG188" s="372">
        <f>Roles!$D$7</f>
        <v>0.12</v>
      </c>
      <c r="AH188" s="372"/>
      <c r="AI188" s="203">
        <f t="shared" si="12"/>
        <v>0</v>
      </c>
      <c r="AJ188" s="372"/>
      <c r="AK188" s="372"/>
      <c r="AL188" s="372">
        <f>Roles!$D$7</f>
        <v>0.12</v>
      </c>
      <c r="AM188" s="372"/>
      <c r="AN188" s="203">
        <f t="shared" si="13"/>
        <v>0</v>
      </c>
      <c r="AO188" s="372"/>
      <c r="AP188" s="372"/>
      <c r="AQ188" s="372">
        <f>Roles!$D$7</f>
        <v>0.12</v>
      </c>
      <c r="AR188" s="372"/>
      <c r="AS188" s="203">
        <f t="shared" si="14"/>
        <v>0</v>
      </c>
      <c r="AT188" s="372"/>
      <c r="AU188" s="372"/>
      <c r="AV188" s="372">
        <f>Roles!$D$7</f>
        <v>0.12</v>
      </c>
      <c r="AW188" s="372"/>
      <c r="AX188" s="203">
        <f t="shared" si="15"/>
        <v>0</v>
      </c>
      <c r="AY188" s="372"/>
      <c r="AZ188" s="372"/>
      <c r="BA188" s="372">
        <f>Roles!$D$7</f>
        <v>0.12</v>
      </c>
      <c r="BB188" s="372"/>
      <c r="BC188" s="203">
        <f t="shared" si="16"/>
        <v>0</v>
      </c>
      <c r="BD188" s="372"/>
      <c r="BE188" s="372"/>
      <c r="BF188" s="372">
        <f>Roles!$D$7</f>
        <v>0.12</v>
      </c>
      <c r="BG188" s="372"/>
      <c r="BH188" s="203">
        <f t="shared" si="17"/>
        <v>0</v>
      </c>
      <c r="BI188" s="372"/>
      <c r="BJ188" s="372"/>
      <c r="BK188" s="372">
        <f>Roles!$D$7</f>
        <v>0.12</v>
      </c>
      <c r="BL188" s="372"/>
      <c r="BM188" s="203">
        <f t="shared" si="18"/>
        <v>0</v>
      </c>
      <c r="BN188" s="372"/>
      <c r="BO188" s="372"/>
      <c r="BP188" s="372">
        <f>Roles!$D$7</f>
        <v>0.12</v>
      </c>
      <c r="BQ188" s="372"/>
      <c r="BR188" s="203">
        <f t="shared" si="19"/>
        <v>0</v>
      </c>
      <c r="BS188" s="372"/>
      <c r="BT188" s="372"/>
      <c r="BU188" s="372">
        <f>Roles!$D$7</f>
        <v>0.12</v>
      </c>
      <c r="BV188" s="372"/>
      <c r="BW188" s="203">
        <f t="shared" si="20"/>
        <v>0</v>
      </c>
      <c r="BX188" s="372"/>
      <c r="BY188" s="372"/>
      <c r="BZ188" s="372">
        <f>Roles!$D$7</f>
        <v>0.12</v>
      </c>
      <c r="CA188" s="372"/>
      <c r="CB188" s="203">
        <f t="shared" si="21"/>
        <v>0</v>
      </c>
      <c r="CC188" s="372"/>
      <c r="CD188" s="372"/>
      <c r="CE188" s="372">
        <f>Roles!$D$7</f>
        <v>0.12</v>
      </c>
      <c r="CF188" s="372"/>
      <c r="CG188" s="203">
        <f t="shared" si="22"/>
        <v>0</v>
      </c>
      <c r="CH188" s="372"/>
      <c r="CI188" s="372"/>
      <c r="CJ188" s="372">
        <f>Roles!$D$7</f>
        <v>0.12</v>
      </c>
      <c r="CK188" s="372"/>
      <c r="CL188" s="203">
        <f t="shared" si="23"/>
        <v>0</v>
      </c>
      <c r="CM188" s="372"/>
      <c r="CN188" s="372"/>
      <c r="CO188" s="372">
        <f>Roles!$D$7</f>
        <v>0.12</v>
      </c>
      <c r="CP188" s="372"/>
      <c r="CQ188" s="203">
        <f t="shared" si="24"/>
        <v>0</v>
      </c>
      <c r="CR188" s="372"/>
      <c r="CS188" s="372"/>
      <c r="CT188" s="372">
        <f>Roles!$D$7</f>
        <v>0.12</v>
      </c>
      <c r="CU188" s="372"/>
      <c r="CV188" s="203">
        <f t="shared" si="25"/>
        <v>0</v>
      </c>
      <c r="CW188" s="372"/>
      <c r="CX188" s="372"/>
      <c r="CY188" s="372">
        <f>Roles!$D$7</f>
        <v>0.12</v>
      </c>
      <c r="CZ188" s="372"/>
      <c r="DA188" s="203">
        <f t="shared" si="26"/>
        <v>0</v>
      </c>
      <c r="DB188" s="372"/>
      <c r="DC188" s="372"/>
      <c r="DD188" s="372">
        <f>Roles!$D$7</f>
        <v>0.12</v>
      </c>
      <c r="DE188" s="372"/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 t="shared" si="1"/>
        <v>3</v>
      </c>
      <c r="F189" s="80">
        <v>4.0</v>
      </c>
      <c r="G189" s="105">
        <f t="shared" si="2"/>
        <v>0.003445305771</v>
      </c>
      <c r="H189" s="47">
        <f t="shared" ref="H189:H193" si="177">H188+G189</f>
        <v>0.7235142119</v>
      </c>
      <c r="I189" s="231">
        <f t="shared" si="175"/>
        <v>4</v>
      </c>
      <c r="J189" s="172">
        <f t="shared" ref="J189:J193" si="178">J188+I189</f>
        <v>1041</v>
      </c>
      <c r="K189" s="115">
        <f t="shared" si="3"/>
        <v>0.9147627417</v>
      </c>
      <c r="L189" s="232">
        <f t="shared" si="176"/>
        <v>1.76</v>
      </c>
      <c r="M189" s="172">
        <f t="shared" ref="M189:M193" si="179">M188+L189</f>
        <v>458.04</v>
      </c>
      <c r="N189" s="7"/>
      <c r="O189" s="203">
        <f t="shared" si="7"/>
        <v>1</v>
      </c>
      <c r="P189" s="378">
        <v>4.0</v>
      </c>
      <c r="Q189" s="372"/>
      <c r="R189" s="372">
        <f>Roles!$D$5</f>
        <v>0.44</v>
      </c>
      <c r="S189" s="372">
        <f t="shared" si="8"/>
        <v>1.76</v>
      </c>
      <c r="T189" s="203">
        <f t="shared" si="9"/>
        <v>0</v>
      </c>
      <c r="U189" s="372"/>
      <c r="V189" s="372"/>
      <c r="W189" s="372">
        <f>Roles!$D$7</f>
        <v>0.12</v>
      </c>
      <c r="X189" s="372"/>
      <c r="Y189" s="203">
        <f t="shared" si="10"/>
        <v>0</v>
      </c>
      <c r="Z189" s="372"/>
      <c r="AA189" s="372"/>
      <c r="AB189" s="372">
        <f>Roles!$D$7</f>
        <v>0.12</v>
      </c>
      <c r="AC189" s="372"/>
      <c r="AD189" s="203">
        <f t="shared" si="11"/>
        <v>0</v>
      </c>
      <c r="AE189" s="372"/>
      <c r="AF189" s="372"/>
      <c r="AG189" s="372">
        <f>Roles!$D$7</f>
        <v>0.12</v>
      </c>
      <c r="AH189" s="372"/>
      <c r="AI189" s="203">
        <f t="shared" si="12"/>
        <v>0</v>
      </c>
      <c r="AJ189" s="372"/>
      <c r="AK189" s="372"/>
      <c r="AL189" s="372">
        <f>Roles!$D$7</f>
        <v>0.12</v>
      </c>
      <c r="AM189" s="372"/>
      <c r="AN189" s="203">
        <f t="shared" si="13"/>
        <v>0</v>
      </c>
      <c r="AO189" s="372"/>
      <c r="AP189" s="372"/>
      <c r="AQ189" s="372">
        <f>Roles!$D$7</f>
        <v>0.12</v>
      </c>
      <c r="AR189" s="372"/>
      <c r="AS189" s="203">
        <f t="shared" si="14"/>
        <v>0</v>
      </c>
      <c r="AT189" s="372"/>
      <c r="AU189" s="372"/>
      <c r="AV189" s="372">
        <f>Roles!$D$7</f>
        <v>0.12</v>
      </c>
      <c r="AW189" s="372"/>
      <c r="AX189" s="203">
        <f t="shared" si="15"/>
        <v>0</v>
      </c>
      <c r="AY189" s="372"/>
      <c r="AZ189" s="372"/>
      <c r="BA189" s="372">
        <f>Roles!$D$7</f>
        <v>0.12</v>
      </c>
      <c r="BB189" s="372"/>
      <c r="BC189" s="203">
        <f t="shared" si="16"/>
        <v>0</v>
      </c>
      <c r="BD189" s="372"/>
      <c r="BE189" s="372"/>
      <c r="BF189" s="372">
        <f>Roles!$D$7</f>
        <v>0.12</v>
      </c>
      <c r="BG189" s="372"/>
      <c r="BH189" s="203">
        <f t="shared" si="17"/>
        <v>0</v>
      </c>
      <c r="BI189" s="372"/>
      <c r="BJ189" s="372"/>
      <c r="BK189" s="372">
        <f>Roles!$D$7</f>
        <v>0.12</v>
      </c>
      <c r="BL189" s="372"/>
      <c r="BM189" s="203">
        <f t="shared" si="18"/>
        <v>0</v>
      </c>
      <c r="BN189" s="372"/>
      <c r="BO189" s="372"/>
      <c r="BP189" s="372">
        <f>Roles!$D$7</f>
        <v>0.12</v>
      </c>
      <c r="BQ189" s="372"/>
      <c r="BR189" s="203">
        <f t="shared" si="19"/>
        <v>0</v>
      </c>
      <c r="BS189" s="372"/>
      <c r="BT189" s="372"/>
      <c r="BU189" s="372">
        <f>Roles!$D$7</f>
        <v>0.12</v>
      </c>
      <c r="BV189" s="372"/>
      <c r="BW189" s="203">
        <f t="shared" si="20"/>
        <v>0</v>
      </c>
      <c r="BX189" s="372"/>
      <c r="BY189" s="372"/>
      <c r="BZ189" s="372">
        <f>Roles!$D$7</f>
        <v>0.12</v>
      </c>
      <c r="CA189" s="372"/>
      <c r="CB189" s="203">
        <f t="shared" si="21"/>
        <v>0</v>
      </c>
      <c r="CC189" s="372"/>
      <c r="CD189" s="372"/>
      <c r="CE189" s="372">
        <f>Roles!$D$7</f>
        <v>0.12</v>
      </c>
      <c r="CF189" s="372"/>
      <c r="CG189" s="203">
        <f t="shared" si="22"/>
        <v>0</v>
      </c>
      <c r="CH189" s="372"/>
      <c r="CI189" s="372"/>
      <c r="CJ189" s="372">
        <f>Roles!$D$7</f>
        <v>0.12</v>
      </c>
      <c r="CK189" s="372"/>
      <c r="CL189" s="203">
        <f t="shared" si="23"/>
        <v>0</v>
      </c>
      <c r="CM189" s="372"/>
      <c r="CN189" s="372"/>
      <c r="CO189" s="372">
        <f>Roles!$D$7</f>
        <v>0.12</v>
      </c>
      <c r="CP189" s="372"/>
      <c r="CQ189" s="203">
        <f t="shared" si="24"/>
        <v>0</v>
      </c>
      <c r="CR189" s="372"/>
      <c r="CS189" s="372"/>
      <c r="CT189" s="372">
        <f>Roles!$D$7</f>
        <v>0.12</v>
      </c>
      <c r="CU189" s="372"/>
      <c r="CV189" s="203">
        <f t="shared" si="25"/>
        <v>0</v>
      </c>
      <c r="CW189" s="372"/>
      <c r="CX189" s="372"/>
      <c r="CY189" s="372">
        <f>Roles!$D$7</f>
        <v>0.12</v>
      </c>
      <c r="CZ189" s="372"/>
      <c r="DA189" s="203">
        <f t="shared" si="26"/>
        <v>0</v>
      </c>
      <c r="DB189" s="372"/>
      <c r="DC189" s="372"/>
      <c r="DD189" s="372">
        <f>Roles!$D$7</f>
        <v>0.12</v>
      </c>
      <c r="DE189" s="372"/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 t="shared" si="1"/>
        <v>2</v>
      </c>
      <c r="F190" s="80">
        <v>3.0</v>
      </c>
      <c r="G190" s="105">
        <f t="shared" si="2"/>
        <v>0.002583979328</v>
      </c>
      <c r="H190" s="47">
        <f t="shared" si="177"/>
        <v>0.7260981912</v>
      </c>
      <c r="I190" s="231">
        <f t="shared" si="175"/>
        <v>6</v>
      </c>
      <c r="J190" s="172">
        <f t="shared" si="178"/>
        <v>1047</v>
      </c>
      <c r="K190" s="115">
        <f t="shared" si="3"/>
        <v>0.9200351494</v>
      </c>
      <c r="L190" s="232">
        <f t="shared" si="176"/>
        <v>2.64</v>
      </c>
      <c r="M190" s="172">
        <f t="shared" si="179"/>
        <v>460.68</v>
      </c>
      <c r="N190" s="7"/>
      <c r="O190" s="203">
        <f t="shared" si="7"/>
        <v>2</v>
      </c>
      <c r="P190" s="378">
        <v>6.0</v>
      </c>
      <c r="Q190" s="372"/>
      <c r="R190" s="372">
        <f>Roles!$D$5</f>
        <v>0.44</v>
      </c>
      <c r="S190" s="372">
        <f t="shared" si="8"/>
        <v>2.64</v>
      </c>
      <c r="T190" s="203">
        <f t="shared" si="9"/>
        <v>0</v>
      </c>
      <c r="U190" s="372"/>
      <c r="V190" s="372"/>
      <c r="W190" s="372">
        <f>Roles!$D$7</f>
        <v>0.12</v>
      </c>
      <c r="X190" s="372"/>
      <c r="Y190" s="203">
        <f t="shared" si="10"/>
        <v>0</v>
      </c>
      <c r="Z190" s="372"/>
      <c r="AA190" s="372"/>
      <c r="AB190" s="372">
        <f>Roles!$D$7</f>
        <v>0.12</v>
      </c>
      <c r="AC190" s="372"/>
      <c r="AD190" s="203">
        <f t="shared" si="11"/>
        <v>0</v>
      </c>
      <c r="AE190" s="372"/>
      <c r="AF190" s="372"/>
      <c r="AG190" s="372">
        <f>Roles!$D$7</f>
        <v>0.12</v>
      </c>
      <c r="AH190" s="372"/>
      <c r="AI190" s="203">
        <f t="shared" si="12"/>
        <v>0</v>
      </c>
      <c r="AJ190" s="372"/>
      <c r="AK190" s="372"/>
      <c r="AL190" s="372">
        <f>Roles!$D$7</f>
        <v>0.12</v>
      </c>
      <c r="AM190" s="372"/>
      <c r="AN190" s="203">
        <f t="shared" si="13"/>
        <v>0</v>
      </c>
      <c r="AO190" s="372"/>
      <c r="AP190" s="372"/>
      <c r="AQ190" s="372">
        <f>Roles!$D$7</f>
        <v>0.12</v>
      </c>
      <c r="AR190" s="372"/>
      <c r="AS190" s="203">
        <f t="shared" si="14"/>
        <v>0</v>
      </c>
      <c r="AT190" s="372"/>
      <c r="AU190" s="372"/>
      <c r="AV190" s="372">
        <f>Roles!$D$7</f>
        <v>0.12</v>
      </c>
      <c r="AW190" s="372"/>
      <c r="AX190" s="203">
        <f t="shared" si="15"/>
        <v>0</v>
      </c>
      <c r="AY190" s="372"/>
      <c r="AZ190" s="372"/>
      <c r="BA190" s="372">
        <f>Roles!$D$7</f>
        <v>0.12</v>
      </c>
      <c r="BB190" s="372"/>
      <c r="BC190" s="203">
        <f t="shared" si="16"/>
        <v>0</v>
      </c>
      <c r="BD190" s="372"/>
      <c r="BE190" s="372"/>
      <c r="BF190" s="372">
        <f>Roles!$D$7</f>
        <v>0.12</v>
      </c>
      <c r="BG190" s="372"/>
      <c r="BH190" s="203">
        <f t="shared" si="17"/>
        <v>0</v>
      </c>
      <c r="BI190" s="372"/>
      <c r="BJ190" s="372"/>
      <c r="BK190" s="372">
        <f>Roles!$D$7</f>
        <v>0.12</v>
      </c>
      <c r="BL190" s="372"/>
      <c r="BM190" s="203">
        <f t="shared" si="18"/>
        <v>0</v>
      </c>
      <c r="BN190" s="372"/>
      <c r="BO190" s="372"/>
      <c r="BP190" s="372">
        <f>Roles!$D$7</f>
        <v>0.12</v>
      </c>
      <c r="BQ190" s="372"/>
      <c r="BR190" s="203">
        <f t="shared" si="19"/>
        <v>0</v>
      </c>
      <c r="BS190" s="372"/>
      <c r="BT190" s="372"/>
      <c r="BU190" s="372">
        <f>Roles!$D$7</f>
        <v>0.12</v>
      </c>
      <c r="BV190" s="372"/>
      <c r="BW190" s="203">
        <f t="shared" si="20"/>
        <v>0</v>
      </c>
      <c r="BX190" s="372"/>
      <c r="BY190" s="372"/>
      <c r="BZ190" s="372">
        <f>Roles!$D$7</f>
        <v>0.12</v>
      </c>
      <c r="CA190" s="372"/>
      <c r="CB190" s="203">
        <f t="shared" si="21"/>
        <v>0</v>
      </c>
      <c r="CC190" s="372"/>
      <c r="CD190" s="372"/>
      <c r="CE190" s="372">
        <f>Roles!$D$7</f>
        <v>0.12</v>
      </c>
      <c r="CF190" s="372"/>
      <c r="CG190" s="203">
        <f t="shared" si="22"/>
        <v>0</v>
      </c>
      <c r="CH190" s="372"/>
      <c r="CI190" s="372"/>
      <c r="CJ190" s="372">
        <f>Roles!$D$7</f>
        <v>0.12</v>
      </c>
      <c r="CK190" s="372"/>
      <c r="CL190" s="203">
        <f t="shared" si="23"/>
        <v>0</v>
      </c>
      <c r="CM190" s="372"/>
      <c r="CN190" s="372"/>
      <c r="CO190" s="372">
        <f>Roles!$D$7</f>
        <v>0.12</v>
      </c>
      <c r="CP190" s="372"/>
      <c r="CQ190" s="203">
        <f t="shared" si="24"/>
        <v>0</v>
      </c>
      <c r="CR190" s="372"/>
      <c r="CS190" s="372"/>
      <c r="CT190" s="372">
        <f>Roles!$D$7</f>
        <v>0.12</v>
      </c>
      <c r="CU190" s="372"/>
      <c r="CV190" s="203">
        <f t="shared" si="25"/>
        <v>0</v>
      </c>
      <c r="CW190" s="372"/>
      <c r="CX190" s="372"/>
      <c r="CY190" s="372">
        <f>Roles!$D$7</f>
        <v>0.12</v>
      </c>
      <c r="CZ190" s="372"/>
      <c r="DA190" s="203">
        <f t="shared" si="26"/>
        <v>0</v>
      </c>
      <c r="DB190" s="372"/>
      <c r="DC190" s="372"/>
      <c r="DD190" s="372">
        <f>Roles!$D$7</f>
        <v>0.12</v>
      </c>
      <c r="DE190" s="372"/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 t="shared" si="1"/>
        <v>2</v>
      </c>
      <c r="F191" s="80">
        <v>3.0</v>
      </c>
      <c r="G191" s="105">
        <f t="shared" si="2"/>
        <v>0.002583979328</v>
      </c>
      <c r="H191" s="47">
        <f t="shared" si="177"/>
        <v>0.7286821705</v>
      </c>
      <c r="I191" s="231">
        <f t="shared" si="175"/>
        <v>6</v>
      </c>
      <c r="J191" s="172">
        <f t="shared" si="178"/>
        <v>1053</v>
      </c>
      <c r="K191" s="115">
        <f t="shared" si="3"/>
        <v>0.9253075571</v>
      </c>
      <c r="L191" s="232">
        <f t="shared" si="176"/>
        <v>2.64</v>
      </c>
      <c r="M191" s="172">
        <f t="shared" si="179"/>
        <v>463.32</v>
      </c>
      <c r="N191" s="7"/>
      <c r="O191" s="203">
        <f t="shared" si="7"/>
        <v>2</v>
      </c>
      <c r="P191" s="378">
        <v>6.0</v>
      </c>
      <c r="Q191" s="372"/>
      <c r="R191" s="372">
        <f>Roles!$D$5</f>
        <v>0.44</v>
      </c>
      <c r="S191" s="372">
        <f t="shared" si="8"/>
        <v>2.64</v>
      </c>
      <c r="T191" s="203">
        <f t="shared" si="9"/>
        <v>0</v>
      </c>
      <c r="U191" s="372"/>
      <c r="V191" s="372"/>
      <c r="W191" s="372">
        <f>Roles!$D$7</f>
        <v>0.12</v>
      </c>
      <c r="X191" s="372"/>
      <c r="Y191" s="203">
        <f t="shared" si="10"/>
        <v>0</v>
      </c>
      <c r="Z191" s="372"/>
      <c r="AA191" s="372"/>
      <c r="AB191" s="372">
        <f>Roles!$D$7</f>
        <v>0.12</v>
      </c>
      <c r="AC191" s="372"/>
      <c r="AD191" s="203">
        <f t="shared" si="11"/>
        <v>0</v>
      </c>
      <c r="AE191" s="372"/>
      <c r="AF191" s="372"/>
      <c r="AG191" s="372">
        <f>Roles!$D$7</f>
        <v>0.12</v>
      </c>
      <c r="AH191" s="372"/>
      <c r="AI191" s="203">
        <f t="shared" si="12"/>
        <v>0</v>
      </c>
      <c r="AJ191" s="372"/>
      <c r="AK191" s="372"/>
      <c r="AL191" s="372">
        <f>Roles!$D$7</f>
        <v>0.12</v>
      </c>
      <c r="AM191" s="372"/>
      <c r="AN191" s="203">
        <f t="shared" si="13"/>
        <v>0</v>
      </c>
      <c r="AO191" s="372"/>
      <c r="AP191" s="372"/>
      <c r="AQ191" s="372">
        <f>Roles!$D$7</f>
        <v>0.12</v>
      </c>
      <c r="AR191" s="372"/>
      <c r="AS191" s="203">
        <f t="shared" si="14"/>
        <v>0</v>
      </c>
      <c r="AT191" s="372"/>
      <c r="AU191" s="372"/>
      <c r="AV191" s="372">
        <f>Roles!$D$7</f>
        <v>0.12</v>
      </c>
      <c r="AW191" s="372"/>
      <c r="AX191" s="203">
        <f t="shared" si="15"/>
        <v>0</v>
      </c>
      <c r="AY191" s="372"/>
      <c r="AZ191" s="372"/>
      <c r="BA191" s="372">
        <f>Roles!$D$7</f>
        <v>0.12</v>
      </c>
      <c r="BB191" s="372"/>
      <c r="BC191" s="203">
        <f t="shared" si="16"/>
        <v>0</v>
      </c>
      <c r="BD191" s="372"/>
      <c r="BE191" s="372"/>
      <c r="BF191" s="372">
        <f>Roles!$D$7</f>
        <v>0.12</v>
      </c>
      <c r="BG191" s="372"/>
      <c r="BH191" s="203">
        <f t="shared" si="17"/>
        <v>0</v>
      </c>
      <c r="BI191" s="372"/>
      <c r="BJ191" s="372"/>
      <c r="BK191" s="372">
        <f>Roles!$D$7</f>
        <v>0.12</v>
      </c>
      <c r="BL191" s="372"/>
      <c r="BM191" s="203">
        <f t="shared" si="18"/>
        <v>0</v>
      </c>
      <c r="BN191" s="372"/>
      <c r="BO191" s="372"/>
      <c r="BP191" s="372">
        <f>Roles!$D$7</f>
        <v>0.12</v>
      </c>
      <c r="BQ191" s="372"/>
      <c r="BR191" s="203">
        <f t="shared" si="19"/>
        <v>0</v>
      </c>
      <c r="BS191" s="372"/>
      <c r="BT191" s="372"/>
      <c r="BU191" s="372">
        <f>Roles!$D$7</f>
        <v>0.12</v>
      </c>
      <c r="BV191" s="372"/>
      <c r="BW191" s="203">
        <f t="shared" si="20"/>
        <v>0</v>
      </c>
      <c r="BX191" s="372"/>
      <c r="BY191" s="372"/>
      <c r="BZ191" s="372">
        <f>Roles!$D$7</f>
        <v>0.12</v>
      </c>
      <c r="CA191" s="372"/>
      <c r="CB191" s="203">
        <f t="shared" si="21"/>
        <v>0</v>
      </c>
      <c r="CC191" s="372"/>
      <c r="CD191" s="372"/>
      <c r="CE191" s="372">
        <f>Roles!$D$7</f>
        <v>0.12</v>
      </c>
      <c r="CF191" s="372"/>
      <c r="CG191" s="203">
        <f t="shared" si="22"/>
        <v>0</v>
      </c>
      <c r="CH191" s="372"/>
      <c r="CI191" s="372"/>
      <c r="CJ191" s="372">
        <f>Roles!$D$7</f>
        <v>0.12</v>
      </c>
      <c r="CK191" s="372"/>
      <c r="CL191" s="203">
        <f t="shared" si="23"/>
        <v>0</v>
      </c>
      <c r="CM191" s="372"/>
      <c r="CN191" s="372"/>
      <c r="CO191" s="372">
        <f>Roles!$D$7</f>
        <v>0.12</v>
      </c>
      <c r="CP191" s="372"/>
      <c r="CQ191" s="203">
        <f t="shared" si="24"/>
        <v>0</v>
      </c>
      <c r="CR191" s="372"/>
      <c r="CS191" s="372"/>
      <c r="CT191" s="372">
        <f>Roles!$D$7</f>
        <v>0.12</v>
      </c>
      <c r="CU191" s="372"/>
      <c r="CV191" s="203">
        <f t="shared" si="25"/>
        <v>0</v>
      </c>
      <c r="CW191" s="372"/>
      <c r="CX191" s="372"/>
      <c r="CY191" s="372">
        <f>Roles!$D$7</f>
        <v>0.12</v>
      </c>
      <c r="CZ191" s="372"/>
      <c r="DA191" s="203">
        <f t="shared" si="26"/>
        <v>0</v>
      </c>
      <c r="DB191" s="372"/>
      <c r="DC191" s="372"/>
      <c r="DD191" s="372">
        <f>Roles!$D$7</f>
        <v>0.12</v>
      </c>
      <c r="DE191" s="372"/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 t="shared" si="1"/>
        <v>2</v>
      </c>
      <c r="F192" s="80">
        <v>3.0</v>
      </c>
      <c r="G192" s="105">
        <f t="shared" si="2"/>
        <v>0.002583979328</v>
      </c>
      <c r="H192" s="47">
        <f t="shared" si="177"/>
        <v>0.7312661499</v>
      </c>
      <c r="I192" s="231">
        <f t="shared" si="175"/>
        <v>6</v>
      </c>
      <c r="J192" s="172">
        <f t="shared" si="178"/>
        <v>1059</v>
      </c>
      <c r="K192" s="115">
        <f t="shared" si="3"/>
        <v>0.9305799649</v>
      </c>
      <c r="L192" s="232">
        <f t="shared" si="176"/>
        <v>2.64</v>
      </c>
      <c r="M192" s="172">
        <f t="shared" si="179"/>
        <v>465.96</v>
      </c>
      <c r="N192" s="7"/>
      <c r="O192" s="203">
        <f t="shared" si="7"/>
        <v>2</v>
      </c>
      <c r="P192" s="378">
        <v>6.0</v>
      </c>
      <c r="Q192" s="372"/>
      <c r="R192" s="372">
        <f>Roles!$D$5</f>
        <v>0.44</v>
      </c>
      <c r="S192" s="372">
        <f t="shared" si="8"/>
        <v>2.64</v>
      </c>
      <c r="T192" s="203">
        <f t="shared" si="9"/>
        <v>0</v>
      </c>
      <c r="U192" s="372"/>
      <c r="V192" s="372"/>
      <c r="W192" s="372">
        <f>Roles!$D$7</f>
        <v>0.12</v>
      </c>
      <c r="X192" s="372"/>
      <c r="Y192" s="203">
        <f t="shared" si="10"/>
        <v>0</v>
      </c>
      <c r="Z192" s="372"/>
      <c r="AA192" s="372"/>
      <c r="AB192" s="372">
        <f>Roles!$D$7</f>
        <v>0.12</v>
      </c>
      <c r="AC192" s="372"/>
      <c r="AD192" s="203">
        <f t="shared" si="11"/>
        <v>0</v>
      </c>
      <c r="AE192" s="372"/>
      <c r="AF192" s="372"/>
      <c r="AG192" s="372">
        <f>Roles!$D$7</f>
        <v>0.12</v>
      </c>
      <c r="AH192" s="372"/>
      <c r="AI192" s="203">
        <f t="shared" si="12"/>
        <v>0</v>
      </c>
      <c r="AJ192" s="372"/>
      <c r="AK192" s="372"/>
      <c r="AL192" s="372">
        <f>Roles!$D$7</f>
        <v>0.12</v>
      </c>
      <c r="AM192" s="372"/>
      <c r="AN192" s="203">
        <f t="shared" si="13"/>
        <v>0</v>
      </c>
      <c r="AO192" s="372"/>
      <c r="AP192" s="372"/>
      <c r="AQ192" s="372">
        <f>Roles!$D$7</f>
        <v>0.12</v>
      </c>
      <c r="AR192" s="372"/>
      <c r="AS192" s="203">
        <f t="shared" si="14"/>
        <v>0</v>
      </c>
      <c r="AT192" s="372"/>
      <c r="AU192" s="372"/>
      <c r="AV192" s="372">
        <f>Roles!$D$7</f>
        <v>0.12</v>
      </c>
      <c r="AW192" s="372"/>
      <c r="AX192" s="203">
        <f t="shared" si="15"/>
        <v>0</v>
      </c>
      <c r="AY192" s="372"/>
      <c r="AZ192" s="372"/>
      <c r="BA192" s="372">
        <f>Roles!$D$7</f>
        <v>0.12</v>
      </c>
      <c r="BB192" s="372"/>
      <c r="BC192" s="203">
        <f t="shared" si="16"/>
        <v>0</v>
      </c>
      <c r="BD192" s="372"/>
      <c r="BE192" s="372"/>
      <c r="BF192" s="372">
        <f>Roles!$D$7</f>
        <v>0.12</v>
      </c>
      <c r="BG192" s="372"/>
      <c r="BH192" s="203">
        <f t="shared" si="17"/>
        <v>0</v>
      </c>
      <c r="BI192" s="372"/>
      <c r="BJ192" s="372"/>
      <c r="BK192" s="372">
        <f>Roles!$D$7</f>
        <v>0.12</v>
      </c>
      <c r="BL192" s="372"/>
      <c r="BM192" s="203">
        <f t="shared" si="18"/>
        <v>0</v>
      </c>
      <c r="BN192" s="372"/>
      <c r="BO192" s="372"/>
      <c r="BP192" s="372">
        <f>Roles!$D$7</f>
        <v>0.12</v>
      </c>
      <c r="BQ192" s="372"/>
      <c r="BR192" s="203">
        <f t="shared" si="19"/>
        <v>0</v>
      </c>
      <c r="BS192" s="372"/>
      <c r="BT192" s="372"/>
      <c r="BU192" s="372">
        <f>Roles!$D$7</f>
        <v>0.12</v>
      </c>
      <c r="BV192" s="372"/>
      <c r="BW192" s="203">
        <f t="shared" si="20"/>
        <v>0</v>
      </c>
      <c r="BX192" s="372"/>
      <c r="BY192" s="372"/>
      <c r="BZ192" s="372">
        <f>Roles!$D$7</f>
        <v>0.12</v>
      </c>
      <c r="CA192" s="372"/>
      <c r="CB192" s="203">
        <f t="shared" si="21"/>
        <v>0</v>
      </c>
      <c r="CC192" s="372"/>
      <c r="CD192" s="372"/>
      <c r="CE192" s="372">
        <f>Roles!$D$7</f>
        <v>0.12</v>
      </c>
      <c r="CF192" s="372"/>
      <c r="CG192" s="203">
        <f t="shared" si="22"/>
        <v>0</v>
      </c>
      <c r="CH192" s="372"/>
      <c r="CI192" s="372"/>
      <c r="CJ192" s="372">
        <f>Roles!$D$7</f>
        <v>0.12</v>
      </c>
      <c r="CK192" s="372"/>
      <c r="CL192" s="203">
        <f t="shared" si="23"/>
        <v>0</v>
      </c>
      <c r="CM192" s="372"/>
      <c r="CN192" s="372"/>
      <c r="CO192" s="372">
        <f>Roles!$D$7</f>
        <v>0.12</v>
      </c>
      <c r="CP192" s="372"/>
      <c r="CQ192" s="203">
        <f t="shared" si="24"/>
        <v>0</v>
      </c>
      <c r="CR192" s="372"/>
      <c r="CS192" s="372"/>
      <c r="CT192" s="372">
        <f>Roles!$D$7</f>
        <v>0.12</v>
      </c>
      <c r="CU192" s="372"/>
      <c r="CV192" s="203">
        <f t="shared" si="25"/>
        <v>0</v>
      </c>
      <c r="CW192" s="372"/>
      <c r="CX192" s="372"/>
      <c r="CY192" s="372">
        <f>Roles!$D$7</f>
        <v>0.12</v>
      </c>
      <c r="CZ192" s="372"/>
      <c r="DA192" s="203">
        <f t="shared" si="26"/>
        <v>0</v>
      </c>
      <c r="DB192" s="372"/>
      <c r="DC192" s="372"/>
      <c r="DD192" s="372">
        <f>Roles!$D$7</f>
        <v>0.12</v>
      </c>
      <c r="DE192" s="372"/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 t="shared" si="1"/>
        <v>2</v>
      </c>
      <c r="F193" s="80">
        <v>3.0</v>
      </c>
      <c r="G193" s="105">
        <f t="shared" si="2"/>
        <v>0.002583979328</v>
      </c>
      <c r="H193" s="47">
        <f t="shared" si="177"/>
        <v>0.7338501292</v>
      </c>
      <c r="I193" s="231">
        <f t="shared" si="175"/>
        <v>4</v>
      </c>
      <c r="J193" s="172">
        <f t="shared" si="178"/>
        <v>1063</v>
      </c>
      <c r="K193" s="115">
        <f t="shared" si="3"/>
        <v>0.9340949033</v>
      </c>
      <c r="L193" s="232">
        <f t="shared" si="176"/>
        <v>1.76</v>
      </c>
      <c r="M193" s="172">
        <f t="shared" si="179"/>
        <v>467.72</v>
      </c>
      <c r="N193" s="7"/>
      <c r="O193" s="203">
        <f t="shared" si="7"/>
        <v>1.333333333</v>
      </c>
      <c r="P193" s="378">
        <v>4.0</v>
      </c>
      <c r="Q193" s="372"/>
      <c r="R193" s="372">
        <f>Roles!$D$5</f>
        <v>0.44</v>
      </c>
      <c r="S193" s="372">
        <f t="shared" si="8"/>
        <v>1.76</v>
      </c>
      <c r="T193" s="203">
        <f t="shared" si="9"/>
        <v>0</v>
      </c>
      <c r="U193" s="372"/>
      <c r="V193" s="372"/>
      <c r="W193" s="372">
        <f>Roles!$D$7</f>
        <v>0.12</v>
      </c>
      <c r="X193" s="372"/>
      <c r="Y193" s="203">
        <f t="shared" si="10"/>
        <v>0</v>
      </c>
      <c r="Z193" s="372"/>
      <c r="AA193" s="372"/>
      <c r="AB193" s="372">
        <f>Roles!$D$7</f>
        <v>0.12</v>
      </c>
      <c r="AC193" s="372"/>
      <c r="AD193" s="203">
        <f t="shared" si="11"/>
        <v>0</v>
      </c>
      <c r="AE193" s="372"/>
      <c r="AF193" s="372"/>
      <c r="AG193" s="372">
        <f>Roles!$D$7</f>
        <v>0.12</v>
      </c>
      <c r="AH193" s="372"/>
      <c r="AI193" s="203">
        <f t="shared" si="12"/>
        <v>0</v>
      </c>
      <c r="AJ193" s="372"/>
      <c r="AK193" s="372"/>
      <c r="AL193" s="372">
        <f>Roles!$D$7</f>
        <v>0.12</v>
      </c>
      <c r="AM193" s="372"/>
      <c r="AN193" s="203">
        <f t="shared" si="13"/>
        <v>0</v>
      </c>
      <c r="AO193" s="372"/>
      <c r="AP193" s="372"/>
      <c r="AQ193" s="372">
        <f>Roles!$D$7</f>
        <v>0.12</v>
      </c>
      <c r="AR193" s="372"/>
      <c r="AS193" s="203">
        <f t="shared" si="14"/>
        <v>0</v>
      </c>
      <c r="AT193" s="372"/>
      <c r="AU193" s="372"/>
      <c r="AV193" s="372">
        <f>Roles!$D$7</f>
        <v>0.12</v>
      </c>
      <c r="AW193" s="372"/>
      <c r="AX193" s="203">
        <f t="shared" si="15"/>
        <v>0</v>
      </c>
      <c r="AY193" s="372"/>
      <c r="AZ193" s="372"/>
      <c r="BA193" s="372">
        <f>Roles!$D$7</f>
        <v>0.12</v>
      </c>
      <c r="BB193" s="372"/>
      <c r="BC193" s="203">
        <f t="shared" si="16"/>
        <v>0</v>
      </c>
      <c r="BD193" s="372"/>
      <c r="BE193" s="372"/>
      <c r="BF193" s="372">
        <f>Roles!$D$7</f>
        <v>0.12</v>
      </c>
      <c r="BG193" s="372"/>
      <c r="BH193" s="203">
        <f t="shared" si="17"/>
        <v>0</v>
      </c>
      <c r="BI193" s="372"/>
      <c r="BJ193" s="372"/>
      <c r="BK193" s="372">
        <f>Roles!$D$7</f>
        <v>0.12</v>
      </c>
      <c r="BL193" s="372"/>
      <c r="BM193" s="203">
        <f t="shared" si="18"/>
        <v>0</v>
      </c>
      <c r="BN193" s="372"/>
      <c r="BO193" s="372"/>
      <c r="BP193" s="372">
        <f>Roles!$D$7</f>
        <v>0.12</v>
      </c>
      <c r="BQ193" s="372"/>
      <c r="BR193" s="203">
        <f t="shared" si="19"/>
        <v>0</v>
      </c>
      <c r="BS193" s="372"/>
      <c r="BT193" s="372"/>
      <c r="BU193" s="372">
        <f>Roles!$D$7</f>
        <v>0.12</v>
      </c>
      <c r="BV193" s="372"/>
      <c r="BW193" s="203">
        <f t="shared" si="20"/>
        <v>0</v>
      </c>
      <c r="BX193" s="372"/>
      <c r="BY193" s="372"/>
      <c r="BZ193" s="372">
        <f>Roles!$D$7</f>
        <v>0.12</v>
      </c>
      <c r="CA193" s="372"/>
      <c r="CB193" s="203">
        <f t="shared" si="21"/>
        <v>0</v>
      </c>
      <c r="CC193" s="372"/>
      <c r="CD193" s="372"/>
      <c r="CE193" s="372">
        <f>Roles!$D$7</f>
        <v>0.12</v>
      </c>
      <c r="CF193" s="372"/>
      <c r="CG193" s="203">
        <f t="shared" si="22"/>
        <v>0</v>
      </c>
      <c r="CH193" s="372"/>
      <c r="CI193" s="372"/>
      <c r="CJ193" s="372">
        <f>Roles!$D$7</f>
        <v>0.12</v>
      </c>
      <c r="CK193" s="372"/>
      <c r="CL193" s="203">
        <f t="shared" si="23"/>
        <v>0</v>
      </c>
      <c r="CM193" s="372"/>
      <c r="CN193" s="372"/>
      <c r="CO193" s="372">
        <f>Roles!$D$7</f>
        <v>0.12</v>
      </c>
      <c r="CP193" s="372"/>
      <c r="CQ193" s="203">
        <f t="shared" si="24"/>
        <v>0</v>
      </c>
      <c r="CR193" s="372"/>
      <c r="CS193" s="372"/>
      <c r="CT193" s="372">
        <f>Roles!$D$7</f>
        <v>0.12</v>
      </c>
      <c r="CU193" s="372"/>
      <c r="CV193" s="203">
        <f t="shared" si="25"/>
        <v>0</v>
      </c>
      <c r="CW193" s="372"/>
      <c r="CX193" s="372"/>
      <c r="CY193" s="372">
        <f>Roles!$D$7</f>
        <v>0.12</v>
      </c>
      <c r="CZ193" s="372"/>
      <c r="DA193" s="203">
        <f t="shared" si="26"/>
        <v>0</v>
      </c>
      <c r="DB193" s="372"/>
      <c r="DC193" s="372"/>
      <c r="DD193" s="372">
        <f>Roles!$D$7</f>
        <v>0.12</v>
      </c>
      <c r="DE193" s="372"/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 t="shared" si="1"/>
        <v>8</v>
      </c>
      <c r="F194" s="246">
        <f>SUM(F195:F197)</f>
        <v>71</v>
      </c>
      <c r="G194" s="105">
        <f t="shared" si="2"/>
        <v>0.06115417743</v>
      </c>
      <c r="H194" s="226">
        <f>H197</f>
        <v>0.7950043066</v>
      </c>
      <c r="I194" s="247">
        <f>SUM(I195:I197)</f>
        <v>1</v>
      </c>
      <c r="J194" s="247">
        <f>J197</f>
        <v>1064</v>
      </c>
      <c r="K194" s="167">
        <f t="shared" si="3"/>
        <v>0.934973638</v>
      </c>
      <c r="L194" s="247">
        <f>SUM(L195:L197)</f>
        <v>0.44</v>
      </c>
      <c r="M194" s="247">
        <f>M197</f>
        <v>468.16</v>
      </c>
      <c r="N194" s="7"/>
      <c r="O194" s="203">
        <f t="shared" si="7"/>
        <v>0</v>
      </c>
      <c r="P194" s="372"/>
      <c r="Q194" s="372"/>
      <c r="R194" s="372">
        <f>Roles!$D$5</f>
        <v>0.44</v>
      </c>
      <c r="S194" s="372">
        <f t="shared" si="8"/>
        <v>0</v>
      </c>
      <c r="T194" s="203">
        <f t="shared" si="9"/>
        <v>0</v>
      </c>
      <c r="U194" s="372"/>
      <c r="V194" s="372"/>
      <c r="W194" s="372">
        <f>Roles!$D$7</f>
        <v>0.12</v>
      </c>
      <c r="X194" s="372"/>
      <c r="Y194" s="203">
        <f t="shared" si="10"/>
        <v>0</v>
      </c>
      <c r="Z194" s="372"/>
      <c r="AA194" s="372"/>
      <c r="AB194" s="372">
        <f>Roles!$D$7</f>
        <v>0.12</v>
      </c>
      <c r="AC194" s="372"/>
      <c r="AD194" s="203">
        <f t="shared" si="11"/>
        <v>0</v>
      </c>
      <c r="AE194" s="372"/>
      <c r="AF194" s="372"/>
      <c r="AG194" s="372">
        <f>Roles!$D$7</f>
        <v>0.12</v>
      </c>
      <c r="AH194" s="372"/>
      <c r="AI194" s="203">
        <f t="shared" si="12"/>
        <v>0</v>
      </c>
      <c r="AJ194" s="372"/>
      <c r="AK194" s="372"/>
      <c r="AL194" s="372">
        <f>Roles!$D$7</f>
        <v>0.12</v>
      </c>
      <c r="AM194" s="372"/>
      <c r="AN194" s="203">
        <f t="shared" si="13"/>
        <v>0</v>
      </c>
      <c r="AO194" s="372"/>
      <c r="AP194" s="372"/>
      <c r="AQ194" s="372">
        <f>Roles!$D$7</f>
        <v>0.12</v>
      </c>
      <c r="AR194" s="372"/>
      <c r="AS194" s="203">
        <f t="shared" si="14"/>
        <v>0</v>
      </c>
      <c r="AT194" s="372"/>
      <c r="AU194" s="372"/>
      <c r="AV194" s="372">
        <f>Roles!$D$7</f>
        <v>0.12</v>
      </c>
      <c r="AW194" s="372"/>
      <c r="AX194" s="203">
        <f t="shared" si="15"/>
        <v>0</v>
      </c>
      <c r="AY194" s="372"/>
      <c r="AZ194" s="372"/>
      <c r="BA194" s="372">
        <f>Roles!$D$7</f>
        <v>0.12</v>
      </c>
      <c r="BB194" s="372"/>
      <c r="BC194" s="203">
        <f t="shared" si="16"/>
        <v>0</v>
      </c>
      <c r="BD194" s="372"/>
      <c r="BE194" s="372"/>
      <c r="BF194" s="372">
        <f>Roles!$D$7</f>
        <v>0.12</v>
      </c>
      <c r="BG194" s="372"/>
      <c r="BH194" s="203">
        <f t="shared" si="17"/>
        <v>0</v>
      </c>
      <c r="BI194" s="372"/>
      <c r="BJ194" s="372"/>
      <c r="BK194" s="372">
        <f>Roles!$D$7</f>
        <v>0.12</v>
      </c>
      <c r="BL194" s="372"/>
      <c r="BM194" s="203">
        <f t="shared" si="18"/>
        <v>0</v>
      </c>
      <c r="BN194" s="372"/>
      <c r="BO194" s="372"/>
      <c r="BP194" s="372">
        <f>Roles!$D$7</f>
        <v>0.12</v>
      </c>
      <c r="BQ194" s="372"/>
      <c r="BR194" s="203">
        <f t="shared" si="19"/>
        <v>0</v>
      </c>
      <c r="BS194" s="372"/>
      <c r="BT194" s="372"/>
      <c r="BU194" s="372">
        <f>Roles!$D$7</f>
        <v>0.12</v>
      </c>
      <c r="BV194" s="372"/>
      <c r="BW194" s="203">
        <f t="shared" si="20"/>
        <v>0</v>
      </c>
      <c r="BX194" s="372"/>
      <c r="BY194" s="372"/>
      <c r="BZ194" s="372">
        <f>Roles!$D$7</f>
        <v>0.12</v>
      </c>
      <c r="CA194" s="372"/>
      <c r="CB194" s="203">
        <f t="shared" si="21"/>
        <v>0</v>
      </c>
      <c r="CC194" s="372"/>
      <c r="CD194" s="372"/>
      <c r="CE194" s="372">
        <f>Roles!$D$7</f>
        <v>0.12</v>
      </c>
      <c r="CF194" s="372"/>
      <c r="CG194" s="203">
        <f t="shared" si="22"/>
        <v>0</v>
      </c>
      <c r="CH194" s="372"/>
      <c r="CI194" s="372"/>
      <c r="CJ194" s="372">
        <f>Roles!$D$7</f>
        <v>0.12</v>
      </c>
      <c r="CK194" s="372"/>
      <c r="CL194" s="203">
        <f t="shared" si="23"/>
        <v>0</v>
      </c>
      <c r="CM194" s="372"/>
      <c r="CN194" s="372"/>
      <c r="CO194" s="372">
        <f>Roles!$D$7</f>
        <v>0.12</v>
      </c>
      <c r="CP194" s="372"/>
      <c r="CQ194" s="203">
        <f t="shared" si="24"/>
        <v>0</v>
      </c>
      <c r="CR194" s="372"/>
      <c r="CS194" s="372"/>
      <c r="CT194" s="372">
        <f>Roles!$D$7</f>
        <v>0.12</v>
      </c>
      <c r="CU194" s="372"/>
      <c r="CV194" s="203">
        <f t="shared" si="25"/>
        <v>0</v>
      </c>
      <c r="CW194" s="372"/>
      <c r="CX194" s="372"/>
      <c r="CY194" s="372">
        <f>Roles!$D$7</f>
        <v>0.12</v>
      </c>
      <c r="CZ194" s="372"/>
      <c r="DA194" s="203">
        <f t="shared" si="26"/>
        <v>0</v>
      </c>
      <c r="DB194" s="372"/>
      <c r="DC194" s="372"/>
      <c r="DD194" s="372">
        <f>Roles!$D$7</f>
        <v>0.12</v>
      </c>
      <c r="DE194" s="372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 t="shared" si="1"/>
        <v>4</v>
      </c>
      <c r="F195" s="80">
        <v>35.0</v>
      </c>
      <c r="G195" s="105">
        <f t="shared" si="2"/>
        <v>0.0301464255</v>
      </c>
      <c r="H195" s="47">
        <f>H193+G195</f>
        <v>0.7639965547</v>
      </c>
      <c r="I195" s="231">
        <f t="shared" ref="I195:I197" si="180">P195+U195+Z195+AE195+AJ195+AO195+AT195+AY195+BD195+BI195+BN195+BS195+BX195+CC195+CH195+CM195+CR195+CW195+DB195</f>
        <v>0</v>
      </c>
      <c r="J195" s="172">
        <f>J193+I195</f>
        <v>1063</v>
      </c>
      <c r="K195" s="115">
        <f t="shared" si="3"/>
        <v>0.9340949033</v>
      </c>
      <c r="L195" s="232">
        <f t="shared" ref="L195:L197" si="181">S195+X195+AC195+AH195+AM195+AR195+AW195+BB195+BG195+BL195+BQ195+BV195+CA195+CF195+CK195+CP195+CU195+CZ195+DE195</f>
        <v>0</v>
      </c>
      <c r="M195" s="172">
        <f>M193+L195</f>
        <v>467.72</v>
      </c>
      <c r="N195" s="7"/>
      <c r="O195" s="203">
        <f t="shared" si="7"/>
        <v>0</v>
      </c>
      <c r="P195" s="378">
        <v>0.0</v>
      </c>
      <c r="Q195" s="372"/>
      <c r="R195" s="372">
        <f>Roles!$D$5</f>
        <v>0.44</v>
      </c>
      <c r="S195" s="372">
        <f t="shared" si="8"/>
        <v>0</v>
      </c>
      <c r="T195" s="203">
        <f t="shared" si="9"/>
        <v>0</v>
      </c>
      <c r="U195" s="372"/>
      <c r="V195" s="372"/>
      <c r="W195" s="372">
        <f>Roles!$D$7</f>
        <v>0.12</v>
      </c>
      <c r="X195" s="372"/>
      <c r="Y195" s="203">
        <f t="shared" si="10"/>
        <v>0</v>
      </c>
      <c r="Z195" s="372"/>
      <c r="AA195" s="372"/>
      <c r="AB195" s="372">
        <f>Roles!$D$7</f>
        <v>0.12</v>
      </c>
      <c r="AC195" s="372"/>
      <c r="AD195" s="203">
        <f t="shared" si="11"/>
        <v>0</v>
      </c>
      <c r="AE195" s="372"/>
      <c r="AF195" s="372"/>
      <c r="AG195" s="372">
        <f>Roles!$D$7</f>
        <v>0.12</v>
      </c>
      <c r="AH195" s="372"/>
      <c r="AI195" s="203">
        <f t="shared" si="12"/>
        <v>0</v>
      </c>
      <c r="AJ195" s="372"/>
      <c r="AK195" s="372"/>
      <c r="AL195" s="372">
        <f>Roles!$D$7</f>
        <v>0.12</v>
      </c>
      <c r="AM195" s="372"/>
      <c r="AN195" s="203">
        <f t="shared" si="13"/>
        <v>0</v>
      </c>
      <c r="AO195" s="372"/>
      <c r="AP195" s="372"/>
      <c r="AQ195" s="372">
        <f>Roles!$D$7</f>
        <v>0.12</v>
      </c>
      <c r="AR195" s="372"/>
      <c r="AS195" s="203">
        <f t="shared" si="14"/>
        <v>0</v>
      </c>
      <c r="AT195" s="372"/>
      <c r="AU195" s="372"/>
      <c r="AV195" s="372">
        <f>Roles!$D$7</f>
        <v>0.12</v>
      </c>
      <c r="AW195" s="372"/>
      <c r="AX195" s="203">
        <f t="shared" si="15"/>
        <v>0</v>
      </c>
      <c r="AY195" s="372"/>
      <c r="AZ195" s="372"/>
      <c r="BA195" s="372">
        <f>Roles!$D$7</f>
        <v>0.12</v>
      </c>
      <c r="BB195" s="372"/>
      <c r="BC195" s="203">
        <f t="shared" si="16"/>
        <v>0</v>
      </c>
      <c r="BD195" s="372"/>
      <c r="BE195" s="372"/>
      <c r="BF195" s="372">
        <f>Roles!$D$7</f>
        <v>0.12</v>
      </c>
      <c r="BG195" s="372"/>
      <c r="BH195" s="203">
        <f t="shared" si="17"/>
        <v>0</v>
      </c>
      <c r="BI195" s="372"/>
      <c r="BJ195" s="372"/>
      <c r="BK195" s="372">
        <f>Roles!$D$7</f>
        <v>0.12</v>
      </c>
      <c r="BL195" s="372"/>
      <c r="BM195" s="203">
        <f t="shared" si="18"/>
        <v>0</v>
      </c>
      <c r="BN195" s="372"/>
      <c r="BO195" s="372"/>
      <c r="BP195" s="372">
        <f>Roles!$D$7</f>
        <v>0.12</v>
      </c>
      <c r="BQ195" s="372"/>
      <c r="BR195" s="203">
        <f t="shared" si="19"/>
        <v>0</v>
      </c>
      <c r="BS195" s="372"/>
      <c r="BT195" s="372"/>
      <c r="BU195" s="372">
        <f>Roles!$D$7</f>
        <v>0.12</v>
      </c>
      <c r="BV195" s="372"/>
      <c r="BW195" s="203">
        <f t="shared" si="20"/>
        <v>0</v>
      </c>
      <c r="BX195" s="372"/>
      <c r="BY195" s="372"/>
      <c r="BZ195" s="372">
        <f>Roles!$D$7</f>
        <v>0.12</v>
      </c>
      <c r="CA195" s="372"/>
      <c r="CB195" s="203">
        <f t="shared" si="21"/>
        <v>0</v>
      </c>
      <c r="CC195" s="372"/>
      <c r="CD195" s="372"/>
      <c r="CE195" s="372">
        <f>Roles!$D$7</f>
        <v>0.12</v>
      </c>
      <c r="CF195" s="372"/>
      <c r="CG195" s="203">
        <f t="shared" si="22"/>
        <v>0</v>
      </c>
      <c r="CH195" s="372"/>
      <c r="CI195" s="372"/>
      <c r="CJ195" s="372">
        <f>Roles!$D$7</f>
        <v>0.12</v>
      </c>
      <c r="CK195" s="372"/>
      <c r="CL195" s="203">
        <f t="shared" si="23"/>
        <v>0</v>
      </c>
      <c r="CM195" s="372"/>
      <c r="CN195" s="372"/>
      <c r="CO195" s="372">
        <f>Roles!$D$7</f>
        <v>0.12</v>
      </c>
      <c r="CP195" s="372"/>
      <c r="CQ195" s="203">
        <f t="shared" si="24"/>
        <v>0</v>
      </c>
      <c r="CR195" s="372"/>
      <c r="CS195" s="372"/>
      <c r="CT195" s="372">
        <f>Roles!$D$7</f>
        <v>0.12</v>
      </c>
      <c r="CU195" s="372"/>
      <c r="CV195" s="203">
        <f t="shared" si="25"/>
        <v>0</v>
      </c>
      <c r="CW195" s="372"/>
      <c r="CX195" s="372"/>
      <c r="CY195" s="372">
        <f>Roles!$D$7</f>
        <v>0.12</v>
      </c>
      <c r="CZ195" s="372"/>
      <c r="DA195" s="203">
        <f t="shared" si="26"/>
        <v>0</v>
      </c>
      <c r="DB195" s="372"/>
      <c r="DC195" s="372"/>
      <c r="DD195" s="372">
        <f>Roles!$D$7</f>
        <v>0.12</v>
      </c>
      <c r="DE195" s="372"/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 t="shared" si="1"/>
        <v>1</v>
      </c>
      <c r="F196" s="80">
        <v>1.0</v>
      </c>
      <c r="G196" s="105">
        <f t="shared" si="2"/>
        <v>0.0008613264427</v>
      </c>
      <c r="H196" s="186">
        <f t="shared" ref="H196:H197" si="182">H195+G196</f>
        <v>0.7648578811</v>
      </c>
      <c r="I196" s="231">
        <f t="shared" si="180"/>
        <v>1</v>
      </c>
      <c r="J196" s="233">
        <f t="shared" ref="J196:J197" si="183">J195+I196</f>
        <v>1064</v>
      </c>
      <c r="K196" s="340">
        <f t="shared" si="3"/>
        <v>0.934973638</v>
      </c>
      <c r="L196" s="232">
        <f t="shared" si="181"/>
        <v>0.44</v>
      </c>
      <c r="M196" s="233">
        <f t="shared" ref="M196:M197" si="184">M195+L196</f>
        <v>468.16</v>
      </c>
      <c r="N196" s="7"/>
      <c r="O196" s="203">
        <f t="shared" si="7"/>
        <v>1</v>
      </c>
      <c r="P196" s="378">
        <v>1.0</v>
      </c>
      <c r="Q196" s="372"/>
      <c r="R196" s="372">
        <f>Roles!$D$5</f>
        <v>0.44</v>
      </c>
      <c r="S196" s="372">
        <f t="shared" si="8"/>
        <v>0.44</v>
      </c>
      <c r="T196" s="203">
        <f t="shared" si="9"/>
        <v>0</v>
      </c>
      <c r="U196" s="372"/>
      <c r="V196" s="372"/>
      <c r="W196" s="372">
        <f>Roles!$D$7</f>
        <v>0.12</v>
      </c>
      <c r="X196" s="372"/>
      <c r="Y196" s="203">
        <f t="shared" si="10"/>
        <v>0</v>
      </c>
      <c r="Z196" s="372"/>
      <c r="AA196" s="372"/>
      <c r="AB196" s="372">
        <f>Roles!$D$7</f>
        <v>0.12</v>
      </c>
      <c r="AC196" s="372"/>
      <c r="AD196" s="203">
        <f t="shared" si="11"/>
        <v>0</v>
      </c>
      <c r="AE196" s="372"/>
      <c r="AF196" s="372"/>
      <c r="AG196" s="372">
        <f>Roles!$D$7</f>
        <v>0.12</v>
      </c>
      <c r="AH196" s="372"/>
      <c r="AI196" s="203">
        <f t="shared" si="12"/>
        <v>0</v>
      </c>
      <c r="AJ196" s="372"/>
      <c r="AK196" s="372"/>
      <c r="AL196" s="372">
        <f>Roles!$D$7</f>
        <v>0.12</v>
      </c>
      <c r="AM196" s="372"/>
      <c r="AN196" s="203">
        <f t="shared" si="13"/>
        <v>0</v>
      </c>
      <c r="AO196" s="372"/>
      <c r="AP196" s="372"/>
      <c r="AQ196" s="372">
        <f>Roles!$D$7</f>
        <v>0.12</v>
      </c>
      <c r="AR196" s="372"/>
      <c r="AS196" s="203">
        <f t="shared" si="14"/>
        <v>0</v>
      </c>
      <c r="AT196" s="372"/>
      <c r="AU196" s="372"/>
      <c r="AV196" s="372">
        <f>Roles!$D$7</f>
        <v>0.12</v>
      </c>
      <c r="AW196" s="372"/>
      <c r="AX196" s="203">
        <f t="shared" si="15"/>
        <v>0</v>
      </c>
      <c r="AY196" s="372"/>
      <c r="AZ196" s="372"/>
      <c r="BA196" s="372">
        <f>Roles!$D$7</f>
        <v>0.12</v>
      </c>
      <c r="BB196" s="372"/>
      <c r="BC196" s="203">
        <f t="shared" si="16"/>
        <v>0</v>
      </c>
      <c r="BD196" s="372"/>
      <c r="BE196" s="372"/>
      <c r="BF196" s="372">
        <f>Roles!$D$7</f>
        <v>0.12</v>
      </c>
      <c r="BG196" s="372"/>
      <c r="BH196" s="203">
        <f t="shared" si="17"/>
        <v>0</v>
      </c>
      <c r="BI196" s="372"/>
      <c r="BJ196" s="372"/>
      <c r="BK196" s="372">
        <f>Roles!$D$7</f>
        <v>0.12</v>
      </c>
      <c r="BL196" s="372"/>
      <c r="BM196" s="203">
        <f t="shared" si="18"/>
        <v>0</v>
      </c>
      <c r="BN196" s="372"/>
      <c r="BO196" s="372"/>
      <c r="BP196" s="372">
        <f>Roles!$D$7</f>
        <v>0.12</v>
      </c>
      <c r="BQ196" s="372"/>
      <c r="BR196" s="203">
        <f t="shared" si="19"/>
        <v>0</v>
      </c>
      <c r="BS196" s="372"/>
      <c r="BT196" s="372"/>
      <c r="BU196" s="372">
        <f>Roles!$D$7</f>
        <v>0.12</v>
      </c>
      <c r="BV196" s="372"/>
      <c r="BW196" s="203">
        <f t="shared" si="20"/>
        <v>0</v>
      </c>
      <c r="BX196" s="372"/>
      <c r="BY196" s="372"/>
      <c r="BZ196" s="372">
        <f>Roles!$D$7</f>
        <v>0.12</v>
      </c>
      <c r="CA196" s="372"/>
      <c r="CB196" s="203">
        <f t="shared" si="21"/>
        <v>0</v>
      </c>
      <c r="CC196" s="372"/>
      <c r="CD196" s="372"/>
      <c r="CE196" s="372">
        <f>Roles!$D$7</f>
        <v>0.12</v>
      </c>
      <c r="CF196" s="372"/>
      <c r="CG196" s="203">
        <f t="shared" si="22"/>
        <v>0</v>
      </c>
      <c r="CH196" s="372"/>
      <c r="CI196" s="372"/>
      <c r="CJ196" s="372">
        <f>Roles!$D$7</f>
        <v>0.12</v>
      </c>
      <c r="CK196" s="372"/>
      <c r="CL196" s="203">
        <f t="shared" si="23"/>
        <v>0</v>
      </c>
      <c r="CM196" s="372"/>
      <c r="CN196" s="372"/>
      <c r="CO196" s="372">
        <f>Roles!$D$7</f>
        <v>0.12</v>
      </c>
      <c r="CP196" s="372"/>
      <c r="CQ196" s="203">
        <f t="shared" si="24"/>
        <v>0</v>
      </c>
      <c r="CR196" s="372"/>
      <c r="CS196" s="372"/>
      <c r="CT196" s="372">
        <f>Roles!$D$7</f>
        <v>0.12</v>
      </c>
      <c r="CU196" s="372"/>
      <c r="CV196" s="203">
        <f t="shared" si="25"/>
        <v>0</v>
      </c>
      <c r="CW196" s="372"/>
      <c r="CX196" s="372"/>
      <c r="CY196" s="372">
        <f>Roles!$D$7</f>
        <v>0.12</v>
      </c>
      <c r="CZ196" s="372"/>
      <c r="DA196" s="203">
        <f t="shared" si="26"/>
        <v>0</v>
      </c>
      <c r="DB196" s="372"/>
      <c r="DC196" s="372"/>
      <c r="DD196" s="372">
        <f>Roles!$D$7</f>
        <v>0.12</v>
      </c>
      <c r="DE196" s="372"/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 t="shared" si="1"/>
        <v>4</v>
      </c>
      <c r="F197" s="80">
        <v>35.0</v>
      </c>
      <c r="G197" s="105">
        <f t="shared" si="2"/>
        <v>0.0301464255</v>
      </c>
      <c r="H197" s="186">
        <f t="shared" si="182"/>
        <v>0.7950043066</v>
      </c>
      <c r="I197" s="231">
        <f t="shared" si="180"/>
        <v>0</v>
      </c>
      <c r="J197" s="233">
        <f t="shared" si="183"/>
        <v>1064</v>
      </c>
      <c r="K197" s="340">
        <f t="shared" si="3"/>
        <v>0.934973638</v>
      </c>
      <c r="L197" s="232">
        <f t="shared" si="181"/>
        <v>0</v>
      </c>
      <c r="M197" s="233">
        <f t="shared" si="184"/>
        <v>468.16</v>
      </c>
      <c r="N197" s="7"/>
      <c r="O197" s="203">
        <f t="shared" si="7"/>
        <v>0</v>
      </c>
      <c r="P197" s="378">
        <v>0.0</v>
      </c>
      <c r="Q197" s="372"/>
      <c r="R197" s="372">
        <f>Roles!$D$5</f>
        <v>0.44</v>
      </c>
      <c r="S197" s="372">
        <f t="shared" si="8"/>
        <v>0</v>
      </c>
      <c r="T197" s="203">
        <f t="shared" si="9"/>
        <v>0</v>
      </c>
      <c r="U197" s="372"/>
      <c r="V197" s="372"/>
      <c r="W197" s="372">
        <f>Roles!$D$7</f>
        <v>0.12</v>
      </c>
      <c r="X197" s="372"/>
      <c r="Y197" s="203">
        <f t="shared" si="10"/>
        <v>0</v>
      </c>
      <c r="Z197" s="372"/>
      <c r="AA197" s="372"/>
      <c r="AB197" s="372">
        <f>Roles!$D$7</f>
        <v>0.12</v>
      </c>
      <c r="AC197" s="372"/>
      <c r="AD197" s="203">
        <f t="shared" si="11"/>
        <v>0</v>
      </c>
      <c r="AE197" s="372"/>
      <c r="AF197" s="372"/>
      <c r="AG197" s="372">
        <f>Roles!$D$7</f>
        <v>0.12</v>
      </c>
      <c r="AH197" s="372"/>
      <c r="AI197" s="203">
        <f t="shared" si="12"/>
        <v>0</v>
      </c>
      <c r="AJ197" s="372"/>
      <c r="AK197" s="372"/>
      <c r="AL197" s="372">
        <f>Roles!$D$7</f>
        <v>0.12</v>
      </c>
      <c r="AM197" s="372"/>
      <c r="AN197" s="203">
        <f t="shared" si="13"/>
        <v>0</v>
      </c>
      <c r="AO197" s="372"/>
      <c r="AP197" s="372"/>
      <c r="AQ197" s="372">
        <f>Roles!$D$7</f>
        <v>0.12</v>
      </c>
      <c r="AR197" s="372"/>
      <c r="AS197" s="203">
        <f t="shared" si="14"/>
        <v>0</v>
      </c>
      <c r="AT197" s="372"/>
      <c r="AU197" s="372"/>
      <c r="AV197" s="372">
        <f>Roles!$D$7</f>
        <v>0.12</v>
      </c>
      <c r="AW197" s="372"/>
      <c r="AX197" s="203">
        <f t="shared" si="15"/>
        <v>0</v>
      </c>
      <c r="AY197" s="372"/>
      <c r="AZ197" s="372"/>
      <c r="BA197" s="372">
        <f>Roles!$D$7</f>
        <v>0.12</v>
      </c>
      <c r="BB197" s="372"/>
      <c r="BC197" s="203">
        <f t="shared" si="16"/>
        <v>0</v>
      </c>
      <c r="BD197" s="372"/>
      <c r="BE197" s="372"/>
      <c r="BF197" s="372">
        <f>Roles!$D$7</f>
        <v>0.12</v>
      </c>
      <c r="BG197" s="372"/>
      <c r="BH197" s="203">
        <f t="shared" si="17"/>
        <v>0</v>
      </c>
      <c r="BI197" s="372"/>
      <c r="BJ197" s="372"/>
      <c r="BK197" s="372">
        <f>Roles!$D$7</f>
        <v>0.12</v>
      </c>
      <c r="BL197" s="372"/>
      <c r="BM197" s="203">
        <f t="shared" si="18"/>
        <v>0</v>
      </c>
      <c r="BN197" s="372"/>
      <c r="BO197" s="372"/>
      <c r="BP197" s="372">
        <f>Roles!$D$7</f>
        <v>0.12</v>
      </c>
      <c r="BQ197" s="372"/>
      <c r="BR197" s="203">
        <f t="shared" si="19"/>
        <v>0</v>
      </c>
      <c r="BS197" s="372"/>
      <c r="BT197" s="372"/>
      <c r="BU197" s="372">
        <f>Roles!$D$7</f>
        <v>0.12</v>
      </c>
      <c r="BV197" s="372"/>
      <c r="BW197" s="203">
        <f t="shared" si="20"/>
        <v>0</v>
      </c>
      <c r="BX197" s="372"/>
      <c r="BY197" s="372"/>
      <c r="BZ197" s="372">
        <f>Roles!$D$7</f>
        <v>0.12</v>
      </c>
      <c r="CA197" s="372"/>
      <c r="CB197" s="203">
        <f t="shared" si="21"/>
        <v>0</v>
      </c>
      <c r="CC197" s="372"/>
      <c r="CD197" s="372"/>
      <c r="CE197" s="372">
        <f>Roles!$D$7</f>
        <v>0.12</v>
      </c>
      <c r="CF197" s="372"/>
      <c r="CG197" s="203">
        <f t="shared" si="22"/>
        <v>0</v>
      </c>
      <c r="CH197" s="372"/>
      <c r="CI197" s="372"/>
      <c r="CJ197" s="372">
        <f>Roles!$D$7</f>
        <v>0.12</v>
      </c>
      <c r="CK197" s="372"/>
      <c r="CL197" s="203">
        <f t="shared" si="23"/>
        <v>0</v>
      </c>
      <c r="CM197" s="372"/>
      <c r="CN197" s="372"/>
      <c r="CO197" s="372">
        <f>Roles!$D$7</f>
        <v>0.12</v>
      </c>
      <c r="CP197" s="372"/>
      <c r="CQ197" s="203">
        <f t="shared" si="24"/>
        <v>0</v>
      </c>
      <c r="CR197" s="372"/>
      <c r="CS197" s="372"/>
      <c r="CT197" s="372">
        <f>Roles!$D$7</f>
        <v>0.12</v>
      </c>
      <c r="CU197" s="372"/>
      <c r="CV197" s="203">
        <f t="shared" si="25"/>
        <v>0</v>
      </c>
      <c r="CW197" s="372"/>
      <c r="CX197" s="372"/>
      <c r="CY197" s="372">
        <f>Roles!$D$7</f>
        <v>0.12</v>
      </c>
      <c r="CZ197" s="372"/>
      <c r="DA197" s="203">
        <f t="shared" si="26"/>
        <v>0</v>
      </c>
      <c r="DB197" s="372"/>
      <c r="DC197" s="372"/>
      <c r="DD197" s="372">
        <f>Roles!$D$7</f>
        <v>0.12</v>
      </c>
      <c r="DE197" s="372"/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 t="shared" si="1"/>
        <v>7</v>
      </c>
      <c r="F198" s="246">
        <f>SUM(F199:F201)</f>
        <v>61</v>
      </c>
      <c r="G198" s="105">
        <f t="shared" si="2"/>
        <v>0.05254091301</v>
      </c>
      <c r="H198" s="226">
        <f>H201</f>
        <v>0.8475452196</v>
      </c>
      <c r="I198" s="247">
        <f>SUM(I199:I201)</f>
        <v>1</v>
      </c>
      <c r="J198" s="247">
        <f>J201</f>
        <v>1065</v>
      </c>
      <c r="K198" s="167">
        <f t="shared" si="3"/>
        <v>0.9358523726</v>
      </c>
      <c r="L198" s="247">
        <f>SUM(L199:L201)</f>
        <v>0.44</v>
      </c>
      <c r="M198" s="247">
        <f>M201</f>
        <v>468.6</v>
      </c>
      <c r="N198" s="7"/>
      <c r="O198" s="203">
        <f t="shared" si="7"/>
        <v>0</v>
      </c>
      <c r="P198" s="372"/>
      <c r="Q198" s="372"/>
      <c r="R198" s="372">
        <f>Roles!$D$5</f>
        <v>0.44</v>
      </c>
      <c r="S198" s="372">
        <f t="shared" si="8"/>
        <v>0</v>
      </c>
      <c r="T198" s="203">
        <f t="shared" si="9"/>
        <v>0</v>
      </c>
      <c r="U198" s="372"/>
      <c r="V198" s="372"/>
      <c r="W198" s="372">
        <f>Roles!$D$7</f>
        <v>0.12</v>
      </c>
      <c r="X198" s="372"/>
      <c r="Y198" s="203">
        <f t="shared" si="10"/>
        <v>0</v>
      </c>
      <c r="Z198" s="372"/>
      <c r="AA198" s="372"/>
      <c r="AB198" s="372">
        <f>Roles!$D$7</f>
        <v>0.12</v>
      </c>
      <c r="AC198" s="372"/>
      <c r="AD198" s="203">
        <f t="shared" si="11"/>
        <v>0</v>
      </c>
      <c r="AE198" s="372"/>
      <c r="AF198" s="372"/>
      <c r="AG198" s="372">
        <f>Roles!$D$7</f>
        <v>0.12</v>
      </c>
      <c r="AH198" s="372"/>
      <c r="AI198" s="203">
        <f t="shared" si="12"/>
        <v>0</v>
      </c>
      <c r="AJ198" s="372"/>
      <c r="AK198" s="372"/>
      <c r="AL198" s="372">
        <f>Roles!$D$7</f>
        <v>0.12</v>
      </c>
      <c r="AM198" s="372"/>
      <c r="AN198" s="203">
        <f t="shared" si="13"/>
        <v>0</v>
      </c>
      <c r="AO198" s="372"/>
      <c r="AP198" s="372"/>
      <c r="AQ198" s="372">
        <f>Roles!$D$7</f>
        <v>0.12</v>
      </c>
      <c r="AR198" s="372"/>
      <c r="AS198" s="203">
        <f t="shared" si="14"/>
        <v>0</v>
      </c>
      <c r="AT198" s="372"/>
      <c r="AU198" s="372"/>
      <c r="AV198" s="372">
        <f>Roles!$D$7</f>
        <v>0.12</v>
      </c>
      <c r="AW198" s="372"/>
      <c r="AX198" s="203">
        <f t="shared" si="15"/>
        <v>0</v>
      </c>
      <c r="AY198" s="372"/>
      <c r="AZ198" s="372"/>
      <c r="BA198" s="372">
        <f>Roles!$D$7</f>
        <v>0.12</v>
      </c>
      <c r="BB198" s="372"/>
      <c r="BC198" s="203">
        <f t="shared" si="16"/>
        <v>0</v>
      </c>
      <c r="BD198" s="372"/>
      <c r="BE198" s="372"/>
      <c r="BF198" s="372">
        <f>Roles!$D$7</f>
        <v>0.12</v>
      </c>
      <c r="BG198" s="372"/>
      <c r="BH198" s="203">
        <f t="shared" si="17"/>
        <v>0</v>
      </c>
      <c r="BI198" s="372"/>
      <c r="BJ198" s="372"/>
      <c r="BK198" s="372">
        <f>Roles!$D$7</f>
        <v>0.12</v>
      </c>
      <c r="BL198" s="372"/>
      <c r="BM198" s="203">
        <f t="shared" si="18"/>
        <v>0</v>
      </c>
      <c r="BN198" s="372"/>
      <c r="BO198" s="372"/>
      <c r="BP198" s="372">
        <f>Roles!$D$7</f>
        <v>0.12</v>
      </c>
      <c r="BQ198" s="372"/>
      <c r="BR198" s="203">
        <f t="shared" si="19"/>
        <v>0</v>
      </c>
      <c r="BS198" s="372"/>
      <c r="BT198" s="372"/>
      <c r="BU198" s="372">
        <f>Roles!$D$7</f>
        <v>0.12</v>
      </c>
      <c r="BV198" s="372"/>
      <c r="BW198" s="203">
        <f t="shared" si="20"/>
        <v>0</v>
      </c>
      <c r="BX198" s="372"/>
      <c r="BY198" s="372"/>
      <c r="BZ198" s="372">
        <f>Roles!$D$7</f>
        <v>0.12</v>
      </c>
      <c r="CA198" s="372"/>
      <c r="CB198" s="203">
        <f t="shared" si="21"/>
        <v>0</v>
      </c>
      <c r="CC198" s="372"/>
      <c r="CD198" s="372"/>
      <c r="CE198" s="372">
        <f>Roles!$D$7</f>
        <v>0.12</v>
      </c>
      <c r="CF198" s="372"/>
      <c r="CG198" s="203">
        <f t="shared" si="22"/>
        <v>0</v>
      </c>
      <c r="CH198" s="372"/>
      <c r="CI198" s="372"/>
      <c r="CJ198" s="372">
        <f>Roles!$D$7</f>
        <v>0.12</v>
      </c>
      <c r="CK198" s="372"/>
      <c r="CL198" s="203">
        <f t="shared" si="23"/>
        <v>0</v>
      </c>
      <c r="CM198" s="372"/>
      <c r="CN198" s="372"/>
      <c r="CO198" s="372">
        <f>Roles!$D$7</f>
        <v>0.12</v>
      </c>
      <c r="CP198" s="372"/>
      <c r="CQ198" s="203">
        <f t="shared" si="24"/>
        <v>0</v>
      </c>
      <c r="CR198" s="372"/>
      <c r="CS198" s="372"/>
      <c r="CT198" s="372">
        <f>Roles!$D$7</f>
        <v>0.12</v>
      </c>
      <c r="CU198" s="372"/>
      <c r="CV198" s="203">
        <f t="shared" si="25"/>
        <v>0</v>
      </c>
      <c r="CW198" s="372"/>
      <c r="CX198" s="372"/>
      <c r="CY198" s="372">
        <f>Roles!$D$7</f>
        <v>0.12</v>
      </c>
      <c r="CZ198" s="372"/>
      <c r="DA198" s="203">
        <f t="shared" si="26"/>
        <v>0</v>
      </c>
      <c r="DB198" s="372"/>
      <c r="DC198" s="372"/>
      <c r="DD198" s="372">
        <f>Roles!$D$7</f>
        <v>0.12</v>
      </c>
      <c r="DE198" s="372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 t="shared" si="1"/>
        <v>1</v>
      </c>
      <c r="F199" s="80">
        <v>1.0</v>
      </c>
      <c r="G199" s="105">
        <f t="shared" si="2"/>
        <v>0.0008613264427</v>
      </c>
      <c r="H199" s="47">
        <f>H197+G199</f>
        <v>0.7958656331</v>
      </c>
      <c r="I199" s="231">
        <f t="shared" ref="I199:I201" si="185">P199+U199+Z199+AE199+AJ199+AO199+AT199+AY199+BD199+BI199+BN199+BS199+BX199+CC199+CH199+CM199+CR199+CW199+DB199</f>
        <v>1</v>
      </c>
      <c r="J199" s="172">
        <f>J197+I199</f>
        <v>1065</v>
      </c>
      <c r="K199" s="115">
        <f t="shared" si="3"/>
        <v>0.9358523726</v>
      </c>
      <c r="L199" s="232">
        <f t="shared" ref="L199:L201" si="186">S199+X199+AC199+AH199+AM199+AR199+AW199+BB199+BG199+BL199+BQ199+BV199+CA199+CF199+CK199+CP199+CU199+CZ199+DE199</f>
        <v>0.44</v>
      </c>
      <c r="M199" s="172">
        <f>M197+L199</f>
        <v>468.6</v>
      </c>
      <c r="N199" s="7"/>
      <c r="O199" s="203">
        <f t="shared" si="7"/>
        <v>1</v>
      </c>
      <c r="P199" s="378">
        <v>1.0</v>
      </c>
      <c r="Q199" s="372"/>
      <c r="R199" s="372">
        <f>Roles!$D$5</f>
        <v>0.44</v>
      </c>
      <c r="S199" s="372">
        <f t="shared" si="8"/>
        <v>0.44</v>
      </c>
      <c r="T199" s="203">
        <f t="shared" si="9"/>
        <v>0</v>
      </c>
      <c r="U199" s="372"/>
      <c r="V199" s="372"/>
      <c r="W199" s="372">
        <f>Roles!$D$7</f>
        <v>0.12</v>
      </c>
      <c r="X199" s="372"/>
      <c r="Y199" s="203">
        <f t="shared" si="10"/>
        <v>0</v>
      </c>
      <c r="Z199" s="372"/>
      <c r="AA199" s="372"/>
      <c r="AB199" s="372">
        <f>Roles!$D$7</f>
        <v>0.12</v>
      </c>
      <c r="AC199" s="372"/>
      <c r="AD199" s="203">
        <f t="shared" si="11"/>
        <v>0</v>
      </c>
      <c r="AE199" s="372"/>
      <c r="AF199" s="372"/>
      <c r="AG199" s="372">
        <f>Roles!$D$7</f>
        <v>0.12</v>
      </c>
      <c r="AH199" s="372"/>
      <c r="AI199" s="203">
        <f t="shared" si="12"/>
        <v>0</v>
      </c>
      <c r="AJ199" s="372"/>
      <c r="AK199" s="372"/>
      <c r="AL199" s="372">
        <f>Roles!$D$7</f>
        <v>0.12</v>
      </c>
      <c r="AM199" s="372"/>
      <c r="AN199" s="203">
        <f t="shared" si="13"/>
        <v>0</v>
      </c>
      <c r="AO199" s="372"/>
      <c r="AP199" s="372"/>
      <c r="AQ199" s="372">
        <f>Roles!$D$7</f>
        <v>0.12</v>
      </c>
      <c r="AR199" s="372"/>
      <c r="AS199" s="203">
        <f t="shared" si="14"/>
        <v>0</v>
      </c>
      <c r="AT199" s="372"/>
      <c r="AU199" s="372"/>
      <c r="AV199" s="372">
        <f>Roles!$D$7</f>
        <v>0.12</v>
      </c>
      <c r="AW199" s="372"/>
      <c r="AX199" s="203">
        <f t="shared" si="15"/>
        <v>0</v>
      </c>
      <c r="AY199" s="372"/>
      <c r="AZ199" s="372"/>
      <c r="BA199" s="372">
        <f>Roles!$D$7</f>
        <v>0.12</v>
      </c>
      <c r="BB199" s="372"/>
      <c r="BC199" s="203">
        <f t="shared" si="16"/>
        <v>0</v>
      </c>
      <c r="BD199" s="372"/>
      <c r="BE199" s="372"/>
      <c r="BF199" s="372">
        <f>Roles!$D$7</f>
        <v>0.12</v>
      </c>
      <c r="BG199" s="372"/>
      <c r="BH199" s="203">
        <f t="shared" si="17"/>
        <v>0</v>
      </c>
      <c r="BI199" s="372"/>
      <c r="BJ199" s="372"/>
      <c r="BK199" s="372">
        <f>Roles!$D$7</f>
        <v>0.12</v>
      </c>
      <c r="BL199" s="372"/>
      <c r="BM199" s="203">
        <f t="shared" si="18"/>
        <v>0</v>
      </c>
      <c r="BN199" s="372"/>
      <c r="BO199" s="372"/>
      <c r="BP199" s="372">
        <f>Roles!$D$7</f>
        <v>0.12</v>
      </c>
      <c r="BQ199" s="372"/>
      <c r="BR199" s="203">
        <f t="shared" si="19"/>
        <v>0</v>
      </c>
      <c r="BS199" s="372"/>
      <c r="BT199" s="372"/>
      <c r="BU199" s="372">
        <f>Roles!$D$7</f>
        <v>0.12</v>
      </c>
      <c r="BV199" s="372"/>
      <c r="BW199" s="203">
        <f t="shared" si="20"/>
        <v>0</v>
      </c>
      <c r="BX199" s="372"/>
      <c r="BY199" s="372"/>
      <c r="BZ199" s="372">
        <f>Roles!$D$7</f>
        <v>0.12</v>
      </c>
      <c r="CA199" s="372"/>
      <c r="CB199" s="203">
        <f t="shared" si="21"/>
        <v>0</v>
      </c>
      <c r="CC199" s="372"/>
      <c r="CD199" s="372"/>
      <c r="CE199" s="372">
        <f>Roles!$D$7</f>
        <v>0.12</v>
      </c>
      <c r="CF199" s="372"/>
      <c r="CG199" s="203">
        <f t="shared" si="22"/>
        <v>0</v>
      </c>
      <c r="CH199" s="372"/>
      <c r="CI199" s="372"/>
      <c r="CJ199" s="372">
        <f>Roles!$D$7</f>
        <v>0.12</v>
      </c>
      <c r="CK199" s="372"/>
      <c r="CL199" s="203">
        <f t="shared" si="23"/>
        <v>0</v>
      </c>
      <c r="CM199" s="372"/>
      <c r="CN199" s="372"/>
      <c r="CO199" s="372">
        <f>Roles!$D$7</f>
        <v>0.12</v>
      </c>
      <c r="CP199" s="372"/>
      <c r="CQ199" s="203">
        <f t="shared" si="24"/>
        <v>0</v>
      </c>
      <c r="CR199" s="372"/>
      <c r="CS199" s="372"/>
      <c r="CT199" s="372">
        <f>Roles!$D$7</f>
        <v>0.12</v>
      </c>
      <c r="CU199" s="372"/>
      <c r="CV199" s="203">
        <f t="shared" si="25"/>
        <v>0</v>
      </c>
      <c r="CW199" s="372"/>
      <c r="CX199" s="372"/>
      <c r="CY199" s="372">
        <f>Roles!$D$7</f>
        <v>0.12</v>
      </c>
      <c r="CZ199" s="372"/>
      <c r="DA199" s="203">
        <f t="shared" si="26"/>
        <v>0</v>
      </c>
      <c r="DB199" s="372"/>
      <c r="DC199" s="372"/>
      <c r="DD199" s="372">
        <f>Roles!$D$7</f>
        <v>0.12</v>
      </c>
      <c r="DE199" s="372"/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 t="shared" si="1"/>
        <v>4</v>
      </c>
      <c r="F200" s="80">
        <v>30.0</v>
      </c>
      <c r="G200" s="105">
        <f t="shared" si="2"/>
        <v>0.02583979328</v>
      </c>
      <c r="H200" s="186">
        <f t="shared" ref="H200:H201" si="187">H199+G200</f>
        <v>0.8217054264</v>
      </c>
      <c r="I200" s="231">
        <f t="shared" si="185"/>
        <v>0</v>
      </c>
      <c r="J200" s="233">
        <f t="shared" ref="J200:J201" si="188">J199+I200</f>
        <v>1065</v>
      </c>
      <c r="K200" s="340">
        <f t="shared" si="3"/>
        <v>0.9358523726</v>
      </c>
      <c r="L200" s="232">
        <f t="shared" si="186"/>
        <v>0</v>
      </c>
      <c r="M200" s="233">
        <f t="shared" ref="M200:M201" si="189">M199+L200</f>
        <v>468.6</v>
      </c>
      <c r="N200" s="7"/>
      <c r="O200" s="203">
        <f t="shared" si="7"/>
        <v>0</v>
      </c>
      <c r="P200" s="378">
        <v>0.0</v>
      </c>
      <c r="Q200" s="372"/>
      <c r="R200" s="372">
        <f>Roles!$D$5</f>
        <v>0.44</v>
      </c>
      <c r="S200" s="372">
        <f t="shared" si="8"/>
        <v>0</v>
      </c>
      <c r="T200" s="203">
        <f t="shared" si="9"/>
        <v>0</v>
      </c>
      <c r="U200" s="372"/>
      <c r="V200" s="372"/>
      <c r="W200" s="372">
        <f>Roles!$D$7</f>
        <v>0.12</v>
      </c>
      <c r="X200" s="372"/>
      <c r="Y200" s="203">
        <f t="shared" si="10"/>
        <v>0</v>
      </c>
      <c r="Z200" s="372"/>
      <c r="AA200" s="372"/>
      <c r="AB200" s="372">
        <f>Roles!$D$7</f>
        <v>0.12</v>
      </c>
      <c r="AC200" s="372"/>
      <c r="AD200" s="203">
        <f t="shared" si="11"/>
        <v>0</v>
      </c>
      <c r="AE200" s="372"/>
      <c r="AF200" s="372"/>
      <c r="AG200" s="372">
        <f>Roles!$D$7</f>
        <v>0.12</v>
      </c>
      <c r="AH200" s="372"/>
      <c r="AI200" s="203">
        <f t="shared" si="12"/>
        <v>0</v>
      </c>
      <c r="AJ200" s="372"/>
      <c r="AK200" s="372"/>
      <c r="AL200" s="372">
        <f>Roles!$D$7</f>
        <v>0.12</v>
      </c>
      <c r="AM200" s="372"/>
      <c r="AN200" s="203">
        <f t="shared" si="13"/>
        <v>0</v>
      </c>
      <c r="AO200" s="372"/>
      <c r="AP200" s="372"/>
      <c r="AQ200" s="372">
        <f>Roles!$D$7</f>
        <v>0.12</v>
      </c>
      <c r="AR200" s="372"/>
      <c r="AS200" s="203">
        <f t="shared" si="14"/>
        <v>0</v>
      </c>
      <c r="AT200" s="372"/>
      <c r="AU200" s="372"/>
      <c r="AV200" s="372">
        <f>Roles!$D$7</f>
        <v>0.12</v>
      </c>
      <c r="AW200" s="372"/>
      <c r="AX200" s="203">
        <f t="shared" si="15"/>
        <v>0</v>
      </c>
      <c r="AY200" s="372"/>
      <c r="AZ200" s="372"/>
      <c r="BA200" s="372">
        <f>Roles!$D$7</f>
        <v>0.12</v>
      </c>
      <c r="BB200" s="372"/>
      <c r="BC200" s="203">
        <f t="shared" si="16"/>
        <v>0</v>
      </c>
      <c r="BD200" s="372"/>
      <c r="BE200" s="372"/>
      <c r="BF200" s="372">
        <f>Roles!$D$7</f>
        <v>0.12</v>
      </c>
      <c r="BG200" s="372"/>
      <c r="BH200" s="203">
        <f t="shared" si="17"/>
        <v>0</v>
      </c>
      <c r="BI200" s="372"/>
      <c r="BJ200" s="372"/>
      <c r="BK200" s="372">
        <f>Roles!$D$7</f>
        <v>0.12</v>
      </c>
      <c r="BL200" s="372"/>
      <c r="BM200" s="203">
        <f t="shared" si="18"/>
        <v>0</v>
      </c>
      <c r="BN200" s="372"/>
      <c r="BO200" s="372"/>
      <c r="BP200" s="372">
        <f>Roles!$D$7</f>
        <v>0.12</v>
      </c>
      <c r="BQ200" s="372"/>
      <c r="BR200" s="203">
        <f t="shared" si="19"/>
        <v>0</v>
      </c>
      <c r="BS200" s="372"/>
      <c r="BT200" s="372"/>
      <c r="BU200" s="372">
        <f>Roles!$D$7</f>
        <v>0.12</v>
      </c>
      <c r="BV200" s="372"/>
      <c r="BW200" s="203">
        <f t="shared" si="20"/>
        <v>0</v>
      </c>
      <c r="BX200" s="372"/>
      <c r="BY200" s="372"/>
      <c r="BZ200" s="372">
        <f>Roles!$D$7</f>
        <v>0.12</v>
      </c>
      <c r="CA200" s="372"/>
      <c r="CB200" s="203">
        <f t="shared" si="21"/>
        <v>0</v>
      </c>
      <c r="CC200" s="372"/>
      <c r="CD200" s="372"/>
      <c r="CE200" s="372">
        <f>Roles!$D$7</f>
        <v>0.12</v>
      </c>
      <c r="CF200" s="372"/>
      <c r="CG200" s="203">
        <f t="shared" si="22"/>
        <v>0</v>
      </c>
      <c r="CH200" s="372"/>
      <c r="CI200" s="372"/>
      <c r="CJ200" s="372">
        <f>Roles!$D$7</f>
        <v>0.12</v>
      </c>
      <c r="CK200" s="372"/>
      <c r="CL200" s="203">
        <f t="shared" si="23"/>
        <v>0</v>
      </c>
      <c r="CM200" s="372"/>
      <c r="CN200" s="372"/>
      <c r="CO200" s="372">
        <f>Roles!$D$7</f>
        <v>0.12</v>
      </c>
      <c r="CP200" s="372"/>
      <c r="CQ200" s="203">
        <f t="shared" si="24"/>
        <v>0</v>
      </c>
      <c r="CR200" s="372"/>
      <c r="CS200" s="372"/>
      <c r="CT200" s="372">
        <f>Roles!$D$7</f>
        <v>0.12</v>
      </c>
      <c r="CU200" s="372"/>
      <c r="CV200" s="203">
        <f t="shared" si="25"/>
        <v>0</v>
      </c>
      <c r="CW200" s="372"/>
      <c r="CX200" s="372"/>
      <c r="CY200" s="372">
        <f>Roles!$D$7</f>
        <v>0.12</v>
      </c>
      <c r="CZ200" s="372"/>
      <c r="DA200" s="203">
        <f t="shared" si="26"/>
        <v>0</v>
      </c>
      <c r="DB200" s="372"/>
      <c r="DC200" s="372"/>
      <c r="DD200" s="372">
        <f>Roles!$D$7</f>
        <v>0.12</v>
      </c>
      <c r="DE200" s="372"/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 t="shared" si="1"/>
        <v>3</v>
      </c>
      <c r="F201" s="80">
        <v>30.0</v>
      </c>
      <c r="G201" s="105">
        <f t="shared" si="2"/>
        <v>0.02583979328</v>
      </c>
      <c r="H201" s="186">
        <f t="shared" si="187"/>
        <v>0.8475452196</v>
      </c>
      <c r="I201" s="231">
        <f t="shared" si="185"/>
        <v>0</v>
      </c>
      <c r="J201" s="233">
        <f t="shared" si="188"/>
        <v>1065</v>
      </c>
      <c r="K201" s="340">
        <f t="shared" si="3"/>
        <v>0.9358523726</v>
      </c>
      <c r="L201" s="232">
        <f t="shared" si="186"/>
        <v>0</v>
      </c>
      <c r="M201" s="233">
        <f t="shared" si="189"/>
        <v>468.6</v>
      </c>
      <c r="N201" s="7"/>
      <c r="O201" s="203">
        <f t="shared" si="7"/>
        <v>0</v>
      </c>
      <c r="P201" s="378">
        <v>0.0</v>
      </c>
      <c r="Q201" s="372"/>
      <c r="R201" s="372">
        <f>Roles!$D$5</f>
        <v>0.44</v>
      </c>
      <c r="S201" s="372">
        <f t="shared" si="8"/>
        <v>0</v>
      </c>
      <c r="T201" s="203">
        <f t="shared" si="9"/>
        <v>0</v>
      </c>
      <c r="U201" s="372"/>
      <c r="V201" s="372"/>
      <c r="W201" s="372">
        <f>Roles!$D$7</f>
        <v>0.12</v>
      </c>
      <c r="X201" s="372"/>
      <c r="Y201" s="203">
        <f t="shared" si="10"/>
        <v>0</v>
      </c>
      <c r="Z201" s="372"/>
      <c r="AA201" s="372"/>
      <c r="AB201" s="372">
        <f>Roles!$D$7</f>
        <v>0.12</v>
      </c>
      <c r="AC201" s="372"/>
      <c r="AD201" s="203">
        <f t="shared" si="11"/>
        <v>0</v>
      </c>
      <c r="AE201" s="372"/>
      <c r="AF201" s="372"/>
      <c r="AG201" s="372">
        <f>Roles!$D$7</f>
        <v>0.12</v>
      </c>
      <c r="AH201" s="372"/>
      <c r="AI201" s="203">
        <f t="shared" si="12"/>
        <v>0</v>
      </c>
      <c r="AJ201" s="372"/>
      <c r="AK201" s="372"/>
      <c r="AL201" s="372">
        <f>Roles!$D$7</f>
        <v>0.12</v>
      </c>
      <c r="AM201" s="372"/>
      <c r="AN201" s="203">
        <f t="shared" si="13"/>
        <v>0</v>
      </c>
      <c r="AO201" s="372"/>
      <c r="AP201" s="372"/>
      <c r="AQ201" s="372">
        <f>Roles!$D$7</f>
        <v>0.12</v>
      </c>
      <c r="AR201" s="372"/>
      <c r="AS201" s="203">
        <f t="shared" si="14"/>
        <v>0</v>
      </c>
      <c r="AT201" s="372"/>
      <c r="AU201" s="372"/>
      <c r="AV201" s="372">
        <f>Roles!$D$7</f>
        <v>0.12</v>
      </c>
      <c r="AW201" s="372"/>
      <c r="AX201" s="203">
        <f t="shared" si="15"/>
        <v>0</v>
      </c>
      <c r="AY201" s="372"/>
      <c r="AZ201" s="372"/>
      <c r="BA201" s="372">
        <f>Roles!$D$7</f>
        <v>0.12</v>
      </c>
      <c r="BB201" s="372"/>
      <c r="BC201" s="203">
        <f t="shared" si="16"/>
        <v>0</v>
      </c>
      <c r="BD201" s="372"/>
      <c r="BE201" s="372"/>
      <c r="BF201" s="372">
        <f>Roles!$D$7</f>
        <v>0.12</v>
      </c>
      <c r="BG201" s="372"/>
      <c r="BH201" s="203">
        <f t="shared" si="17"/>
        <v>0</v>
      </c>
      <c r="BI201" s="372"/>
      <c r="BJ201" s="372"/>
      <c r="BK201" s="372">
        <f>Roles!$D$7</f>
        <v>0.12</v>
      </c>
      <c r="BL201" s="372"/>
      <c r="BM201" s="203">
        <f t="shared" si="18"/>
        <v>0</v>
      </c>
      <c r="BN201" s="372"/>
      <c r="BO201" s="372"/>
      <c r="BP201" s="372">
        <f>Roles!$D$7</f>
        <v>0.12</v>
      </c>
      <c r="BQ201" s="372"/>
      <c r="BR201" s="203">
        <f t="shared" si="19"/>
        <v>0</v>
      </c>
      <c r="BS201" s="372"/>
      <c r="BT201" s="372"/>
      <c r="BU201" s="372">
        <f>Roles!$D$7</f>
        <v>0.12</v>
      </c>
      <c r="BV201" s="372"/>
      <c r="BW201" s="203">
        <f t="shared" si="20"/>
        <v>0</v>
      </c>
      <c r="BX201" s="372"/>
      <c r="BY201" s="372"/>
      <c r="BZ201" s="372">
        <f>Roles!$D$7</f>
        <v>0.12</v>
      </c>
      <c r="CA201" s="372"/>
      <c r="CB201" s="203">
        <f t="shared" si="21"/>
        <v>0</v>
      </c>
      <c r="CC201" s="372"/>
      <c r="CD201" s="372"/>
      <c r="CE201" s="372">
        <f>Roles!$D$7</f>
        <v>0.12</v>
      </c>
      <c r="CF201" s="372"/>
      <c r="CG201" s="203">
        <f t="shared" si="22"/>
        <v>0</v>
      </c>
      <c r="CH201" s="372"/>
      <c r="CI201" s="372"/>
      <c r="CJ201" s="372">
        <f>Roles!$D$7</f>
        <v>0.12</v>
      </c>
      <c r="CK201" s="372"/>
      <c r="CL201" s="203">
        <f t="shared" si="23"/>
        <v>0</v>
      </c>
      <c r="CM201" s="372"/>
      <c r="CN201" s="372"/>
      <c r="CO201" s="372">
        <f>Roles!$D$7</f>
        <v>0.12</v>
      </c>
      <c r="CP201" s="372"/>
      <c r="CQ201" s="203">
        <f t="shared" si="24"/>
        <v>0</v>
      </c>
      <c r="CR201" s="372"/>
      <c r="CS201" s="372"/>
      <c r="CT201" s="372">
        <f>Roles!$D$7</f>
        <v>0.12</v>
      </c>
      <c r="CU201" s="372"/>
      <c r="CV201" s="203">
        <f t="shared" si="25"/>
        <v>0</v>
      </c>
      <c r="CW201" s="372"/>
      <c r="CX201" s="372"/>
      <c r="CY201" s="372">
        <f>Roles!$D$7</f>
        <v>0.12</v>
      </c>
      <c r="CZ201" s="372"/>
      <c r="DA201" s="203">
        <f t="shared" si="26"/>
        <v>0</v>
      </c>
      <c r="DB201" s="372"/>
      <c r="DC201" s="372"/>
      <c r="DD201" s="372">
        <f>Roles!$D$7</f>
        <v>0.12</v>
      </c>
      <c r="DE201" s="372"/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 t="shared" si="1"/>
        <v>3</v>
      </c>
      <c r="F202" s="246">
        <f>SUM(F203:F205)</f>
        <v>31</v>
      </c>
      <c r="G202" s="105">
        <f t="shared" si="2"/>
        <v>0.02670111972</v>
      </c>
      <c r="H202" s="226">
        <f>H205</f>
        <v>0.8742463394</v>
      </c>
      <c r="I202" s="247">
        <f>SUM(I203:I205)</f>
        <v>1</v>
      </c>
      <c r="J202" s="247">
        <f>J205</f>
        <v>1066</v>
      </c>
      <c r="K202" s="167">
        <f t="shared" si="3"/>
        <v>0.9367311072</v>
      </c>
      <c r="L202" s="247">
        <f>SUM(L203:L205)</f>
        <v>0.44</v>
      </c>
      <c r="M202" s="247">
        <f>M205</f>
        <v>469.04</v>
      </c>
      <c r="N202" s="7"/>
      <c r="O202" s="203">
        <f t="shared" si="7"/>
        <v>0</v>
      </c>
      <c r="P202" s="372"/>
      <c r="Q202" s="372"/>
      <c r="R202" s="372">
        <f>Roles!$D$5</f>
        <v>0.44</v>
      </c>
      <c r="S202" s="372">
        <f t="shared" si="8"/>
        <v>0</v>
      </c>
      <c r="T202" s="203">
        <f t="shared" si="9"/>
        <v>0</v>
      </c>
      <c r="U202" s="372"/>
      <c r="V202" s="372"/>
      <c r="W202" s="372">
        <f>Roles!$D$7</f>
        <v>0.12</v>
      </c>
      <c r="X202" s="372"/>
      <c r="Y202" s="203">
        <f t="shared" si="10"/>
        <v>0</v>
      </c>
      <c r="Z202" s="372"/>
      <c r="AA202" s="372"/>
      <c r="AB202" s="372">
        <f>Roles!$D$7</f>
        <v>0.12</v>
      </c>
      <c r="AC202" s="372"/>
      <c r="AD202" s="203">
        <f t="shared" si="11"/>
        <v>0</v>
      </c>
      <c r="AE202" s="372"/>
      <c r="AF202" s="372"/>
      <c r="AG202" s="372">
        <f>Roles!$D$7</f>
        <v>0.12</v>
      </c>
      <c r="AH202" s="372"/>
      <c r="AI202" s="203">
        <f t="shared" si="12"/>
        <v>0</v>
      </c>
      <c r="AJ202" s="372"/>
      <c r="AK202" s="372"/>
      <c r="AL202" s="372">
        <f>Roles!$D$7</f>
        <v>0.12</v>
      </c>
      <c r="AM202" s="372"/>
      <c r="AN202" s="203">
        <f t="shared" si="13"/>
        <v>0</v>
      </c>
      <c r="AO202" s="372"/>
      <c r="AP202" s="372"/>
      <c r="AQ202" s="372">
        <f>Roles!$D$7</f>
        <v>0.12</v>
      </c>
      <c r="AR202" s="372"/>
      <c r="AS202" s="203">
        <f t="shared" si="14"/>
        <v>0</v>
      </c>
      <c r="AT202" s="372"/>
      <c r="AU202" s="372"/>
      <c r="AV202" s="372">
        <f>Roles!$D$7</f>
        <v>0.12</v>
      </c>
      <c r="AW202" s="372"/>
      <c r="AX202" s="203">
        <f t="shared" si="15"/>
        <v>0</v>
      </c>
      <c r="AY202" s="372"/>
      <c r="AZ202" s="372"/>
      <c r="BA202" s="372">
        <f>Roles!$D$7</f>
        <v>0.12</v>
      </c>
      <c r="BB202" s="372"/>
      <c r="BC202" s="203">
        <f t="shared" si="16"/>
        <v>0</v>
      </c>
      <c r="BD202" s="372"/>
      <c r="BE202" s="372"/>
      <c r="BF202" s="372">
        <f>Roles!$D$7</f>
        <v>0.12</v>
      </c>
      <c r="BG202" s="372"/>
      <c r="BH202" s="203">
        <f t="shared" si="17"/>
        <v>0</v>
      </c>
      <c r="BI202" s="372"/>
      <c r="BJ202" s="372"/>
      <c r="BK202" s="372">
        <f>Roles!$D$7</f>
        <v>0.12</v>
      </c>
      <c r="BL202" s="372"/>
      <c r="BM202" s="203">
        <f t="shared" si="18"/>
        <v>0</v>
      </c>
      <c r="BN202" s="372"/>
      <c r="BO202" s="372"/>
      <c r="BP202" s="372">
        <f>Roles!$D$7</f>
        <v>0.12</v>
      </c>
      <c r="BQ202" s="372"/>
      <c r="BR202" s="203">
        <f t="shared" si="19"/>
        <v>0</v>
      </c>
      <c r="BS202" s="372"/>
      <c r="BT202" s="372"/>
      <c r="BU202" s="372">
        <f>Roles!$D$7</f>
        <v>0.12</v>
      </c>
      <c r="BV202" s="372"/>
      <c r="BW202" s="203">
        <f t="shared" si="20"/>
        <v>0</v>
      </c>
      <c r="BX202" s="372"/>
      <c r="BY202" s="372"/>
      <c r="BZ202" s="372">
        <f>Roles!$D$7</f>
        <v>0.12</v>
      </c>
      <c r="CA202" s="372"/>
      <c r="CB202" s="203">
        <f t="shared" si="21"/>
        <v>0</v>
      </c>
      <c r="CC202" s="372"/>
      <c r="CD202" s="372"/>
      <c r="CE202" s="372">
        <f>Roles!$D$7</f>
        <v>0.12</v>
      </c>
      <c r="CF202" s="372"/>
      <c r="CG202" s="203">
        <f t="shared" si="22"/>
        <v>0</v>
      </c>
      <c r="CH202" s="372"/>
      <c r="CI202" s="372"/>
      <c r="CJ202" s="372">
        <f>Roles!$D$7</f>
        <v>0.12</v>
      </c>
      <c r="CK202" s="372"/>
      <c r="CL202" s="203">
        <f t="shared" si="23"/>
        <v>0</v>
      </c>
      <c r="CM202" s="372"/>
      <c r="CN202" s="372"/>
      <c r="CO202" s="372">
        <f>Roles!$D$7</f>
        <v>0.12</v>
      </c>
      <c r="CP202" s="372"/>
      <c r="CQ202" s="203">
        <f t="shared" si="24"/>
        <v>0</v>
      </c>
      <c r="CR202" s="372"/>
      <c r="CS202" s="372"/>
      <c r="CT202" s="372">
        <f>Roles!$D$7</f>
        <v>0.12</v>
      </c>
      <c r="CU202" s="372"/>
      <c r="CV202" s="203">
        <f t="shared" si="25"/>
        <v>0</v>
      </c>
      <c r="CW202" s="372"/>
      <c r="CX202" s="372"/>
      <c r="CY202" s="372">
        <f>Roles!$D$7</f>
        <v>0.12</v>
      </c>
      <c r="CZ202" s="372"/>
      <c r="DA202" s="203">
        <f t="shared" si="26"/>
        <v>0</v>
      </c>
      <c r="DB202" s="372"/>
      <c r="DC202" s="372"/>
      <c r="DD202" s="372">
        <f>Roles!$D$7</f>
        <v>0.12</v>
      </c>
      <c r="DE202" s="372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 t="shared" si="1"/>
        <v>1</v>
      </c>
      <c r="F203" s="80">
        <v>1.0</v>
      </c>
      <c r="G203" s="105">
        <f t="shared" si="2"/>
        <v>0.0008613264427</v>
      </c>
      <c r="H203" s="47">
        <f>H201+G203</f>
        <v>0.8484065461</v>
      </c>
      <c r="I203" s="231">
        <f t="shared" ref="I203:I205" si="190">P203+U203+Z203+AE203+AJ203+AO203+AT203+AY203+BD203+BI203+BN203+BS203+BX203+CC203+CH203+CM203+CR203+CW203+DB203</f>
        <v>1</v>
      </c>
      <c r="J203" s="172">
        <f>J201+I203</f>
        <v>1066</v>
      </c>
      <c r="K203" s="115">
        <f t="shared" si="3"/>
        <v>0.9367311072</v>
      </c>
      <c r="L203" s="232">
        <f t="shared" ref="L203:L205" si="191">S203+X203+AC203+AH203+AM203+AR203+AW203+BB203+BG203+BL203+BQ203+BV203+CA203+CF203+CK203+CP203+CU203+CZ203+DE203</f>
        <v>0.44</v>
      </c>
      <c r="M203" s="172">
        <f>M201+L203</f>
        <v>469.04</v>
      </c>
      <c r="N203" s="7"/>
      <c r="O203" s="203">
        <f t="shared" si="7"/>
        <v>1</v>
      </c>
      <c r="P203" s="378">
        <v>1.0</v>
      </c>
      <c r="Q203" s="372"/>
      <c r="R203" s="372">
        <f>Roles!$D$5</f>
        <v>0.44</v>
      </c>
      <c r="S203" s="372">
        <f t="shared" si="8"/>
        <v>0.44</v>
      </c>
      <c r="T203" s="203">
        <f t="shared" si="9"/>
        <v>0</v>
      </c>
      <c r="U203" s="372"/>
      <c r="V203" s="372"/>
      <c r="W203" s="372">
        <f>Roles!$D$7</f>
        <v>0.12</v>
      </c>
      <c r="X203" s="372"/>
      <c r="Y203" s="203">
        <f t="shared" si="10"/>
        <v>0</v>
      </c>
      <c r="Z203" s="372"/>
      <c r="AA203" s="372"/>
      <c r="AB203" s="372">
        <f>Roles!$D$7</f>
        <v>0.12</v>
      </c>
      <c r="AC203" s="372"/>
      <c r="AD203" s="203">
        <f t="shared" si="11"/>
        <v>0</v>
      </c>
      <c r="AE203" s="372"/>
      <c r="AF203" s="372"/>
      <c r="AG203" s="372">
        <f>Roles!$D$7</f>
        <v>0.12</v>
      </c>
      <c r="AH203" s="372"/>
      <c r="AI203" s="203">
        <f t="shared" si="12"/>
        <v>0</v>
      </c>
      <c r="AJ203" s="372"/>
      <c r="AK203" s="372"/>
      <c r="AL203" s="372">
        <f>Roles!$D$7</f>
        <v>0.12</v>
      </c>
      <c r="AM203" s="372"/>
      <c r="AN203" s="203">
        <f t="shared" si="13"/>
        <v>0</v>
      </c>
      <c r="AO203" s="372"/>
      <c r="AP203" s="372"/>
      <c r="AQ203" s="372">
        <f>Roles!$D$7</f>
        <v>0.12</v>
      </c>
      <c r="AR203" s="372"/>
      <c r="AS203" s="203">
        <f t="shared" si="14"/>
        <v>0</v>
      </c>
      <c r="AT203" s="372"/>
      <c r="AU203" s="372"/>
      <c r="AV203" s="372">
        <f>Roles!$D$7</f>
        <v>0.12</v>
      </c>
      <c r="AW203" s="372"/>
      <c r="AX203" s="203">
        <f t="shared" si="15"/>
        <v>0</v>
      </c>
      <c r="AY203" s="372"/>
      <c r="AZ203" s="372"/>
      <c r="BA203" s="372">
        <f>Roles!$D$7</f>
        <v>0.12</v>
      </c>
      <c r="BB203" s="372"/>
      <c r="BC203" s="203">
        <f t="shared" si="16"/>
        <v>0</v>
      </c>
      <c r="BD203" s="372"/>
      <c r="BE203" s="372"/>
      <c r="BF203" s="372">
        <f>Roles!$D$7</f>
        <v>0.12</v>
      </c>
      <c r="BG203" s="372"/>
      <c r="BH203" s="203">
        <f t="shared" si="17"/>
        <v>0</v>
      </c>
      <c r="BI203" s="372"/>
      <c r="BJ203" s="372"/>
      <c r="BK203" s="372">
        <f>Roles!$D$7</f>
        <v>0.12</v>
      </c>
      <c r="BL203" s="372"/>
      <c r="BM203" s="203">
        <f t="shared" si="18"/>
        <v>0</v>
      </c>
      <c r="BN203" s="372"/>
      <c r="BO203" s="372"/>
      <c r="BP203" s="372">
        <f>Roles!$D$7</f>
        <v>0.12</v>
      </c>
      <c r="BQ203" s="372"/>
      <c r="BR203" s="203">
        <f t="shared" si="19"/>
        <v>0</v>
      </c>
      <c r="BS203" s="372"/>
      <c r="BT203" s="372"/>
      <c r="BU203" s="372">
        <f>Roles!$D$7</f>
        <v>0.12</v>
      </c>
      <c r="BV203" s="372"/>
      <c r="BW203" s="203">
        <f t="shared" si="20"/>
        <v>0</v>
      </c>
      <c r="BX203" s="372"/>
      <c r="BY203" s="372"/>
      <c r="BZ203" s="372">
        <f>Roles!$D$7</f>
        <v>0.12</v>
      </c>
      <c r="CA203" s="372"/>
      <c r="CB203" s="203">
        <f t="shared" si="21"/>
        <v>0</v>
      </c>
      <c r="CC203" s="372"/>
      <c r="CD203" s="372"/>
      <c r="CE203" s="372">
        <f>Roles!$D$7</f>
        <v>0.12</v>
      </c>
      <c r="CF203" s="372"/>
      <c r="CG203" s="203">
        <f t="shared" si="22"/>
        <v>0</v>
      </c>
      <c r="CH203" s="372"/>
      <c r="CI203" s="372"/>
      <c r="CJ203" s="372">
        <f>Roles!$D$7</f>
        <v>0.12</v>
      </c>
      <c r="CK203" s="372"/>
      <c r="CL203" s="203">
        <f t="shared" si="23"/>
        <v>0</v>
      </c>
      <c r="CM203" s="372"/>
      <c r="CN203" s="372"/>
      <c r="CO203" s="372">
        <f>Roles!$D$7</f>
        <v>0.12</v>
      </c>
      <c r="CP203" s="372"/>
      <c r="CQ203" s="203">
        <f t="shared" si="24"/>
        <v>0</v>
      </c>
      <c r="CR203" s="372"/>
      <c r="CS203" s="372"/>
      <c r="CT203" s="372">
        <f>Roles!$D$7</f>
        <v>0.12</v>
      </c>
      <c r="CU203" s="372"/>
      <c r="CV203" s="203">
        <f t="shared" si="25"/>
        <v>0</v>
      </c>
      <c r="CW203" s="372"/>
      <c r="CX203" s="372"/>
      <c r="CY203" s="372">
        <f>Roles!$D$7</f>
        <v>0.12</v>
      </c>
      <c r="CZ203" s="372"/>
      <c r="DA203" s="203">
        <f t="shared" si="26"/>
        <v>0</v>
      </c>
      <c r="DB203" s="372"/>
      <c r="DC203" s="372"/>
      <c r="DD203" s="372">
        <f>Roles!$D$7</f>
        <v>0.12</v>
      </c>
      <c r="DE203" s="372"/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 t="shared" si="1"/>
        <v>2</v>
      </c>
      <c r="F204" s="80">
        <v>20.0</v>
      </c>
      <c r="G204" s="105">
        <f t="shared" si="2"/>
        <v>0.01722652885</v>
      </c>
      <c r="H204" s="186">
        <f t="shared" ref="H204:H205" si="192">H203+G204</f>
        <v>0.8656330749</v>
      </c>
      <c r="I204" s="231">
        <f t="shared" si="190"/>
        <v>0</v>
      </c>
      <c r="J204" s="233">
        <f t="shared" ref="J204:J205" si="193">J203+I204</f>
        <v>1066</v>
      </c>
      <c r="K204" s="340">
        <f t="shared" si="3"/>
        <v>0.9367311072</v>
      </c>
      <c r="L204" s="232">
        <f t="shared" si="191"/>
        <v>0</v>
      </c>
      <c r="M204" s="233">
        <f t="shared" ref="M204:M205" si="194">M203+L204</f>
        <v>469.04</v>
      </c>
      <c r="N204" s="7"/>
      <c r="O204" s="203">
        <f t="shared" si="7"/>
        <v>0</v>
      </c>
      <c r="P204" s="378">
        <v>0.0</v>
      </c>
      <c r="Q204" s="372"/>
      <c r="R204" s="372">
        <f>Roles!$D$5</f>
        <v>0.44</v>
      </c>
      <c r="S204" s="372">
        <f t="shared" si="8"/>
        <v>0</v>
      </c>
      <c r="T204" s="203">
        <f t="shared" si="9"/>
        <v>0</v>
      </c>
      <c r="U204" s="372"/>
      <c r="V204" s="372"/>
      <c r="W204" s="372">
        <f>Roles!$D$7</f>
        <v>0.12</v>
      </c>
      <c r="X204" s="372"/>
      <c r="Y204" s="203">
        <f t="shared" si="10"/>
        <v>0</v>
      </c>
      <c r="Z204" s="372"/>
      <c r="AA204" s="372"/>
      <c r="AB204" s="372">
        <f>Roles!$D$7</f>
        <v>0.12</v>
      </c>
      <c r="AC204" s="372"/>
      <c r="AD204" s="203">
        <f t="shared" si="11"/>
        <v>0</v>
      </c>
      <c r="AE204" s="372"/>
      <c r="AF204" s="372"/>
      <c r="AG204" s="372">
        <f>Roles!$D$7</f>
        <v>0.12</v>
      </c>
      <c r="AH204" s="372"/>
      <c r="AI204" s="203">
        <f t="shared" si="12"/>
        <v>0</v>
      </c>
      <c r="AJ204" s="372"/>
      <c r="AK204" s="372"/>
      <c r="AL204" s="372">
        <f>Roles!$D$7</f>
        <v>0.12</v>
      </c>
      <c r="AM204" s="372"/>
      <c r="AN204" s="203">
        <f t="shared" si="13"/>
        <v>0</v>
      </c>
      <c r="AO204" s="372"/>
      <c r="AP204" s="372"/>
      <c r="AQ204" s="372">
        <f>Roles!$D$7</f>
        <v>0.12</v>
      </c>
      <c r="AR204" s="372"/>
      <c r="AS204" s="203">
        <f t="shared" si="14"/>
        <v>0</v>
      </c>
      <c r="AT204" s="372"/>
      <c r="AU204" s="372"/>
      <c r="AV204" s="372">
        <f>Roles!$D$7</f>
        <v>0.12</v>
      </c>
      <c r="AW204" s="372"/>
      <c r="AX204" s="203">
        <f t="shared" si="15"/>
        <v>0</v>
      </c>
      <c r="AY204" s="372"/>
      <c r="AZ204" s="372"/>
      <c r="BA204" s="372">
        <f>Roles!$D$7</f>
        <v>0.12</v>
      </c>
      <c r="BB204" s="372"/>
      <c r="BC204" s="203">
        <f t="shared" si="16"/>
        <v>0</v>
      </c>
      <c r="BD204" s="372"/>
      <c r="BE204" s="372"/>
      <c r="BF204" s="372">
        <f>Roles!$D$7</f>
        <v>0.12</v>
      </c>
      <c r="BG204" s="372"/>
      <c r="BH204" s="203">
        <f t="shared" si="17"/>
        <v>0</v>
      </c>
      <c r="BI204" s="372"/>
      <c r="BJ204" s="372"/>
      <c r="BK204" s="372">
        <f>Roles!$D$7</f>
        <v>0.12</v>
      </c>
      <c r="BL204" s="372"/>
      <c r="BM204" s="203">
        <f t="shared" si="18"/>
        <v>0</v>
      </c>
      <c r="BN204" s="372"/>
      <c r="BO204" s="372"/>
      <c r="BP204" s="372">
        <f>Roles!$D$7</f>
        <v>0.12</v>
      </c>
      <c r="BQ204" s="372"/>
      <c r="BR204" s="203">
        <f t="shared" si="19"/>
        <v>0</v>
      </c>
      <c r="BS204" s="372"/>
      <c r="BT204" s="372"/>
      <c r="BU204" s="372">
        <f>Roles!$D$7</f>
        <v>0.12</v>
      </c>
      <c r="BV204" s="372"/>
      <c r="BW204" s="203">
        <f t="shared" si="20"/>
        <v>0</v>
      </c>
      <c r="BX204" s="372"/>
      <c r="BY204" s="372"/>
      <c r="BZ204" s="372">
        <f>Roles!$D$7</f>
        <v>0.12</v>
      </c>
      <c r="CA204" s="372"/>
      <c r="CB204" s="203">
        <f t="shared" si="21"/>
        <v>0</v>
      </c>
      <c r="CC204" s="372"/>
      <c r="CD204" s="372"/>
      <c r="CE204" s="372">
        <f>Roles!$D$7</f>
        <v>0.12</v>
      </c>
      <c r="CF204" s="372"/>
      <c r="CG204" s="203">
        <f t="shared" si="22"/>
        <v>0</v>
      </c>
      <c r="CH204" s="372"/>
      <c r="CI204" s="372"/>
      <c r="CJ204" s="372">
        <f>Roles!$D$7</f>
        <v>0.12</v>
      </c>
      <c r="CK204" s="372"/>
      <c r="CL204" s="203">
        <f t="shared" si="23"/>
        <v>0</v>
      </c>
      <c r="CM204" s="372"/>
      <c r="CN204" s="372"/>
      <c r="CO204" s="372">
        <f>Roles!$D$7</f>
        <v>0.12</v>
      </c>
      <c r="CP204" s="372"/>
      <c r="CQ204" s="203">
        <f t="shared" si="24"/>
        <v>0</v>
      </c>
      <c r="CR204" s="372"/>
      <c r="CS204" s="372"/>
      <c r="CT204" s="372">
        <f>Roles!$D$7</f>
        <v>0.12</v>
      </c>
      <c r="CU204" s="372"/>
      <c r="CV204" s="203">
        <f t="shared" si="25"/>
        <v>0</v>
      </c>
      <c r="CW204" s="372"/>
      <c r="CX204" s="372"/>
      <c r="CY204" s="372">
        <f>Roles!$D$7</f>
        <v>0.12</v>
      </c>
      <c r="CZ204" s="372"/>
      <c r="DA204" s="203">
        <f t="shared" si="26"/>
        <v>0</v>
      </c>
      <c r="DB204" s="372"/>
      <c r="DC204" s="372"/>
      <c r="DD204" s="372">
        <f>Roles!$D$7</f>
        <v>0.12</v>
      </c>
      <c r="DE204" s="372"/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 t="shared" si="1"/>
        <v>1</v>
      </c>
      <c r="F205" s="80">
        <v>10.0</v>
      </c>
      <c r="G205" s="105">
        <f t="shared" si="2"/>
        <v>0.008613264427</v>
      </c>
      <c r="H205" s="186">
        <f t="shared" si="192"/>
        <v>0.8742463394</v>
      </c>
      <c r="I205" s="231">
        <f t="shared" si="190"/>
        <v>0</v>
      </c>
      <c r="J205" s="233">
        <f t="shared" si="193"/>
        <v>1066</v>
      </c>
      <c r="K205" s="340">
        <f t="shared" si="3"/>
        <v>0.9367311072</v>
      </c>
      <c r="L205" s="232">
        <f t="shared" si="191"/>
        <v>0</v>
      </c>
      <c r="M205" s="233">
        <f t="shared" si="194"/>
        <v>469.04</v>
      </c>
      <c r="N205" s="7"/>
      <c r="O205" s="203">
        <f t="shared" si="7"/>
        <v>0</v>
      </c>
      <c r="P205" s="378">
        <v>0.0</v>
      </c>
      <c r="Q205" s="372"/>
      <c r="R205" s="372">
        <f>Roles!$D$5</f>
        <v>0.44</v>
      </c>
      <c r="S205" s="372">
        <f t="shared" si="8"/>
        <v>0</v>
      </c>
      <c r="T205" s="203">
        <f t="shared" si="9"/>
        <v>0</v>
      </c>
      <c r="U205" s="372"/>
      <c r="V205" s="372"/>
      <c r="W205" s="372">
        <f>Roles!$D$7</f>
        <v>0.12</v>
      </c>
      <c r="X205" s="372"/>
      <c r="Y205" s="203">
        <f t="shared" si="10"/>
        <v>0</v>
      </c>
      <c r="Z205" s="372"/>
      <c r="AA205" s="372"/>
      <c r="AB205" s="372">
        <f>Roles!$D$7</f>
        <v>0.12</v>
      </c>
      <c r="AC205" s="372"/>
      <c r="AD205" s="203">
        <f t="shared" si="11"/>
        <v>0</v>
      </c>
      <c r="AE205" s="372"/>
      <c r="AF205" s="372"/>
      <c r="AG205" s="372">
        <f>Roles!$D$7</f>
        <v>0.12</v>
      </c>
      <c r="AH205" s="372"/>
      <c r="AI205" s="203">
        <f t="shared" si="12"/>
        <v>0</v>
      </c>
      <c r="AJ205" s="372"/>
      <c r="AK205" s="372"/>
      <c r="AL205" s="372">
        <f>Roles!$D$7</f>
        <v>0.12</v>
      </c>
      <c r="AM205" s="372"/>
      <c r="AN205" s="203">
        <f t="shared" si="13"/>
        <v>0</v>
      </c>
      <c r="AO205" s="372"/>
      <c r="AP205" s="372"/>
      <c r="AQ205" s="372">
        <f>Roles!$D$7</f>
        <v>0.12</v>
      </c>
      <c r="AR205" s="372"/>
      <c r="AS205" s="203">
        <f t="shared" si="14"/>
        <v>0</v>
      </c>
      <c r="AT205" s="372"/>
      <c r="AU205" s="372"/>
      <c r="AV205" s="372">
        <f>Roles!$D$7</f>
        <v>0.12</v>
      </c>
      <c r="AW205" s="372"/>
      <c r="AX205" s="203">
        <f t="shared" si="15"/>
        <v>0</v>
      </c>
      <c r="AY205" s="372"/>
      <c r="AZ205" s="372"/>
      <c r="BA205" s="372">
        <f>Roles!$D$7</f>
        <v>0.12</v>
      </c>
      <c r="BB205" s="372"/>
      <c r="BC205" s="203">
        <f t="shared" si="16"/>
        <v>0</v>
      </c>
      <c r="BD205" s="372"/>
      <c r="BE205" s="372"/>
      <c r="BF205" s="372">
        <f>Roles!$D$7</f>
        <v>0.12</v>
      </c>
      <c r="BG205" s="372"/>
      <c r="BH205" s="203">
        <f t="shared" si="17"/>
        <v>0</v>
      </c>
      <c r="BI205" s="372"/>
      <c r="BJ205" s="372"/>
      <c r="BK205" s="372">
        <f>Roles!$D$7</f>
        <v>0.12</v>
      </c>
      <c r="BL205" s="372"/>
      <c r="BM205" s="203">
        <f t="shared" si="18"/>
        <v>0</v>
      </c>
      <c r="BN205" s="372"/>
      <c r="BO205" s="372"/>
      <c r="BP205" s="372">
        <f>Roles!$D$7</f>
        <v>0.12</v>
      </c>
      <c r="BQ205" s="372"/>
      <c r="BR205" s="203">
        <f t="shared" si="19"/>
        <v>0</v>
      </c>
      <c r="BS205" s="372"/>
      <c r="BT205" s="372"/>
      <c r="BU205" s="372">
        <f>Roles!$D$7</f>
        <v>0.12</v>
      </c>
      <c r="BV205" s="372"/>
      <c r="BW205" s="203">
        <f t="shared" si="20"/>
        <v>0</v>
      </c>
      <c r="BX205" s="372"/>
      <c r="BY205" s="372"/>
      <c r="BZ205" s="372">
        <f>Roles!$D$7</f>
        <v>0.12</v>
      </c>
      <c r="CA205" s="372"/>
      <c r="CB205" s="203">
        <f t="shared" si="21"/>
        <v>0</v>
      </c>
      <c r="CC205" s="372"/>
      <c r="CD205" s="372"/>
      <c r="CE205" s="372">
        <f>Roles!$D$7</f>
        <v>0.12</v>
      </c>
      <c r="CF205" s="372"/>
      <c r="CG205" s="203">
        <f t="shared" si="22"/>
        <v>0</v>
      </c>
      <c r="CH205" s="372"/>
      <c r="CI205" s="372"/>
      <c r="CJ205" s="372">
        <f>Roles!$D$7</f>
        <v>0.12</v>
      </c>
      <c r="CK205" s="372"/>
      <c r="CL205" s="203">
        <f t="shared" si="23"/>
        <v>0</v>
      </c>
      <c r="CM205" s="372"/>
      <c r="CN205" s="372"/>
      <c r="CO205" s="372">
        <f>Roles!$D$7</f>
        <v>0.12</v>
      </c>
      <c r="CP205" s="372"/>
      <c r="CQ205" s="203">
        <f t="shared" si="24"/>
        <v>0</v>
      </c>
      <c r="CR205" s="372"/>
      <c r="CS205" s="372"/>
      <c r="CT205" s="372">
        <f>Roles!$D$7</f>
        <v>0.12</v>
      </c>
      <c r="CU205" s="372"/>
      <c r="CV205" s="203">
        <f t="shared" si="25"/>
        <v>0</v>
      </c>
      <c r="CW205" s="372"/>
      <c r="CX205" s="372"/>
      <c r="CY205" s="372">
        <f>Roles!$D$7</f>
        <v>0.12</v>
      </c>
      <c r="CZ205" s="372"/>
      <c r="DA205" s="203">
        <f t="shared" si="26"/>
        <v>0</v>
      </c>
      <c r="DB205" s="372"/>
      <c r="DC205" s="372"/>
      <c r="DD205" s="372">
        <f>Roles!$D$7</f>
        <v>0.12</v>
      </c>
      <c r="DE205" s="372"/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 t="shared" si="1"/>
        <v>3</v>
      </c>
      <c r="F206" s="246">
        <f>SUM(F207:F211)</f>
        <v>27</v>
      </c>
      <c r="G206" s="105">
        <f t="shared" si="2"/>
        <v>0.02325581395</v>
      </c>
      <c r="H206" s="226">
        <f>H211</f>
        <v>0.8975021533</v>
      </c>
      <c r="I206" s="247">
        <f>SUM(I207:I211)</f>
        <v>0</v>
      </c>
      <c r="J206" s="247">
        <f>J211</f>
        <v>1066</v>
      </c>
      <c r="K206" s="167">
        <f t="shared" si="3"/>
        <v>0.9367311072</v>
      </c>
      <c r="L206" s="247">
        <f>SUM(L207:L211)</f>
        <v>0</v>
      </c>
      <c r="M206" s="247">
        <f>M211</f>
        <v>469.04</v>
      </c>
      <c r="N206" s="7"/>
      <c r="O206" s="203">
        <f t="shared" si="7"/>
        <v>0</v>
      </c>
      <c r="P206" s="372"/>
      <c r="Q206" s="372"/>
      <c r="R206" s="372">
        <f>Roles!$D$5</f>
        <v>0.44</v>
      </c>
      <c r="S206" s="372">
        <f t="shared" si="8"/>
        <v>0</v>
      </c>
      <c r="T206" s="203">
        <f t="shared" si="9"/>
        <v>0</v>
      </c>
      <c r="U206" s="372"/>
      <c r="V206" s="372"/>
      <c r="W206" s="372">
        <f>Roles!$D$7</f>
        <v>0.12</v>
      </c>
      <c r="X206" s="372"/>
      <c r="Y206" s="203">
        <f t="shared" si="10"/>
        <v>0</v>
      </c>
      <c r="Z206" s="372"/>
      <c r="AA206" s="372"/>
      <c r="AB206" s="372">
        <f>Roles!$D$7</f>
        <v>0.12</v>
      </c>
      <c r="AC206" s="372"/>
      <c r="AD206" s="203">
        <f t="shared" si="11"/>
        <v>0</v>
      </c>
      <c r="AE206" s="372"/>
      <c r="AF206" s="372"/>
      <c r="AG206" s="372">
        <f>Roles!$D$7</f>
        <v>0.12</v>
      </c>
      <c r="AH206" s="372"/>
      <c r="AI206" s="203">
        <f t="shared" si="12"/>
        <v>0</v>
      </c>
      <c r="AJ206" s="372"/>
      <c r="AK206" s="372"/>
      <c r="AL206" s="372">
        <f>Roles!$D$7</f>
        <v>0.12</v>
      </c>
      <c r="AM206" s="372"/>
      <c r="AN206" s="203">
        <f t="shared" si="13"/>
        <v>0</v>
      </c>
      <c r="AO206" s="372"/>
      <c r="AP206" s="372"/>
      <c r="AQ206" s="372">
        <f>Roles!$D$7</f>
        <v>0.12</v>
      </c>
      <c r="AR206" s="372"/>
      <c r="AS206" s="203">
        <f t="shared" si="14"/>
        <v>0</v>
      </c>
      <c r="AT206" s="372"/>
      <c r="AU206" s="372"/>
      <c r="AV206" s="372">
        <f>Roles!$D$7</f>
        <v>0.12</v>
      </c>
      <c r="AW206" s="372"/>
      <c r="AX206" s="203">
        <f t="shared" si="15"/>
        <v>0</v>
      </c>
      <c r="AY206" s="372"/>
      <c r="AZ206" s="372"/>
      <c r="BA206" s="372">
        <f>Roles!$D$7</f>
        <v>0.12</v>
      </c>
      <c r="BB206" s="372"/>
      <c r="BC206" s="203">
        <f t="shared" si="16"/>
        <v>0</v>
      </c>
      <c r="BD206" s="372"/>
      <c r="BE206" s="372"/>
      <c r="BF206" s="372">
        <f>Roles!$D$7</f>
        <v>0.12</v>
      </c>
      <c r="BG206" s="372"/>
      <c r="BH206" s="203">
        <f t="shared" si="17"/>
        <v>0</v>
      </c>
      <c r="BI206" s="372"/>
      <c r="BJ206" s="372"/>
      <c r="BK206" s="372">
        <f>Roles!$D$7</f>
        <v>0.12</v>
      </c>
      <c r="BL206" s="372"/>
      <c r="BM206" s="203">
        <f t="shared" si="18"/>
        <v>0</v>
      </c>
      <c r="BN206" s="372"/>
      <c r="BO206" s="372"/>
      <c r="BP206" s="372">
        <f>Roles!$D$7</f>
        <v>0.12</v>
      </c>
      <c r="BQ206" s="372"/>
      <c r="BR206" s="203">
        <f t="shared" si="19"/>
        <v>0</v>
      </c>
      <c r="BS206" s="372"/>
      <c r="BT206" s="372"/>
      <c r="BU206" s="372">
        <f>Roles!$D$7</f>
        <v>0.12</v>
      </c>
      <c r="BV206" s="372"/>
      <c r="BW206" s="203">
        <f t="shared" si="20"/>
        <v>0</v>
      </c>
      <c r="BX206" s="372"/>
      <c r="BY206" s="372"/>
      <c r="BZ206" s="372">
        <f>Roles!$D$7</f>
        <v>0.12</v>
      </c>
      <c r="CA206" s="372"/>
      <c r="CB206" s="203">
        <f t="shared" si="21"/>
        <v>0</v>
      </c>
      <c r="CC206" s="372"/>
      <c r="CD206" s="372"/>
      <c r="CE206" s="372">
        <f>Roles!$D$7</f>
        <v>0.12</v>
      </c>
      <c r="CF206" s="372"/>
      <c r="CG206" s="203">
        <f t="shared" si="22"/>
        <v>0</v>
      </c>
      <c r="CH206" s="372"/>
      <c r="CI206" s="372"/>
      <c r="CJ206" s="372">
        <f>Roles!$D$7</f>
        <v>0.12</v>
      </c>
      <c r="CK206" s="372"/>
      <c r="CL206" s="203">
        <f t="shared" si="23"/>
        <v>0</v>
      </c>
      <c r="CM206" s="372"/>
      <c r="CN206" s="372"/>
      <c r="CO206" s="372">
        <f>Roles!$D$7</f>
        <v>0.12</v>
      </c>
      <c r="CP206" s="372"/>
      <c r="CQ206" s="203">
        <f t="shared" si="24"/>
        <v>0</v>
      </c>
      <c r="CR206" s="372"/>
      <c r="CS206" s="372"/>
      <c r="CT206" s="372">
        <f>Roles!$D$7</f>
        <v>0.12</v>
      </c>
      <c r="CU206" s="372"/>
      <c r="CV206" s="203">
        <f t="shared" si="25"/>
        <v>0</v>
      </c>
      <c r="CW206" s="372"/>
      <c r="CX206" s="372"/>
      <c r="CY206" s="372">
        <f>Roles!$D$7</f>
        <v>0.12</v>
      </c>
      <c r="CZ206" s="372"/>
      <c r="DA206" s="203">
        <f t="shared" si="26"/>
        <v>0</v>
      </c>
      <c r="DB206" s="372"/>
      <c r="DC206" s="372"/>
      <c r="DD206" s="372">
        <f>Roles!$D$7</f>
        <v>0.12</v>
      </c>
      <c r="DE206" s="372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 t="shared" si="1"/>
        <v>2</v>
      </c>
      <c r="F207" s="80">
        <v>10.0</v>
      </c>
      <c r="G207" s="105">
        <f t="shared" si="2"/>
        <v>0.008613264427</v>
      </c>
      <c r="H207" s="47">
        <f>H205+G207</f>
        <v>0.8828596038</v>
      </c>
      <c r="I207" s="231">
        <f t="shared" ref="I207:I211" si="195">P207+U207+Z207+AE207+AJ207+AO207+AT207+AY207+BD207+BI207+BN207+BS207+BX207+CC207+CH207+CM207+CR207+CW207+DB207</f>
        <v>0</v>
      </c>
      <c r="J207" s="172">
        <f>J205+I207</f>
        <v>1066</v>
      </c>
      <c r="K207" s="115">
        <f t="shared" si="3"/>
        <v>0.9367311072</v>
      </c>
      <c r="L207" s="232">
        <f t="shared" ref="L207:L211" si="196">S207+X207+AC207+AH207+AM207+AR207+AW207+BB207+BG207+BL207+BQ207+BV207+CA207+CF207+CK207+CP207+CU207+CZ207+DE207</f>
        <v>0</v>
      </c>
      <c r="M207" s="172">
        <f>M205+L207</f>
        <v>469.04</v>
      </c>
      <c r="N207" s="7"/>
      <c r="O207" s="203">
        <f t="shared" si="7"/>
        <v>0</v>
      </c>
      <c r="P207" s="378">
        <v>0.0</v>
      </c>
      <c r="Q207" s="372"/>
      <c r="R207" s="372">
        <f>Roles!$D$5</f>
        <v>0.44</v>
      </c>
      <c r="S207" s="372">
        <f t="shared" si="8"/>
        <v>0</v>
      </c>
      <c r="T207" s="203">
        <f t="shared" si="9"/>
        <v>0</v>
      </c>
      <c r="U207" s="372"/>
      <c r="V207" s="372"/>
      <c r="W207" s="372">
        <f>Roles!$D$7</f>
        <v>0.12</v>
      </c>
      <c r="X207" s="372"/>
      <c r="Y207" s="203">
        <f t="shared" si="10"/>
        <v>0</v>
      </c>
      <c r="Z207" s="372"/>
      <c r="AA207" s="372"/>
      <c r="AB207" s="372">
        <f>Roles!$D$7</f>
        <v>0.12</v>
      </c>
      <c r="AC207" s="372"/>
      <c r="AD207" s="203">
        <f t="shared" si="11"/>
        <v>0</v>
      </c>
      <c r="AE207" s="372"/>
      <c r="AF207" s="372"/>
      <c r="AG207" s="372">
        <f>Roles!$D$7</f>
        <v>0.12</v>
      </c>
      <c r="AH207" s="372"/>
      <c r="AI207" s="203">
        <f t="shared" si="12"/>
        <v>0</v>
      </c>
      <c r="AJ207" s="372"/>
      <c r="AK207" s="372"/>
      <c r="AL207" s="372">
        <f>Roles!$D$7</f>
        <v>0.12</v>
      </c>
      <c r="AM207" s="372"/>
      <c r="AN207" s="203">
        <f t="shared" si="13"/>
        <v>0</v>
      </c>
      <c r="AO207" s="372"/>
      <c r="AP207" s="372"/>
      <c r="AQ207" s="372">
        <f>Roles!$D$7</f>
        <v>0.12</v>
      </c>
      <c r="AR207" s="372"/>
      <c r="AS207" s="203">
        <f t="shared" si="14"/>
        <v>0</v>
      </c>
      <c r="AT207" s="372"/>
      <c r="AU207" s="372"/>
      <c r="AV207" s="372">
        <f>Roles!$D$7</f>
        <v>0.12</v>
      </c>
      <c r="AW207" s="372"/>
      <c r="AX207" s="203">
        <f t="shared" si="15"/>
        <v>0</v>
      </c>
      <c r="AY207" s="372"/>
      <c r="AZ207" s="372"/>
      <c r="BA207" s="372">
        <f>Roles!$D$7</f>
        <v>0.12</v>
      </c>
      <c r="BB207" s="372"/>
      <c r="BC207" s="203">
        <f t="shared" si="16"/>
        <v>0</v>
      </c>
      <c r="BD207" s="372"/>
      <c r="BE207" s="372"/>
      <c r="BF207" s="372">
        <f>Roles!$D$7</f>
        <v>0.12</v>
      </c>
      <c r="BG207" s="372"/>
      <c r="BH207" s="203">
        <f t="shared" si="17"/>
        <v>0</v>
      </c>
      <c r="BI207" s="372"/>
      <c r="BJ207" s="372"/>
      <c r="BK207" s="372">
        <f>Roles!$D$7</f>
        <v>0.12</v>
      </c>
      <c r="BL207" s="372"/>
      <c r="BM207" s="203">
        <f t="shared" si="18"/>
        <v>0</v>
      </c>
      <c r="BN207" s="372"/>
      <c r="BO207" s="372"/>
      <c r="BP207" s="372">
        <f>Roles!$D$7</f>
        <v>0.12</v>
      </c>
      <c r="BQ207" s="372"/>
      <c r="BR207" s="203">
        <f t="shared" si="19"/>
        <v>0</v>
      </c>
      <c r="BS207" s="372"/>
      <c r="BT207" s="372"/>
      <c r="BU207" s="372">
        <f>Roles!$D$7</f>
        <v>0.12</v>
      </c>
      <c r="BV207" s="372"/>
      <c r="BW207" s="203">
        <f t="shared" si="20"/>
        <v>0</v>
      </c>
      <c r="BX207" s="372"/>
      <c r="BY207" s="372"/>
      <c r="BZ207" s="372">
        <f>Roles!$D$7</f>
        <v>0.12</v>
      </c>
      <c r="CA207" s="372"/>
      <c r="CB207" s="203">
        <f t="shared" si="21"/>
        <v>0</v>
      </c>
      <c r="CC207" s="372"/>
      <c r="CD207" s="372"/>
      <c r="CE207" s="372">
        <f>Roles!$D$7</f>
        <v>0.12</v>
      </c>
      <c r="CF207" s="372"/>
      <c r="CG207" s="203">
        <f t="shared" si="22"/>
        <v>0</v>
      </c>
      <c r="CH207" s="372"/>
      <c r="CI207" s="372"/>
      <c r="CJ207" s="372">
        <f>Roles!$D$7</f>
        <v>0.12</v>
      </c>
      <c r="CK207" s="372"/>
      <c r="CL207" s="203">
        <f t="shared" si="23"/>
        <v>0</v>
      </c>
      <c r="CM207" s="372"/>
      <c r="CN207" s="372"/>
      <c r="CO207" s="372">
        <f>Roles!$D$7</f>
        <v>0.12</v>
      </c>
      <c r="CP207" s="372"/>
      <c r="CQ207" s="203">
        <f t="shared" si="24"/>
        <v>0</v>
      </c>
      <c r="CR207" s="372"/>
      <c r="CS207" s="372"/>
      <c r="CT207" s="372">
        <f>Roles!$D$7</f>
        <v>0.12</v>
      </c>
      <c r="CU207" s="372"/>
      <c r="CV207" s="203">
        <f t="shared" si="25"/>
        <v>0</v>
      </c>
      <c r="CW207" s="372"/>
      <c r="CX207" s="372"/>
      <c r="CY207" s="372">
        <f>Roles!$D$7</f>
        <v>0.12</v>
      </c>
      <c r="CZ207" s="372"/>
      <c r="DA207" s="203">
        <f t="shared" si="26"/>
        <v>0</v>
      </c>
      <c r="DB207" s="372"/>
      <c r="DC207" s="372"/>
      <c r="DD207" s="372">
        <f>Roles!$D$7</f>
        <v>0.12</v>
      </c>
      <c r="DE207" s="372"/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 t="shared" si="1"/>
        <v>2</v>
      </c>
      <c r="F208" s="80">
        <v>3.0</v>
      </c>
      <c r="G208" s="105">
        <f t="shared" si="2"/>
        <v>0.002583979328</v>
      </c>
      <c r="H208" s="47">
        <f t="shared" ref="H208:H212" si="197">H207+G208</f>
        <v>0.8854435831</v>
      </c>
      <c r="I208" s="231">
        <f t="shared" si="195"/>
        <v>0</v>
      </c>
      <c r="J208" s="172">
        <f t="shared" ref="J208:J212" si="198">J207+I208</f>
        <v>1066</v>
      </c>
      <c r="K208" s="115">
        <f t="shared" si="3"/>
        <v>0.9367311072</v>
      </c>
      <c r="L208" s="232">
        <f t="shared" si="196"/>
        <v>0</v>
      </c>
      <c r="M208" s="172">
        <f t="shared" ref="M208:M212" si="199">M207+L208</f>
        <v>469.04</v>
      </c>
      <c r="N208" s="7"/>
      <c r="O208" s="203">
        <f t="shared" si="7"/>
        <v>0</v>
      </c>
      <c r="P208" s="378">
        <v>0.0</v>
      </c>
      <c r="Q208" s="372"/>
      <c r="R208" s="372">
        <f>Roles!$D$5</f>
        <v>0.44</v>
      </c>
      <c r="S208" s="372">
        <f t="shared" si="8"/>
        <v>0</v>
      </c>
      <c r="T208" s="203">
        <f t="shared" si="9"/>
        <v>0</v>
      </c>
      <c r="U208" s="372"/>
      <c r="V208" s="372"/>
      <c r="W208" s="372">
        <f>Roles!$D$7</f>
        <v>0.12</v>
      </c>
      <c r="X208" s="372"/>
      <c r="Y208" s="203">
        <f t="shared" si="10"/>
        <v>0</v>
      </c>
      <c r="Z208" s="372"/>
      <c r="AA208" s="372"/>
      <c r="AB208" s="372">
        <f>Roles!$D$7</f>
        <v>0.12</v>
      </c>
      <c r="AC208" s="372"/>
      <c r="AD208" s="203">
        <f t="shared" si="11"/>
        <v>0</v>
      </c>
      <c r="AE208" s="372"/>
      <c r="AF208" s="372"/>
      <c r="AG208" s="372">
        <f>Roles!$D$7</f>
        <v>0.12</v>
      </c>
      <c r="AH208" s="372"/>
      <c r="AI208" s="203">
        <f t="shared" si="12"/>
        <v>0</v>
      </c>
      <c r="AJ208" s="372"/>
      <c r="AK208" s="372"/>
      <c r="AL208" s="372">
        <f>Roles!$D$7</f>
        <v>0.12</v>
      </c>
      <c r="AM208" s="372"/>
      <c r="AN208" s="203">
        <f t="shared" si="13"/>
        <v>0</v>
      </c>
      <c r="AO208" s="372"/>
      <c r="AP208" s="372"/>
      <c r="AQ208" s="372">
        <f>Roles!$D$7</f>
        <v>0.12</v>
      </c>
      <c r="AR208" s="372"/>
      <c r="AS208" s="203">
        <f t="shared" si="14"/>
        <v>0</v>
      </c>
      <c r="AT208" s="372"/>
      <c r="AU208" s="372"/>
      <c r="AV208" s="372">
        <f>Roles!$D$7</f>
        <v>0.12</v>
      </c>
      <c r="AW208" s="372"/>
      <c r="AX208" s="203">
        <f t="shared" si="15"/>
        <v>0</v>
      </c>
      <c r="AY208" s="372"/>
      <c r="AZ208" s="372"/>
      <c r="BA208" s="372">
        <f>Roles!$D$7</f>
        <v>0.12</v>
      </c>
      <c r="BB208" s="372"/>
      <c r="BC208" s="203">
        <f t="shared" si="16"/>
        <v>0</v>
      </c>
      <c r="BD208" s="372"/>
      <c r="BE208" s="372"/>
      <c r="BF208" s="372">
        <f>Roles!$D$7</f>
        <v>0.12</v>
      </c>
      <c r="BG208" s="372"/>
      <c r="BH208" s="203">
        <f t="shared" si="17"/>
        <v>0</v>
      </c>
      <c r="BI208" s="372"/>
      <c r="BJ208" s="372"/>
      <c r="BK208" s="372">
        <f>Roles!$D$7</f>
        <v>0.12</v>
      </c>
      <c r="BL208" s="372"/>
      <c r="BM208" s="203">
        <f t="shared" si="18"/>
        <v>0</v>
      </c>
      <c r="BN208" s="372"/>
      <c r="BO208" s="372"/>
      <c r="BP208" s="372">
        <f>Roles!$D$7</f>
        <v>0.12</v>
      </c>
      <c r="BQ208" s="372"/>
      <c r="BR208" s="203">
        <f t="shared" si="19"/>
        <v>0</v>
      </c>
      <c r="BS208" s="372"/>
      <c r="BT208" s="372"/>
      <c r="BU208" s="372">
        <f>Roles!$D$7</f>
        <v>0.12</v>
      </c>
      <c r="BV208" s="372"/>
      <c r="BW208" s="203">
        <f t="shared" si="20"/>
        <v>0</v>
      </c>
      <c r="BX208" s="372"/>
      <c r="BY208" s="372"/>
      <c r="BZ208" s="372">
        <f>Roles!$D$7</f>
        <v>0.12</v>
      </c>
      <c r="CA208" s="372"/>
      <c r="CB208" s="203">
        <f t="shared" si="21"/>
        <v>0</v>
      </c>
      <c r="CC208" s="372"/>
      <c r="CD208" s="372"/>
      <c r="CE208" s="372">
        <f>Roles!$D$7</f>
        <v>0.12</v>
      </c>
      <c r="CF208" s="372"/>
      <c r="CG208" s="203">
        <f t="shared" si="22"/>
        <v>0</v>
      </c>
      <c r="CH208" s="372"/>
      <c r="CI208" s="372"/>
      <c r="CJ208" s="372">
        <f>Roles!$D$7</f>
        <v>0.12</v>
      </c>
      <c r="CK208" s="372"/>
      <c r="CL208" s="203">
        <f t="shared" si="23"/>
        <v>0</v>
      </c>
      <c r="CM208" s="372"/>
      <c r="CN208" s="372"/>
      <c r="CO208" s="372">
        <f>Roles!$D$7</f>
        <v>0.12</v>
      </c>
      <c r="CP208" s="372"/>
      <c r="CQ208" s="203">
        <f t="shared" si="24"/>
        <v>0</v>
      </c>
      <c r="CR208" s="372"/>
      <c r="CS208" s="372"/>
      <c r="CT208" s="372">
        <f>Roles!$D$7</f>
        <v>0.12</v>
      </c>
      <c r="CU208" s="372"/>
      <c r="CV208" s="203">
        <f t="shared" si="25"/>
        <v>0</v>
      </c>
      <c r="CW208" s="372"/>
      <c r="CX208" s="372"/>
      <c r="CY208" s="372">
        <f>Roles!$D$7</f>
        <v>0.12</v>
      </c>
      <c r="CZ208" s="372"/>
      <c r="DA208" s="203">
        <f t="shared" si="26"/>
        <v>0</v>
      </c>
      <c r="DB208" s="372"/>
      <c r="DC208" s="372"/>
      <c r="DD208" s="372">
        <f>Roles!$D$7</f>
        <v>0.12</v>
      </c>
      <c r="DE208" s="372"/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 t="shared" si="1"/>
        <v>1</v>
      </c>
      <c r="F209" s="80">
        <v>2.0</v>
      </c>
      <c r="G209" s="105">
        <f t="shared" si="2"/>
        <v>0.001722652885</v>
      </c>
      <c r="H209" s="47">
        <f t="shared" si="197"/>
        <v>0.887166236</v>
      </c>
      <c r="I209" s="231">
        <f t="shared" si="195"/>
        <v>0</v>
      </c>
      <c r="J209" s="172">
        <f t="shared" si="198"/>
        <v>1066</v>
      </c>
      <c r="K209" s="115">
        <f t="shared" si="3"/>
        <v>0.9367311072</v>
      </c>
      <c r="L209" s="232">
        <f t="shared" si="196"/>
        <v>0</v>
      </c>
      <c r="M209" s="172">
        <f t="shared" si="199"/>
        <v>469.04</v>
      </c>
      <c r="N209" s="7"/>
      <c r="O209" s="203">
        <f t="shared" si="7"/>
        <v>0</v>
      </c>
      <c r="P209" s="378">
        <v>0.0</v>
      </c>
      <c r="Q209" s="372"/>
      <c r="R209" s="372">
        <f>Roles!$D$5</f>
        <v>0.44</v>
      </c>
      <c r="S209" s="372">
        <f t="shared" si="8"/>
        <v>0</v>
      </c>
      <c r="T209" s="203">
        <f t="shared" si="9"/>
        <v>0</v>
      </c>
      <c r="U209" s="372"/>
      <c r="V209" s="372"/>
      <c r="W209" s="372">
        <f>Roles!$D$7</f>
        <v>0.12</v>
      </c>
      <c r="X209" s="372"/>
      <c r="Y209" s="203">
        <f t="shared" si="10"/>
        <v>0</v>
      </c>
      <c r="Z209" s="372"/>
      <c r="AA209" s="372"/>
      <c r="AB209" s="372">
        <f>Roles!$D$7</f>
        <v>0.12</v>
      </c>
      <c r="AC209" s="372"/>
      <c r="AD209" s="203">
        <f t="shared" si="11"/>
        <v>0</v>
      </c>
      <c r="AE209" s="372"/>
      <c r="AF209" s="372"/>
      <c r="AG209" s="372">
        <f>Roles!$D$7</f>
        <v>0.12</v>
      </c>
      <c r="AH209" s="372"/>
      <c r="AI209" s="203">
        <f t="shared" si="12"/>
        <v>0</v>
      </c>
      <c r="AJ209" s="372"/>
      <c r="AK209" s="372"/>
      <c r="AL209" s="372">
        <f>Roles!$D$7</f>
        <v>0.12</v>
      </c>
      <c r="AM209" s="372"/>
      <c r="AN209" s="203">
        <f t="shared" si="13"/>
        <v>0</v>
      </c>
      <c r="AO209" s="372"/>
      <c r="AP209" s="372"/>
      <c r="AQ209" s="372">
        <f>Roles!$D$7</f>
        <v>0.12</v>
      </c>
      <c r="AR209" s="372"/>
      <c r="AS209" s="203">
        <f t="shared" si="14"/>
        <v>0</v>
      </c>
      <c r="AT209" s="372"/>
      <c r="AU209" s="372"/>
      <c r="AV209" s="372">
        <f>Roles!$D$7</f>
        <v>0.12</v>
      </c>
      <c r="AW209" s="372"/>
      <c r="AX209" s="203">
        <f t="shared" si="15"/>
        <v>0</v>
      </c>
      <c r="AY209" s="372"/>
      <c r="AZ209" s="372"/>
      <c r="BA209" s="372">
        <f>Roles!$D$7</f>
        <v>0.12</v>
      </c>
      <c r="BB209" s="372"/>
      <c r="BC209" s="203">
        <f t="shared" si="16"/>
        <v>0</v>
      </c>
      <c r="BD209" s="372"/>
      <c r="BE209" s="372"/>
      <c r="BF209" s="372">
        <f>Roles!$D$7</f>
        <v>0.12</v>
      </c>
      <c r="BG209" s="372"/>
      <c r="BH209" s="203">
        <f t="shared" si="17"/>
        <v>0</v>
      </c>
      <c r="BI209" s="372"/>
      <c r="BJ209" s="372"/>
      <c r="BK209" s="372">
        <f>Roles!$D$7</f>
        <v>0.12</v>
      </c>
      <c r="BL209" s="372"/>
      <c r="BM209" s="203">
        <f t="shared" si="18"/>
        <v>0</v>
      </c>
      <c r="BN209" s="372"/>
      <c r="BO209" s="372"/>
      <c r="BP209" s="372">
        <f>Roles!$D$7</f>
        <v>0.12</v>
      </c>
      <c r="BQ209" s="372"/>
      <c r="BR209" s="203">
        <f t="shared" si="19"/>
        <v>0</v>
      </c>
      <c r="BS209" s="372"/>
      <c r="BT209" s="372"/>
      <c r="BU209" s="372">
        <f>Roles!$D$7</f>
        <v>0.12</v>
      </c>
      <c r="BV209" s="372"/>
      <c r="BW209" s="203">
        <f t="shared" si="20"/>
        <v>0</v>
      </c>
      <c r="BX209" s="372"/>
      <c r="BY209" s="372"/>
      <c r="BZ209" s="372">
        <f>Roles!$D$7</f>
        <v>0.12</v>
      </c>
      <c r="CA209" s="372"/>
      <c r="CB209" s="203">
        <f t="shared" si="21"/>
        <v>0</v>
      </c>
      <c r="CC209" s="372"/>
      <c r="CD209" s="372"/>
      <c r="CE209" s="372">
        <f>Roles!$D$7</f>
        <v>0.12</v>
      </c>
      <c r="CF209" s="372"/>
      <c r="CG209" s="203">
        <f t="shared" si="22"/>
        <v>0</v>
      </c>
      <c r="CH209" s="372"/>
      <c r="CI209" s="372"/>
      <c r="CJ209" s="372">
        <f>Roles!$D$7</f>
        <v>0.12</v>
      </c>
      <c r="CK209" s="372"/>
      <c r="CL209" s="203">
        <f t="shared" si="23"/>
        <v>0</v>
      </c>
      <c r="CM209" s="372"/>
      <c r="CN209" s="372"/>
      <c r="CO209" s="372">
        <f>Roles!$D$7</f>
        <v>0.12</v>
      </c>
      <c r="CP209" s="372"/>
      <c r="CQ209" s="203">
        <f t="shared" si="24"/>
        <v>0</v>
      </c>
      <c r="CR209" s="372"/>
      <c r="CS209" s="372"/>
      <c r="CT209" s="372">
        <f>Roles!$D$7</f>
        <v>0.12</v>
      </c>
      <c r="CU209" s="372"/>
      <c r="CV209" s="203">
        <f t="shared" si="25"/>
        <v>0</v>
      </c>
      <c r="CW209" s="372"/>
      <c r="CX209" s="372"/>
      <c r="CY209" s="372">
        <f>Roles!$D$7</f>
        <v>0.12</v>
      </c>
      <c r="CZ209" s="372"/>
      <c r="DA209" s="203">
        <f t="shared" si="26"/>
        <v>0</v>
      </c>
      <c r="DB209" s="372"/>
      <c r="DC209" s="372"/>
      <c r="DD209" s="372">
        <f>Roles!$D$7</f>
        <v>0.12</v>
      </c>
      <c r="DE209" s="372"/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 t="shared" si="1"/>
        <v>1</v>
      </c>
      <c r="F210" s="80">
        <v>10.0</v>
      </c>
      <c r="G210" s="105">
        <f t="shared" si="2"/>
        <v>0.008613264427</v>
      </c>
      <c r="H210" s="47">
        <f t="shared" si="197"/>
        <v>0.8957795004</v>
      </c>
      <c r="I210" s="231">
        <f t="shared" si="195"/>
        <v>0</v>
      </c>
      <c r="J210" s="351">
        <f t="shared" si="198"/>
        <v>1066</v>
      </c>
      <c r="K210" s="352">
        <f t="shared" si="3"/>
        <v>0.9367311072</v>
      </c>
      <c r="L210" s="232">
        <f t="shared" si="196"/>
        <v>0</v>
      </c>
      <c r="M210" s="351">
        <f t="shared" si="199"/>
        <v>469.04</v>
      </c>
      <c r="N210" s="7"/>
      <c r="O210" s="203">
        <f t="shared" si="7"/>
        <v>0</v>
      </c>
      <c r="P210" s="378">
        <v>0.0</v>
      </c>
      <c r="Q210" s="372"/>
      <c r="R210" s="372">
        <f>Roles!$D$5</f>
        <v>0.44</v>
      </c>
      <c r="S210" s="372">
        <f t="shared" si="8"/>
        <v>0</v>
      </c>
      <c r="T210" s="203">
        <f t="shared" si="9"/>
        <v>0</v>
      </c>
      <c r="U210" s="372"/>
      <c r="V210" s="372"/>
      <c r="W210" s="372">
        <f>Roles!$D$7</f>
        <v>0.12</v>
      </c>
      <c r="X210" s="372"/>
      <c r="Y210" s="203">
        <f t="shared" si="10"/>
        <v>0</v>
      </c>
      <c r="Z210" s="372"/>
      <c r="AA210" s="372"/>
      <c r="AB210" s="372">
        <f>Roles!$D$7</f>
        <v>0.12</v>
      </c>
      <c r="AC210" s="372"/>
      <c r="AD210" s="203">
        <f t="shared" si="11"/>
        <v>0</v>
      </c>
      <c r="AE210" s="372"/>
      <c r="AF210" s="372"/>
      <c r="AG210" s="372">
        <f>Roles!$D$7</f>
        <v>0.12</v>
      </c>
      <c r="AH210" s="372"/>
      <c r="AI210" s="203">
        <f t="shared" si="12"/>
        <v>0</v>
      </c>
      <c r="AJ210" s="372"/>
      <c r="AK210" s="372"/>
      <c r="AL210" s="372">
        <f>Roles!$D$7</f>
        <v>0.12</v>
      </c>
      <c r="AM210" s="372"/>
      <c r="AN210" s="203">
        <f t="shared" si="13"/>
        <v>0</v>
      </c>
      <c r="AO210" s="372"/>
      <c r="AP210" s="372"/>
      <c r="AQ210" s="372">
        <f>Roles!$D$7</f>
        <v>0.12</v>
      </c>
      <c r="AR210" s="372"/>
      <c r="AS210" s="203">
        <f t="shared" si="14"/>
        <v>0</v>
      </c>
      <c r="AT210" s="372"/>
      <c r="AU210" s="372"/>
      <c r="AV210" s="372">
        <f>Roles!$D$7</f>
        <v>0.12</v>
      </c>
      <c r="AW210" s="372"/>
      <c r="AX210" s="203">
        <f t="shared" si="15"/>
        <v>0</v>
      </c>
      <c r="AY210" s="372"/>
      <c r="AZ210" s="372"/>
      <c r="BA210" s="372">
        <f>Roles!$D$7</f>
        <v>0.12</v>
      </c>
      <c r="BB210" s="372"/>
      <c r="BC210" s="203">
        <f t="shared" si="16"/>
        <v>0</v>
      </c>
      <c r="BD210" s="372"/>
      <c r="BE210" s="372"/>
      <c r="BF210" s="372">
        <f>Roles!$D$7</f>
        <v>0.12</v>
      </c>
      <c r="BG210" s="372"/>
      <c r="BH210" s="203">
        <f t="shared" si="17"/>
        <v>0</v>
      </c>
      <c r="BI210" s="372"/>
      <c r="BJ210" s="372"/>
      <c r="BK210" s="372">
        <f>Roles!$D$7</f>
        <v>0.12</v>
      </c>
      <c r="BL210" s="372"/>
      <c r="BM210" s="203">
        <f t="shared" si="18"/>
        <v>0</v>
      </c>
      <c r="BN210" s="372"/>
      <c r="BO210" s="372"/>
      <c r="BP210" s="372">
        <f>Roles!$D$7</f>
        <v>0.12</v>
      </c>
      <c r="BQ210" s="372"/>
      <c r="BR210" s="203">
        <f t="shared" si="19"/>
        <v>0</v>
      </c>
      <c r="BS210" s="372"/>
      <c r="BT210" s="372"/>
      <c r="BU210" s="372">
        <f>Roles!$D$7</f>
        <v>0.12</v>
      </c>
      <c r="BV210" s="372"/>
      <c r="BW210" s="203">
        <f t="shared" si="20"/>
        <v>0</v>
      </c>
      <c r="BX210" s="372"/>
      <c r="BY210" s="372"/>
      <c r="BZ210" s="372">
        <f>Roles!$D$7</f>
        <v>0.12</v>
      </c>
      <c r="CA210" s="372"/>
      <c r="CB210" s="203">
        <f t="shared" si="21"/>
        <v>0</v>
      </c>
      <c r="CC210" s="372"/>
      <c r="CD210" s="372"/>
      <c r="CE210" s="372">
        <f>Roles!$D$7</f>
        <v>0.12</v>
      </c>
      <c r="CF210" s="372"/>
      <c r="CG210" s="203">
        <f t="shared" si="22"/>
        <v>0</v>
      </c>
      <c r="CH210" s="372"/>
      <c r="CI210" s="372"/>
      <c r="CJ210" s="372">
        <f>Roles!$D$7</f>
        <v>0.12</v>
      </c>
      <c r="CK210" s="372"/>
      <c r="CL210" s="203">
        <f t="shared" si="23"/>
        <v>0</v>
      </c>
      <c r="CM210" s="372"/>
      <c r="CN210" s="372"/>
      <c r="CO210" s="372">
        <f>Roles!$D$7</f>
        <v>0.12</v>
      </c>
      <c r="CP210" s="372"/>
      <c r="CQ210" s="203">
        <f t="shared" si="24"/>
        <v>0</v>
      </c>
      <c r="CR210" s="372"/>
      <c r="CS210" s="372"/>
      <c r="CT210" s="372">
        <f>Roles!$D$7</f>
        <v>0.12</v>
      </c>
      <c r="CU210" s="372"/>
      <c r="CV210" s="203">
        <f t="shared" si="25"/>
        <v>0</v>
      </c>
      <c r="CW210" s="372"/>
      <c r="CX210" s="372"/>
      <c r="CY210" s="372">
        <f>Roles!$D$7</f>
        <v>0.12</v>
      </c>
      <c r="CZ210" s="372"/>
      <c r="DA210" s="203">
        <f t="shared" si="26"/>
        <v>0</v>
      </c>
      <c r="DB210" s="372"/>
      <c r="DC210" s="372"/>
      <c r="DD210" s="372">
        <f>Roles!$D$7</f>
        <v>0.12</v>
      </c>
      <c r="DE210" s="372"/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 t="shared" si="1"/>
        <v>1</v>
      </c>
      <c r="F211" s="80">
        <v>2.0</v>
      </c>
      <c r="G211" s="105">
        <f t="shared" si="2"/>
        <v>0.001722652885</v>
      </c>
      <c r="H211" s="47">
        <f t="shared" si="197"/>
        <v>0.8975021533</v>
      </c>
      <c r="I211" s="231">
        <f t="shared" si="195"/>
        <v>0</v>
      </c>
      <c r="J211" s="172">
        <f t="shared" si="198"/>
        <v>1066</v>
      </c>
      <c r="K211" s="115">
        <f t="shared" si="3"/>
        <v>0.9367311072</v>
      </c>
      <c r="L211" s="232">
        <f t="shared" si="196"/>
        <v>0</v>
      </c>
      <c r="M211" s="172">
        <f t="shared" si="199"/>
        <v>469.04</v>
      </c>
      <c r="N211" s="7"/>
      <c r="O211" s="203">
        <f t="shared" si="7"/>
        <v>0</v>
      </c>
      <c r="P211" s="378">
        <v>0.0</v>
      </c>
      <c r="Q211" s="372"/>
      <c r="R211" s="372">
        <f>Roles!$D$5</f>
        <v>0.44</v>
      </c>
      <c r="S211" s="372">
        <f t="shared" si="8"/>
        <v>0</v>
      </c>
      <c r="T211" s="203">
        <f t="shared" si="9"/>
        <v>0</v>
      </c>
      <c r="U211" s="372"/>
      <c r="V211" s="372"/>
      <c r="W211" s="372">
        <f>Roles!$D$7</f>
        <v>0.12</v>
      </c>
      <c r="X211" s="372"/>
      <c r="Y211" s="203">
        <f t="shared" si="10"/>
        <v>0</v>
      </c>
      <c r="Z211" s="372"/>
      <c r="AA211" s="372"/>
      <c r="AB211" s="372">
        <f>Roles!$D$7</f>
        <v>0.12</v>
      </c>
      <c r="AC211" s="372"/>
      <c r="AD211" s="203">
        <f t="shared" si="11"/>
        <v>0</v>
      </c>
      <c r="AE211" s="372"/>
      <c r="AF211" s="372"/>
      <c r="AG211" s="372">
        <f>Roles!$D$7</f>
        <v>0.12</v>
      </c>
      <c r="AH211" s="372"/>
      <c r="AI211" s="203">
        <f t="shared" si="12"/>
        <v>0</v>
      </c>
      <c r="AJ211" s="372"/>
      <c r="AK211" s="372"/>
      <c r="AL211" s="372">
        <f>Roles!$D$7</f>
        <v>0.12</v>
      </c>
      <c r="AM211" s="372"/>
      <c r="AN211" s="203">
        <f t="shared" si="13"/>
        <v>0</v>
      </c>
      <c r="AO211" s="372"/>
      <c r="AP211" s="372"/>
      <c r="AQ211" s="372">
        <f>Roles!$D$7</f>
        <v>0.12</v>
      </c>
      <c r="AR211" s="372"/>
      <c r="AS211" s="203">
        <f t="shared" si="14"/>
        <v>0</v>
      </c>
      <c r="AT211" s="372"/>
      <c r="AU211" s="372"/>
      <c r="AV211" s="372">
        <f>Roles!$D$7</f>
        <v>0.12</v>
      </c>
      <c r="AW211" s="372"/>
      <c r="AX211" s="203">
        <f t="shared" si="15"/>
        <v>0</v>
      </c>
      <c r="AY211" s="372"/>
      <c r="AZ211" s="372"/>
      <c r="BA211" s="372">
        <f>Roles!$D$7</f>
        <v>0.12</v>
      </c>
      <c r="BB211" s="372"/>
      <c r="BC211" s="203">
        <f t="shared" si="16"/>
        <v>0</v>
      </c>
      <c r="BD211" s="372"/>
      <c r="BE211" s="372"/>
      <c r="BF211" s="372">
        <f>Roles!$D$7</f>
        <v>0.12</v>
      </c>
      <c r="BG211" s="372"/>
      <c r="BH211" s="203">
        <f t="shared" si="17"/>
        <v>0</v>
      </c>
      <c r="BI211" s="372"/>
      <c r="BJ211" s="372"/>
      <c r="BK211" s="372">
        <f>Roles!$D$7</f>
        <v>0.12</v>
      </c>
      <c r="BL211" s="372"/>
      <c r="BM211" s="203">
        <f t="shared" si="18"/>
        <v>0</v>
      </c>
      <c r="BN211" s="372"/>
      <c r="BO211" s="372"/>
      <c r="BP211" s="372">
        <f>Roles!$D$7</f>
        <v>0.12</v>
      </c>
      <c r="BQ211" s="372"/>
      <c r="BR211" s="203">
        <f t="shared" si="19"/>
        <v>0</v>
      </c>
      <c r="BS211" s="372"/>
      <c r="BT211" s="372"/>
      <c r="BU211" s="372">
        <f>Roles!$D$7</f>
        <v>0.12</v>
      </c>
      <c r="BV211" s="372"/>
      <c r="BW211" s="203">
        <f t="shared" si="20"/>
        <v>0</v>
      </c>
      <c r="BX211" s="372"/>
      <c r="BY211" s="372"/>
      <c r="BZ211" s="372">
        <f>Roles!$D$7</f>
        <v>0.12</v>
      </c>
      <c r="CA211" s="372"/>
      <c r="CB211" s="203">
        <f t="shared" si="21"/>
        <v>0</v>
      </c>
      <c r="CC211" s="372"/>
      <c r="CD211" s="372"/>
      <c r="CE211" s="372">
        <f>Roles!$D$7</f>
        <v>0.12</v>
      </c>
      <c r="CF211" s="372"/>
      <c r="CG211" s="203">
        <f t="shared" si="22"/>
        <v>0</v>
      </c>
      <c r="CH211" s="372"/>
      <c r="CI211" s="372"/>
      <c r="CJ211" s="372">
        <f>Roles!$D$7</f>
        <v>0.12</v>
      </c>
      <c r="CK211" s="372"/>
      <c r="CL211" s="203">
        <f t="shared" si="23"/>
        <v>0</v>
      </c>
      <c r="CM211" s="372"/>
      <c r="CN211" s="372"/>
      <c r="CO211" s="372">
        <f>Roles!$D$7</f>
        <v>0.12</v>
      </c>
      <c r="CP211" s="372"/>
      <c r="CQ211" s="203">
        <f t="shared" si="24"/>
        <v>0</v>
      </c>
      <c r="CR211" s="372"/>
      <c r="CS211" s="372"/>
      <c r="CT211" s="372">
        <f>Roles!$D$7</f>
        <v>0.12</v>
      </c>
      <c r="CU211" s="372"/>
      <c r="CV211" s="203">
        <f t="shared" si="25"/>
        <v>0</v>
      </c>
      <c r="CW211" s="372"/>
      <c r="CX211" s="372"/>
      <c r="CY211" s="372">
        <f>Roles!$D$7</f>
        <v>0.12</v>
      </c>
      <c r="CZ211" s="372"/>
      <c r="DA211" s="203">
        <f t="shared" si="26"/>
        <v>0</v>
      </c>
      <c r="DB211" s="372"/>
      <c r="DC211" s="372"/>
      <c r="DD211" s="372">
        <f>Roles!$D$7</f>
        <v>0.12</v>
      </c>
      <c r="DE211" s="372"/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 t="shared" si="1"/>
        <v>1</v>
      </c>
      <c r="F212" s="136">
        <v>0.0</v>
      </c>
      <c r="G212" s="105">
        <f t="shared" si="2"/>
        <v>0</v>
      </c>
      <c r="H212" s="115">
        <f t="shared" si="197"/>
        <v>0.8975021533</v>
      </c>
      <c r="I212" s="110">
        <f>F212</f>
        <v>0</v>
      </c>
      <c r="J212" s="110">
        <f t="shared" si="198"/>
        <v>1066</v>
      </c>
      <c r="K212" s="115">
        <f t="shared" si="3"/>
        <v>0.9367311072</v>
      </c>
      <c r="L212" s="110">
        <v>0.0</v>
      </c>
      <c r="M212" s="110">
        <f t="shared" si="199"/>
        <v>469.04</v>
      </c>
      <c r="N212" s="7"/>
      <c r="O212" s="203" t="str">
        <f t="shared" si="7"/>
        <v>#DIV/0!</v>
      </c>
      <c r="P212" s="372"/>
      <c r="Q212" s="372"/>
      <c r="R212" s="372">
        <f>Roles!$D$5</f>
        <v>0.44</v>
      </c>
      <c r="S212" s="372">
        <f t="shared" si="8"/>
        <v>0</v>
      </c>
      <c r="T212" s="203" t="str">
        <f t="shared" si="9"/>
        <v>#DIV/0!</v>
      </c>
      <c r="U212" s="372"/>
      <c r="V212" s="372"/>
      <c r="W212" s="372">
        <f>Roles!$D$7</f>
        <v>0.12</v>
      </c>
      <c r="X212" s="372"/>
      <c r="Y212" s="203" t="str">
        <f t="shared" si="10"/>
        <v>#DIV/0!</v>
      </c>
      <c r="Z212" s="372"/>
      <c r="AA212" s="372"/>
      <c r="AB212" s="372">
        <f>Roles!$D$7</f>
        <v>0.12</v>
      </c>
      <c r="AC212" s="372"/>
      <c r="AD212" s="203" t="str">
        <f t="shared" si="11"/>
        <v>#DIV/0!</v>
      </c>
      <c r="AE212" s="372"/>
      <c r="AF212" s="372"/>
      <c r="AG212" s="372">
        <f>Roles!$D$7</f>
        <v>0.12</v>
      </c>
      <c r="AH212" s="372"/>
      <c r="AI212" s="203" t="str">
        <f t="shared" si="12"/>
        <v>#DIV/0!</v>
      </c>
      <c r="AJ212" s="372"/>
      <c r="AK212" s="372"/>
      <c r="AL212" s="372">
        <f>Roles!$D$7</f>
        <v>0.12</v>
      </c>
      <c r="AM212" s="372"/>
      <c r="AN212" s="203" t="str">
        <f t="shared" si="13"/>
        <v>#DIV/0!</v>
      </c>
      <c r="AO212" s="372"/>
      <c r="AP212" s="372"/>
      <c r="AQ212" s="372">
        <f>Roles!$D$7</f>
        <v>0.12</v>
      </c>
      <c r="AR212" s="372"/>
      <c r="AS212" s="203" t="str">
        <f t="shared" si="14"/>
        <v>#DIV/0!</v>
      </c>
      <c r="AT212" s="372"/>
      <c r="AU212" s="372"/>
      <c r="AV212" s="372">
        <f>Roles!$D$7</f>
        <v>0.12</v>
      </c>
      <c r="AW212" s="372"/>
      <c r="AX212" s="203" t="str">
        <f t="shared" si="15"/>
        <v>#DIV/0!</v>
      </c>
      <c r="AY212" s="372"/>
      <c r="AZ212" s="372"/>
      <c r="BA212" s="372">
        <f>Roles!$D$7</f>
        <v>0.12</v>
      </c>
      <c r="BB212" s="372"/>
      <c r="BC212" s="203" t="str">
        <f t="shared" si="16"/>
        <v>#DIV/0!</v>
      </c>
      <c r="BD212" s="372"/>
      <c r="BE212" s="372"/>
      <c r="BF212" s="372">
        <f>Roles!$D$7</f>
        <v>0.12</v>
      </c>
      <c r="BG212" s="372"/>
      <c r="BH212" s="203" t="str">
        <f t="shared" si="17"/>
        <v>#DIV/0!</v>
      </c>
      <c r="BI212" s="372"/>
      <c r="BJ212" s="372"/>
      <c r="BK212" s="372">
        <f>Roles!$D$7</f>
        <v>0.12</v>
      </c>
      <c r="BL212" s="372"/>
      <c r="BM212" s="203" t="str">
        <f t="shared" si="18"/>
        <v>#DIV/0!</v>
      </c>
      <c r="BN212" s="372"/>
      <c r="BO212" s="372"/>
      <c r="BP212" s="372">
        <f>Roles!$D$7</f>
        <v>0.12</v>
      </c>
      <c r="BQ212" s="372"/>
      <c r="BR212" s="203" t="str">
        <f t="shared" si="19"/>
        <v>#DIV/0!</v>
      </c>
      <c r="BS212" s="372"/>
      <c r="BT212" s="372"/>
      <c r="BU212" s="372">
        <f>Roles!$D$7</f>
        <v>0.12</v>
      </c>
      <c r="BV212" s="372"/>
      <c r="BW212" s="203" t="str">
        <f t="shared" si="20"/>
        <v>#DIV/0!</v>
      </c>
      <c r="BX212" s="372"/>
      <c r="BY212" s="372"/>
      <c r="BZ212" s="372">
        <f>Roles!$D$7</f>
        <v>0.12</v>
      </c>
      <c r="CA212" s="372"/>
      <c r="CB212" s="203" t="str">
        <f t="shared" si="21"/>
        <v>#DIV/0!</v>
      </c>
      <c r="CC212" s="372"/>
      <c r="CD212" s="372"/>
      <c r="CE212" s="372">
        <f>Roles!$D$7</f>
        <v>0.12</v>
      </c>
      <c r="CF212" s="372"/>
      <c r="CG212" s="203" t="str">
        <f t="shared" si="22"/>
        <v>#DIV/0!</v>
      </c>
      <c r="CH212" s="372"/>
      <c r="CI212" s="372"/>
      <c r="CJ212" s="372">
        <f>Roles!$D$7</f>
        <v>0.12</v>
      </c>
      <c r="CK212" s="372"/>
      <c r="CL212" s="203" t="str">
        <f t="shared" si="23"/>
        <v>#DIV/0!</v>
      </c>
      <c r="CM212" s="372"/>
      <c r="CN212" s="372"/>
      <c r="CO212" s="372">
        <f>Roles!$D$7</f>
        <v>0.12</v>
      </c>
      <c r="CP212" s="372"/>
      <c r="CQ212" s="203" t="str">
        <f t="shared" si="24"/>
        <v>#DIV/0!</v>
      </c>
      <c r="CR212" s="372"/>
      <c r="CS212" s="372"/>
      <c r="CT212" s="372">
        <f>Roles!$D$7</f>
        <v>0.12</v>
      </c>
      <c r="CU212" s="372"/>
      <c r="CV212" s="203" t="str">
        <f t="shared" si="25"/>
        <v>#DIV/0!</v>
      </c>
      <c r="CW212" s="372"/>
      <c r="CX212" s="372"/>
      <c r="CY212" s="372">
        <f>Roles!$D$7</f>
        <v>0.12</v>
      </c>
      <c r="CZ212" s="372"/>
      <c r="DA212" s="203" t="str">
        <f t="shared" si="26"/>
        <v>#DIV/0!</v>
      </c>
      <c r="DB212" s="372"/>
      <c r="DC212" s="372"/>
      <c r="DD212" s="372">
        <f>Roles!$D$7</f>
        <v>0.12</v>
      </c>
      <c r="DE212" s="372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 t="shared" si="1"/>
        <v>15</v>
      </c>
      <c r="F213" s="240">
        <f>F214+F218+F223+F229+F232</f>
        <v>119</v>
      </c>
      <c r="G213" s="105">
        <f t="shared" si="2"/>
        <v>0.1024978467</v>
      </c>
      <c r="H213" s="224">
        <f>H237</f>
        <v>1</v>
      </c>
      <c r="I213" s="241">
        <f>I214+I218+I223+I229+I232</f>
        <v>72</v>
      </c>
      <c r="J213" s="241">
        <f>J237</f>
        <v>1138</v>
      </c>
      <c r="K213" s="138">
        <f t="shared" si="3"/>
        <v>1</v>
      </c>
      <c r="L213" s="241">
        <f>L214+L218+L223+L229+L232</f>
        <v>31.68</v>
      </c>
      <c r="M213" s="241">
        <f>M237</f>
        <v>500.72</v>
      </c>
      <c r="N213" s="7"/>
      <c r="O213" s="203">
        <f t="shared" si="7"/>
        <v>0</v>
      </c>
      <c r="P213" s="372"/>
      <c r="Q213" s="372"/>
      <c r="R213" s="372">
        <f>Roles!$D$5</f>
        <v>0.44</v>
      </c>
      <c r="S213" s="372">
        <f t="shared" si="8"/>
        <v>0</v>
      </c>
      <c r="T213" s="203">
        <f t="shared" si="9"/>
        <v>0</v>
      </c>
      <c r="U213" s="372"/>
      <c r="V213" s="372"/>
      <c r="W213" s="372">
        <f>Roles!$D$7</f>
        <v>0.12</v>
      </c>
      <c r="X213" s="372"/>
      <c r="Y213" s="203">
        <f t="shared" si="10"/>
        <v>0</v>
      </c>
      <c r="Z213" s="372"/>
      <c r="AA213" s="372"/>
      <c r="AB213" s="372">
        <f>Roles!$D$7</f>
        <v>0.12</v>
      </c>
      <c r="AC213" s="372"/>
      <c r="AD213" s="203">
        <f t="shared" si="11"/>
        <v>0</v>
      </c>
      <c r="AE213" s="372"/>
      <c r="AF213" s="372"/>
      <c r="AG213" s="372">
        <f>Roles!$D$7</f>
        <v>0.12</v>
      </c>
      <c r="AH213" s="372"/>
      <c r="AI213" s="203">
        <f t="shared" si="12"/>
        <v>0</v>
      </c>
      <c r="AJ213" s="372"/>
      <c r="AK213" s="372"/>
      <c r="AL213" s="372">
        <f>Roles!$D$7</f>
        <v>0.12</v>
      </c>
      <c r="AM213" s="372"/>
      <c r="AN213" s="203">
        <f t="shared" si="13"/>
        <v>0</v>
      </c>
      <c r="AO213" s="372"/>
      <c r="AP213" s="372"/>
      <c r="AQ213" s="372">
        <f>Roles!$D$7</f>
        <v>0.12</v>
      </c>
      <c r="AR213" s="372"/>
      <c r="AS213" s="203">
        <f t="shared" si="14"/>
        <v>0</v>
      </c>
      <c r="AT213" s="372"/>
      <c r="AU213" s="372"/>
      <c r="AV213" s="372">
        <f>Roles!$D$7</f>
        <v>0.12</v>
      </c>
      <c r="AW213" s="372"/>
      <c r="AX213" s="203">
        <f t="shared" si="15"/>
        <v>0</v>
      </c>
      <c r="AY213" s="372"/>
      <c r="AZ213" s="372"/>
      <c r="BA213" s="372">
        <f>Roles!$D$7</f>
        <v>0.12</v>
      </c>
      <c r="BB213" s="372"/>
      <c r="BC213" s="203">
        <f t="shared" si="16"/>
        <v>0</v>
      </c>
      <c r="BD213" s="372"/>
      <c r="BE213" s="372"/>
      <c r="BF213" s="372">
        <f>Roles!$D$7</f>
        <v>0.12</v>
      </c>
      <c r="BG213" s="372"/>
      <c r="BH213" s="203">
        <f t="shared" si="17"/>
        <v>0</v>
      </c>
      <c r="BI213" s="372"/>
      <c r="BJ213" s="372"/>
      <c r="BK213" s="372">
        <f>Roles!$D$7</f>
        <v>0.12</v>
      </c>
      <c r="BL213" s="372"/>
      <c r="BM213" s="203">
        <f t="shared" si="18"/>
        <v>0</v>
      </c>
      <c r="BN213" s="372"/>
      <c r="BO213" s="372"/>
      <c r="BP213" s="372">
        <f>Roles!$D$7</f>
        <v>0.12</v>
      </c>
      <c r="BQ213" s="372"/>
      <c r="BR213" s="203">
        <f t="shared" si="19"/>
        <v>0</v>
      </c>
      <c r="BS213" s="372"/>
      <c r="BT213" s="372"/>
      <c r="BU213" s="372">
        <f>Roles!$D$7</f>
        <v>0.12</v>
      </c>
      <c r="BV213" s="372"/>
      <c r="BW213" s="203">
        <f t="shared" si="20"/>
        <v>0</v>
      </c>
      <c r="BX213" s="372"/>
      <c r="BY213" s="372"/>
      <c r="BZ213" s="372">
        <f>Roles!$D$7</f>
        <v>0.12</v>
      </c>
      <c r="CA213" s="372"/>
      <c r="CB213" s="203">
        <f t="shared" si="21"/>
        <v>0</v>
      </c>
      <c r="CC213" s="372"/>
      <c r="CD213" s="372"/>
      <c r="CE213" s="372">
        <f>Roles!$D$7</f>
        <v>0.12</v>
      </c>
      <c r="CF213" s="372"/>
      <c r="CG213" s="203">
        <f t="shared" si="22"/>
        <v>0</v>
      </c>
      <c r="CH213" s="372"/>
      <c r="CI213" s="372"/>
      <c r="CJ213" s="372">
        <f>Roles!$D$7</f>
        <v>0.12</v>
      </c>
      <c r="CK213" s="372"/>
      <c r="CL213" s="203">
        <f t="shared" si="23"/>
        <v>0</v>
      </c>
      <c r="CM213" s="372"/>
      <c r="CN213" s="372"/>
      <c r="CO213" s="372">
        <f>Roles!$D$7</f>
        <v>0.12</v>
      </c>
      <c r="CP213" s="372"/>
      <c r="CQ213" s="203">
        <f t="shared" si="24"/>
        <v>0</v>
      </c>
      <c r="CR213" s="372"/>
      <c r="CS213" s="372"/>
      <c r="CT213" s="372">
        <f>Roles!$D$7</f>
        <v>0.12</v>
      </c>
      <c r="CU213" s="372"/>
      <c r="CV213" s="203">
        <f t="shared" si="25"/>
        <v>0</v>
      </c>
      <c r="CW213" s="372"/>
      <c r="CX213" s="372"/>
      <c r="CY213" s="372">
        <f>Roles!$D$7</f>
        <v>0.12</v>
      </c>
      <c r="CZ213" s="372"/>
      <c r="DA213" s="203">
        <f t="shared" si="26"/>
        <v>0</v>
      </c>
      <c r="DB213" s="372"/>
      <c r="DC213" s="372"/>
      <c r="DD213" s="372">
        <f>Roles!$D$7</f>
        <v>0.12</v>
      </c>
      <c r="DE213" s="372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 t="shared" si="1"/>
        <v>6</v>
      </c>
      <c r="F214" s="246">
        <f>SUM(F215:F217)</f>
        <v>31</v>
      </c>
      <c r="G214" s="105">
        <f t="shared" si="2"/>
        <v>0.02670111972</v>
      </c>
      <c r="H214" s="226">
        <f>H217</f>
        <v>0.924203273</v>
      </c>
      <c r="I214" s="247">
        <f>SUM(I215:I217)</f>
        <v>7</v>
      </c>
      <c r="J214" s="247">
        <f>J217</f>
        <v>1073</v>
      </c>
      <c r="K214" s="167">
        <f t="shared" si="3"/>
        <v>0.9428822496</v>
      </c>
      <c r="L214" s="247">
        <f>SUM(L215:L217)</f>
        <v>3.08</v>
      </c>
      <c r="M214" s="247">
        <f>M217</f>
        <v>472.12</v>
      </c>
      <c r="N214" s="7"/>
      <c r="O214" s="203">
        <f t="shared" si="7"/>
        <v>0</v>
      </c>
      <c r="P214" s="372"/>
      <c r="Q214" s="372"/>
      <c r="R214" s="372">
        <f>Roles!$D$5</f>
        <v>0.44</v>
      </c>
      <c r="S214" s="372">
        <f t="shared" si="8"/>
        <v>0</v>
      </c>
      <c r="T214" s="203">
        <f t="shared" si="9"/>
        <v>0</v>
      </c>
      <c r="U214" s="372"/>
      <c r="V214" s="372"/>
      <c r="W214" s="372">
        <f>Roles!$D$7</f>
        <v>0.12</v>
      </c>
      <c r="X214" s="372"/>
      <c r="Y214" s="203">
        <f t="shared" si="10"/>
        <v>0</v>
      </c>
      <c r="Z214" s="372"/>
      <c r="AA214" s="372"/>
      <c r="AB214" s="372">
        <f>Roles!$D$7</f>
        <v>0.12</v>
      </c>
      <c r="AC214" s="372"/>
      <c r="AD214" s="203">
        <f t="shared" si="11"/>
        <v>0</v>
      </c>
      <c r="AE214" s="372"/>
      <c r="AF214" s="372"/>
      <c r="AG214" s="372">
        <f>Roles!$D$7</f>
        <v>0.12</v>
      </c>
      <c r="AH214" s="372"/>
      <c r="AI214" s="203">
        <f t="shared" si="12"/>
        <v>0</v>
      </c>
      <c r="AJ214" s="372"/>
      <c r="AK214" s="372"/>
      <c r="AL214" s="372">
        <f>Roles!$D$7</f>
        <v>0.12</v>
      </c>
      <c r="AM214" s="372"/>
      <c r="AN214" s="203">
        <f t="shared" si="13"/>
        <v>0</v>
      </c>
      <c r="AO214" s="372"/>
      <c r="AP214" s="372"/>
      <c r="AQ214" s="372">
        <f>Roles!$D$7</f>
        <v>0.12</v>
      </c>
      <c r="AR214" s="372"/>
      <c r="AS214" s="203">
        <f t="shared" si="14"/>
        <v>0</v>
      </c>
      <c r="AT214" s="372"/>
      <c r="AU214" s="372"/>
      <c r="AV214" s="372">
        <f>Roles!$D$7</f>
        <v>0.12</v>
      </c>
      <c r="AW214" s="372"/>
      <c r="AX214" s="203">
        <f t="shared" si="15"/>
        <v>0</v>
      </c>
      <c r="AY214" s="372"/>
      <c r="AZ214" s="372"/>
      <c r="BA214" s="372">
        <f>Roles!$D$7</f>
        <v>0.12</v>
      </c>
      <c r="BB214" s="372"/>
      <c r="BC214" s="203">
        <f t="shared" si="16"/>
        <v>0</v>
      </c>
      <c r="BD214" s="372"/>
      <c r="BE214" s="372"/>
      <c r="BF214" s="372">
        <f>Roles!$D$7</f>
        <v>0.12</v>
      </c>
      <c r="BG214" s="372"/>
      <c r="BH214" s="203">
        <f t="shared" si="17"/>
        <v>0</v>
      </c>
      <c r="BI214" s="372"/>
      <c r="BJ214" s="372"/>
      <c r="BK214" s="372">
        <f>Roles!$D$7</f>
        <v>0.12</v>
      </c>
      <c r="BL214" s="372"/>
      <c r="BM214" s="203">
        <f t="shared" si="18"/>
        <v>0</v>
      </c>
      <c r="BN214" s="372"/>
      <c r="BO214" s="372"/>
      <c r="BP214" s="372">
        <f>Roles!$D$7</f>
        <v>0.12</v>
      </c>
      <c r="BQ214" s="372"/>
      <c r="BR214" s="203">
        <f t="shared" si="19"/>
        <v>0</v>
      </c>
      <c r="BS214" s="372"/>
      <c r="BT214" s="372"/>
      <c r="BU214" s="372">
        <f>Roles!$D$7</f>
        <v>0.12</v>
      </c>
      <c r="BV214" s="372"/>
      <c r="BW214" s="203">
        <f t="shared" si="20"/>
        <v>0</v>
      </c>
      <c r="BX214" s="372"/>
      <c r="BY214" s="372"/>
      <c r="BZ214" s="372">
        <f>Roles!$D$7</f>
        <v>0.12</v>
      </c>
      <c r="CA214" s="372"/>
      <c r="CB214" s="203">
        <f t="shared" si="21"/>
        <v>0</v>
      </c>
      <c r="CC214" s="372"/>
      <c r="CD214" s="372"/>
      <c r="CE214" s="372">
        <f>Roles!$D$7</f>
        <v>0.12</v>
      </c>
      <c r="CF214" s="372"/>
      <c r="CG214" s="203">
        <f t="shared" si="22"/>
        <v>0</v>
      </c>
      <c r="CH214" s="372"/>
      <c r="CI214" s="372"/>
      <c r="CJ214" s="372">
        <f>Roles!$D$7</f>
        <v>0.12</v>
      </c>
      <c r="CK214" s="372"/>
      <c r="CL214" s="203">
        <f t="shared" si="23"/>
        <v>0</v>
      </c>
      <c r="CM214" s="372"/>
      <c r="CN214" s="372"/>
      <c r="CO214" s="372">
        <f>Roles!$D$7</f>
        <v>0.12</v>
      </c>
      <c r="CP214" s="372"/>
      <c r="CQ214" s="203">
        <f t="shared" si="24"/>
        <v>0</v>
      </c>
      <c r="CR214" s="372"/>
      <c r="CS214" s="372"/>
      <c r="CT214" s="372">
        <f>Roles!$D$7</f>
        <v>0.12</v>
      </c>
      <c r="CU214" s="372"/>
      <c r="CV214" s="203">
        <f t="shared" si="25"/>
        <v>0</v>
      </c>
      <c r="CW214" s="372"/>
      <c r="CX214" s="372"/>
      <c r="CY214" s="372">
        <f>Roles!$D$7</f>
        <v>0.12</v>
      </c>
      <c r="CZ214" s="372"/>
      <c r="DA214" s="203">
        <f t="shared" si="26"/>
        <v>0</v>
      </c>
      <c r="DB214" s="372"/>
      <c r="DC214" s="372"/>
      <c r="DD214" s="372">
        <f>Roles!$D$7</f>
        <v>0.12</v>
      </c>
      <c r="DE214" s="372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 t="shared" si="1"/>
        <v>3</v>
      </c>
      <c r="F215" s="80">
        <v>15.0</v>
      </c>
      <c r="G215" s="105">
        <f t="shared" si="2"/>
        <v>0.01291989664</v>
      </c>
      <c r="H215" s="353">
        <f>H212+G215</f>
        <v>0.91042205</v>
      </c>
      <c r="I215" s="231">
        <f t="shared" ref="I215:I217" si="200">P215+U215+Z215+AE215+AJ215+AO215+AT215+AY215+BD215+BI215+BN215+BS215+BX215+CC215+CH215+CM215+CR215+CW215+DB215</f>
        <v>6</v>
      </c>
      <c r="J215" s="351">
        <f>J212+I215</f>
        <v>1072</v>
      </c>
      <c r="K215" s="352">
        <f t="shared" si="3"/>
        <v>0.9420035149</v>
      </c>
      <c r="L215" s="232">
        <f t="shared" ref="L215:L217" si="201">S215+X215+AC215+AH215+AM215+AR215+AW215+BB215+BG215+BL215+BQ215+BV215+CA215+CF215+CK215+CP215+CU215+CZ215+DE215</f>
        <v>2.64</v>
      </c>
      <c r="M215" s="351">
        <f>M212+L215</f>
        <v>471.68</v>
      </c>
      <c r="N215" s="7"/>
      <c r="O215" s="203">
        <f t="shared" si="7"/>
        <v>0.4</v>
      </c>
      <c r="P215" s="378">
        <v>6.0</v>
      </c>
      <c r="Q215" s="372"/>
      <c r="R215" s="372">
        <f>Roles!$D$5</f>
        <v>0.44</v>
      </c>
      <c r="S215" s="372">
        <f t="shared" si="8"/>
        <v>2.64</v>
      </c>
      <c r="T215" s="203">
        <f t="shared" si="9"/>
        <v>0</v>
      </c>
      <c r="U215" s="372"/>
      <c r="V215" s="372"/>
      <c r="W215" s="372">
        <f>Roles!$D$7</f>
        <v>0.12</v>
      </c>
      <c r="X215" s="372"/>
      <c r="Y215" s="203">
        <f t="shared" si="10"/>
        <v>0</v>
      </c>
      <c r="Z215" s="372"/>
      <c r="AA215" s="372"/>
      <c r="AB215" s="372">
        <f>Roles!$D$7</f>
        <v>0.12</v>
      </c>
      <c r="AC215" s="372"/>
      <c r="AD215" s="203">
        <f t="shared" si="11"/>
        <v>0</v>
      </c>
      <c r="AE215" s="372"/>
      <c r="AF215" s="372"/>
      <c r="AG215" s="372">
        <f>Roles!$D$7</f>
        <v>0.12</v>
      </c>
      <c r="AH215" s="372"/>
      <c r="AI215" s="203">
        <f t="shared" si="12"/>
        <v>0</v>
      </c>
      <c r="AJ215" s="372"/>
      <c r="AK215" s="372"/>
      <c r="AL215" s="372">
        <f>Roles!$D$7</f>
        <v>0.12</v>
      </c>
      <c r="AM215" s="372"/>
      <c r="AN215" s="203">
        <f t="shared" si="13"/>
        <v>0</v>
      </c>
      <c r="AO215" s="372"/>
      <c r="AP215" s="372"/>
      <c r="AQ215" s="372">
        <f>Roles!$D$7</f>
        <v>0.12</v>
      </c>
      <c r="AR215" s="372"/>
      <c r="AS215" s="203">
        <f t="shared" si="14"/>
        <v>0</v>
      </c>
      <c r="AT215" s="372"/>
      <c r="AU215" s="372"/>
      <c r="AV215" s="372">
        <f>Roles!$D$7</f>
        <v>0.12</v>
      </c>
      <c r="AW215" s="372"/>
      <c r="AX215" s="203">
        <f t="shared" si="15"/>
        <v>0</v>
      </c>
      <c r="AY215" s="372"/>
      <c r="AZ215" s="372"/>
      <c r="BA215" s="372">
        <f>Roles!$D$7</f>
        <v>0.12</v>
      </c>
      <c r="BB215" s="372"/>
      <c r="BC215" s="203">
        <f t="shared" si="16"/>
        <v>0</v>
      </c>
      <c r="BD215" s="372"/>
      <c r="BE215" s="372"/>
      <c r="BF215" s="372">
        <f>Roles!$D$7</f>
        <v>0.12</v>
      </c>
      <c r="BG215" s="372"/>
      <c r="BH215" s="203">
        <f t="shared" si="17"/>
        <v>0</v>
      </c>
      <c r="BI215" s="372"/>
      <c r="BJ215" s="372"/>
      <c r="BK215" s="372">
        <f>Roles!$D$7</f>
        <v>0.12</v>
      </c>
      <c r="BL215" s="372"/>
      <c r="BM215" s="203">
        <f t="shared" si="18"/>
        <v>0</v>
      </c>
      <c r="BN215" s="372"/>
      <c r="BO215" s="372"/>
      <c r="BP215" s="372">
        <f>Roles!$D$7</f>
        <v>0.12</v>
      </c>
      <c r="BQ215" s="372"/>
      <c r="BR215" s="203">
        <f t="shared" si="19"/>
        <v>0</v>
      </c>
      <c r="BS215" s="372"/>
      <c r="BT215" s="372"/>
      <c r="BU215" s="372">
        <f>Roles!$D$7</f>
        <v>0.12</v>
      </c>
      <c r="BV215" s="372"/>
      <c r="BW215" s="203">
        <f t="shared" si="20"/>
        <v>0</v>
      </c>
      <c r="BX215" s="372"/>
      <c r="BY215" s="372"/>
      <c r="BZ215" s="372">
        <f>Roles!$D$7</f>
        <v>0.12</v>
      </c>
      <c r="CA215" s="372"/>
      <c r="CB215" s="203">
        <f t="shared" si="21"/>
        <v>0</v>
      </c>
      <c r="CC215" s="372"/>
      <c r="CD215" s="372"/>
      <c r="CE215" s="372">
        <f>Roles!$D$7</f>
        <v>0.12</v>
      </c>
      <c r="CF215" s="372"/>
      <c r="CG215" s="203">
        <f t="shared" si="22"/>
        <v>0</v>
      </c>
      <c r="CH215" s="372"/>
      <c r="CI215" s="372"/>
      <c r="CJ215" s="372">
        <f>Roles!$D$7</f>
        <v>0.12</v>
      </c>
      <c r="CK215" s="372"/>
      <c r="CL215" s="203">
        <f t="shared" si="23"/>
        <v>0</v>
      </c>
      <c r="CM215" s="372"/>
      <c r="CN215" s="372"/>
      <c r="CO215" s="372">
        <f>Roles!$D$7</f>
        <v>0.12</v>
      </c>
      <c r="CP215" s="372"/>
      <c r="CQ215" s="203">
        <f t="shared" si="24"/>
        <v>0</v>
      </c>
      <c r="CR215" s="372"/>
      <c r="CS215" s="372"/>
      <c r="CT215" s="372">
        <f>Roles!$D$7</f>
        <v>0.12</v>
      </c>
      <c r="CU215" s="372"/>
      <c r="CV215" s="203">
        <f t="shared" si="25"/>
        <v>0</v>
      </c>
      <c r="CW215" s="372"/>
      <c r="CX215" s="372"/>
      <c r="CY215" s="372">
        <f>Roles!$D$7</f>
        <v>0.12</v>
      </c>
      <c r="CZ215" s="372"/>
      <c r="DA215" s="203">
        <f t="shared" si="26"/>
        <v>0</v>
      </c>
      <c r="DB215" s="372"/>
      <c r="DC215" s="372"/>
      <c r="DD215" s="372">
        <f>Roles!$D$7</f>
        <v>0.12</v>
      </c>
      <c r="DE215" s="372"/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 t="shared" si="1"/>
        <v>1</v>
      </c>
      <c r="F216" s="80">
        <v>1.0</v>
      </c>
      <c r="G216" s="105">
        <f t="shared" si="2"/>
        <v>0.0008613264427</v>
      </c>
      <c r="H216" s="47">
        <f t="shared" ref="H216:H217" si="202">H215+G216</f>
        <v>0.9112833764</v>
      </c>
      <c r="I216" s="231">
        <f t="shared" si="200"/>
        <v>1</v>
      </c>
      <c r="J216" s="172">
        <f t="shared" ref="J216:J217" si="203">J215+I216</f>
        <v>1073</v>
      </c>
      <c r="K216" s="115">
        <f t="shared" si="3"/>
        <v>0.9428822496</v>
      </c>
      <c r="L216" s="232">
        <f t="shared" si="201"/>
        <v>0.44</v>
      </c>
      <c r="M216" s="172">
        <f t="shared" ref="M216:M217" si="204">M215+L216</f>
        <v>472.12</v>
      </c>
      <c r="N216" s="7"/>
      <c r="O216" s="203">
        <f t="shared" si="7"/>
        <v>1</v>
      </c>
      <c r="P216" s="378">
        <v>1.0</v>
      </c>
      <c r="Q216" s="372"/>
      <c r="R216" s="372">
        <f>Roles!$D$5</f>
        <v>0.44</v>
      </c>
      <c r="S216" s="372">
        <f t="shared" si="8"/>
        <v>0.44</v>
      </c>
      <c r="T216" s="203">
        <f t="shared" si="9"/>
        <v>0</v>
      </c>
      <c r="U216" s="372"/>
      <c r="V216" s="372"/>
      <c r="W216" s="372">
        <f>Roles!$D$7</f>
        <v>0.12</v>
      </c>
      <c r="X216" s="372"/>
      <c r="Y216" s="203">
        <f t="shared" si="10"/>
        <v>0</v>
      </c>
      <c r="Z216" s="372"/>
      <c r="AA216" s="372"/>
      <c r="AB216" s="372">
        <f>Roles!$D$7</f>
        <v>0.12</v>
      </c>
      <c r="AC216" s="372"/>
      <c r="AD216" s="203">
        <f t="shared" si="11"/>
        <v>0</v>
      </c>
      <c r="AE216" s="372"/>
      <c r="AF216" s="372"/>
      <c r="AG216" s="372">
        <f>Roles!$D$7</f>
        <v>0.12</v>
      </c>
      <c r="AH216" s="372"/>
      <c r="AI216" s="203">
        <f t="shared" si="12"/>
        <v>0</v>
      </c>
      <c r="AJ216" s="372"/>
      <c r="AK216" s="372"/>
      <c r="AL216" s="372">
        <f>Roles!$D$7</f>
        <v>0.12</v>
      </c>
      <c r="AM216" s="372"/>
      <c r="AN216" s="203">
        <f t="shared" si="13"/>
        <v>0</v>
      </c>
      <c r="AO216" s="372"/>
      <c r="AP216" s="372"/>
      <c r="AQ216" s="372">
        <f>Roles!$D$7</f>
        <v>0.12</v>
      </c>
      <c r="AR216" s="372"/>
      <c r="AS216" s="203">
        <f t="shared" si="14"/>
        <v>0</v>
      </c>
      <c r="AT216" s="372"/>
      <c r="AU216" s="372"/>
      <c r="AV216" s="372">
        <f>Roles!$D$7</f>
        <v>0.12</v>
      </c>
      <c r="AW216" s="372"/>
      <c r="AX216" s="203">
        <f t="shared" si="15"/>
        <v>0</v>
      </c>
      <c r="AY216" s="372"/>
      <c r="AZ216" s="372"/>
      <c r="BA216" s="372">
        <f>Roles!$D$7</f>
        <v>0.12</v>
      </c>
      <c r="BB216" s="372"/>
      <c r="BC216" s="203">
        <f t="shared" si="16"/>
        <v>0</v>
      </c>
      <c r="BD216" s="372"/>
      <c r="BE216" s="372"/>
      <c r="BF216" s="372">
        <f>Roles!$D$7</f>
        <v>0.12</v>
      </c>
      <c r="BG216" s="372"/>
      <c r="BH216" s="203">
        <f t="shared" si="17"/>
        <v>0</v>
      </c>
      <c r="BI216" s="372"/>
      <c r="BJ216" s="372"/>
      <c r="BK216" s="372">
        <f>Roles!$D$7</f>
        <v>0.12</v>
      </c>
      <c r="BL216" s="372"/>
      <c r="BM216" s="203">
        <f t="shared" si="18"/>
        <v>0</v>
      </c>
      <c r="BN216" s="372"/>
      <c r="BO216" s="372"/>
      <c r="BP216" s="372">
        <f>Roles!$D$7</f>
        <v>0.12</v>
      </c>
      <c r="BQ216" s="372"/>
      <c r="BR216" s="203">
        <f t="shared" si="19"/>
        <v>0</v>
      </c>
      <c r="BS216" s="372"/>
      <c r="BT216" s="372"/>
      <c r="BU216" s="372">
        <f>Roles!$D$7</f>
        <v>0.12</v>
      </c>
      <c r="BV216" s="372"/>
      <c r="BW216" s="203">
        <f t="shared" si="20"/>
        <v>0</v>
      </c>
      <c r="BX216" s="372"/>
      <c r="BY216" s="372"/>
      <c r="BZ216" s="372">
        <f>Roles!$D$7</f>
        <v>0.12</v>
      </c>
      <c r="CA216" s="372"/>
      <c r="CB216" s="203">
        <f t="shared" si="21"/>
        <v>0</v>
      </c>
      <c r="CC216" s="372"/>
      <c r="CD216" s="372"/>
      <c r="CE216" s="372">
        <f>Roles!$D$7</f>
        <v>0.12</v>
      </c>
      <c r="CF216" s="372"/>
      <c r="CG216" s="203">
        <f t="shared" si="22"/>
        <v>0</v>
      </c>
      <c r="CH216" s="372"/>
      <c r="CI216" s="372"/>
      <c r="CJ216" s="372">
        <f>Roles!$D$7</f>
        <v>0.12</v>
      </c>
      <c r="CK216" s="372"/>
      <c r="CL216" s="203">
        <f t="shared" si="23"/>
        <v>0</v>
      </c>
      <c r="CM216" s="372"/>
      <c r="CN216" s="372"/>
      <c r="CO216" s="372">
        <f>Roles!$D$7</f>
        <v>0.12</v>
      </c>
      <c r="CP216" s="372"/>
      <c r="CQ216" s="203">
        <f t="shared" si="24"/>
        <v>0</v>
      </c>
      <c r="CR216" s="372"/>
      <c r="CS216" s="372"/>
      <c r="CT216" s="372">
        <f>Roles!$D$7</f>
        <v>0.12</v>
      </c>
      <c r="CU216" s="372"/>
      <c r="CV216" s="203">
        <f t="shared" si="25"/>
        <v>0</v>
      </c>
      <c r="CW216" s="372"/>
      <c r="CX216" s="372"/>
      <c r="CY216" s="372">
        <f>Roles!$D$7</f>
        <v>0.12</v>
      </c>
      <c r="CZ216" s="372"/>
      <c r="DA216" s="203">
        <f t="shared" si="26"/>
        <v>0</v>
      </c>
      <c r="DB216" s="372"/>
      <c r="DC216" s="372"/>
      <c r="DD216" s="372">
        <f>Roles!$D$7</f>
        <v>0.12</v>
      </c>
      <c r="DE216" s="372"/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 t="shared" si="1"/>
        <v>3</v>
      </c>
      <c r="F217" s="80">
        <v>15.0</v>
      </c>
      <c r="G217" s="105">
        <f t="shared" si="2"/>
        <v>0.01291989664</v>
      </c>
      <c r="H217" s="47">
        <f t="shared" si="202"/>
        <v>0.924203273</v>
      </c>
      <c r="I217" s="231">
        <f t="shared" si="200"/>
        <v>0</v>
      </c>
      <c r="J217" s="351">
        <f t="shared" si="203"/>
        <v>1073</v>
      </c>
      <c r="K217" s="352">
        <f t="shared" si="3"/>
        <v>0.9428822496</v>
      </c>
      <c r="L217" s="232">
        <f t="shared" si="201"/>
        <v>0</v>
      </c>
      <c r="M217" s="351">
        <f t="shared" si="204"/>
        <v>472.12</v>
      </c>
      <c r="N217" s="7"/>
      <c r="O217" s="203">
        <f t="shared" si="7"/>
        <v>0</v>
      </c>
      <c r="P217" s="378">
        <v>0.0</v>
      </c>
      <c r="Q217" s="372"/>
      <c r="R217" s="372">
        <f>Roles!$D$5</f>
        <v>0.44</v>
      </c>
      <c r="S217" s="372">
        <f t="shared" si="8"/>
        <v>0</v>
      </c>
      <c r="T217" s="203">
        <f t="shared" si="9"/>
        <v>0</v>
      </c>
      <c r="U217" s="372"/>
      <c r="V217" s="372"/>
      <c r="W217" s="372">
        <f>Roles!$D$7</f>
        <v>0.12</v>
      </c>
      <c r="X217" s="372"/>
      <c r="Y217" s="203">
        <f t="shared" si="10"/>
        <v>0</v>
      </c>
      <c r="Z217" s="372"/>
      <c r="AA217" s="372"/>
      <c r="AB217" s="372">
        <f>Roles!$D$7</f>
        <v>0.12</v>
      </c>
      <c r="AC217" s="372"/>
      <c r="AD217" s="203">
        <f t="shared" si="11"/>
        <v>0</v>
      </c>
      <c r="AE217" s="372"/>
      <c r="AF217" s="372"/>
      <c r="AG217" s="372">
        <f>Roles!$D$7</f>
        <v>0.12</v>
      </c>
      <c r="AH217" s="372"/>
      <c r="AI217" s="203">
        <f t="shared" si="12"/>
        <v>0</v>
      </c>
      <c r="AJ217" s="372"/>
      <c r="AK217" s="372"/>
      <c r="AL217" s="372">
        <f>Roles!$D$7</f>
        <v>0.12</v>
      </c>
      <c r="AM217" s="372"/>
      <c r="AN217" s="203">
        <f t="shared" si="13"/>
        <v>0</v>
      </c>
      <c r="AO217" s="372"/>
      <c r="AP217" s="372"/>
      <c r="AQ217" s="372">
        <f>Roles!$D$7</f>
        <v>0.12</v>
      </c>
      <c r="AR217" s="372"/>
      <c r="AS217" s="203">
        <f t="shared" si="14"/>
        <v>0</v>
      </c>
      <c r="AT217" s="372"/>
      <c r="AU217" s="372"/>
      <c r="AV217" s="372">
        <f>Roles!$D$7</f>
        <v>0.12</v>
      </c>
      <c r="AW217" s="372"/>
      <c r="AX217" s="203">
        <f t="shared" si="15"/>
        <v>0</v>
      </c>
      <c r="AY217" s="372"/>
      <c r="AZ217" s="372"/>
      <c r="BA217" s="372">
        <f>Roles!$D$7</f>
        <v>0.12</v>
      </c>
      <c r="BB217" s="372"/>
      <c r="BC217" s="203">
        <f t="shared" si="16"/>
        <v>0</v>
      </c>
      <c r="BD217" s="372"/>
      <c r="BE217" s="372"/>
      <c r="BF217" s="372">
        <f>Roles!$D$7</f>
        <v>0.12</v>
      </c>
      <c r="BG217" s="372"/>
      <c r="BH217" s="203">
        <f t="shared" si="17"/>
        <v>0</v>
      </c>
      <c r="BI217" s="372"/>
      <c r="BJ217" s="372"/>
      <c r="BK217" s="372">
        <f>Roles!$D$7</f>
        <v>0.12</v>
      </c>
      <c r="BL217" s="372"/>
      <c r="BM217" s="203">
        <f t="shared" si="18"/>
        <v>0</v>
      </c>
      <c r="BN217" s="372"/>
      <c r="BO217" s="372"/>
      <c r="BP217" s="372">
        <f>Roles!$D$7</f>
        <v>0.12</v>
      </c>
      <c r="BQ217" s="372"/>
      <c r="BR217" s="203">
        <f t="shared" si="19"/>
        <v>0</v>
      </c>
      <c r="BS217" s="372"/>
      <c r="BT217" s="372"/>
      <c r="BU217" s="372">
        <f>Roles!$D$7</f>
        <v>0.12</v>
      </c>
      <c r="BV217" s="372"/>
      <c r="BW217" s="203">
        <f t="shared" si="20"/>
        <v>0</v>
      </c>
      <c r="BX217" s="372"/>
      <c r="BY217" s="372"/>
      <c r="BZ217" s="372">
        <f>Roles!$D$7</f>
        <v>0.12</v>
      </c>
      <c r="CA217" s="372"/>
      <c r="CB217" s="203">
        <f t="shared" si="21"/>
        <v>0</v>
      </c>
      <c r="CC217" s="372"/>
      <c r="CD217" s="372"/>
      <c r="CE217" s="372">
        <f>Roles!$D$7</f>
        <v>0.12</v>
      </c>
      <c r="CF217" s="372"/>
      <c r="CG217" s="203">
        <f t="shared" si="22"/>
        <v>0</v>
      </c>
      <c r="CH217" s="372"/>
      <c r="CI217" s="372"/>
      <c r="CJ217" s="372">
        <f>Roles!$D$7</f>
        <v>0.12</v>
      </c>
      <c r="CK217" s="372"/>
      <c r="CL217" s="203">
        <f t="shared" si="23"/>
        <v>0</v>
      </c>
      <c r="CM217" s="372"/>
      <c r="CN217" s="372"/>
      <c r="CO217" s="372">
        <f>Roles!$D$7</f>
        <v>0.12</v>
      </c>
      <c r="CP217" s="372"/>
      <c r="CQ217" s="203">
        <f t="shared" si="24"/>
        <v>0</v>
      </c>
      <c r="CR217" s="372"/>
      <c r="CS217" s="372"/>
      <c r="CT217" s="372">
        <f>Roles!$D$7</f>
        <v>0.12</v>
      </c>
      <c r="CU217" s="372"/>
      <c r="CV217" s="203">
        <f t="shared" si="25"/>
        <v>0</v>
      </c>
      <c r="CW217" s="372"/>
      <c r="CX217" s="372"/>
      <c r="CY217" s="372">
        <f>Roles!$D$7</f>
        <v>0.12</v>
      </c>
      <c r="CZ217" s="372"/>
      <c r="DA217" s="203">
        <f t="shared" si="26"/>
        <v>0</v>
      </c>
      <c r="DB217" s="372"/>
      <c r="DC217" s="372"/>
      <c r="DD217" s="372">
        <f>Roles!$D$7</f>
        <v>0.12</v>
      </c>
      <c r="DE217" s="372"/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 t="shared" si="1"/>
        <v>4</v>
      </c>
      <c r="F218" s="246">
        <f>SUM(F219:F222)</f>
        <v>30</v>
      </c>
      <c r="G218" s="105">
        <f t="shared" si="2"/>
        <v>0.02583979328</v>
      </c>
      <c r="H218" s="226">
        <f>H222</f>
        <v>0.9500430663</v>
      </c>
      <c r="I218" s="247">
        <f>SUM(I219:I222)</f>
        <v>25</v>
      </c>
      <c r="J218" s="247">
        <f>J222</f>
        <v>1098</v>
      </c>
      <c r="K218" s="167">
        <f t="shared" si="3"/>
        <v>0.9648506151</v>
      </c>
      <c r="L218" s="247">
        <f>SUM(L219:L222)</f>
        <v>11</v>
      </c>
      <c r="M218" s="247">
        <f>M222</f>
        <v>483.12</v>
      </c>
      <c r="N218" s="7"/>
      <c r="O218" s="203">
        <f t="shared" si="7"/>
        <v>0</v>
      </c>
      <c r="P218" s="372"/>
      <c r="Q218" s="372"/>
      <c r="R218" s="372">
        <f>Roles!$D$5</f>
        <v>0.44</v>
      </c>
      <c r="S218" s="372">
        <f t="shared" si="8"/>
        <v>0</v>
      </c>
      <c r="T218" s="203">
        <f t="shared" si="9"/>
        <v>0</v>
      </c>
      <c r="U218" s="372"/>
      <c r="V218" s="372"/>
      <c r="W218" s="372">
        <f>Roles!$D$7</f>
        <v>0.12</v>
      </c>
      <c r="X218" s="372"/>
      <c r="Y218" s="203">
        <f t="shared" si="10"/>
        <v>0</v>
      </c>
      <c r="Z218" s="372"/>
      <c r="AA218" s="372"/>
      <c r="AB218" s="372">
        <f>Roles!$D$7</f>
        <v>0.12</v>
      </c>
      <c r="AC218" s="372"/>
      <c r="AD218" s="203">
        <f t="shared" si="11"/>
        <v>0</v>
      </c>
      <c r="AE218" s="372"/>
      <c r="AF218" s="372"/>
      <c r="AG218" s="372">
        <f>Roles!$D$7</f>
        <v>0.12</v>
      </c>
      <c r="AH218" s="372"/>
      <c r="AI218" s="203">
        <f t="shared" si="12"/>
        <v>0</v>
      </c>
      <c r="AJ218" s="372"/>
      <c r="AK218" s="372"/>
      <c r="AL218" s="372">
        <f>Roles!$D$7</f>
        <v>0.12</v>
      </c>
      <c r="AM218" s="372"/>
      <c r="AN218" s="203">
        <f t="shared" si="13"/>
        <v>0</v>
      </c>
      <c r="AO218" s="372"/>
      <c r="AP218" s="372"/>
      <c r="AQ218" s="372">
        <f>Roles!$D$7</f>
        <v>0.12</v>
      </c>
      <c r="AR218" s="372"/>
      <c r="AS218" s="203">
        <f t="shared" si="14"/>
        <v>0</v>
      </c>
      <c r="AT218" s="372"/>
      <c r="AU218" s="372"/>
      <c r="AV218" s="372">
        <f>Roles!$D$7</f>
        <v>0.12</v>
      </c>
      <c r="AW218" s="372"/>
      <c r="AX218" s="203">
        <f t="shared" si="15"/>
        <v>0</v>
      </c>
      <c r="AY218" s="372"/>
      <c r="AZ218" s="372"/>
      <c r="BA218" s="372">
        <f>Roles!$D$7</f>
        <v>0.12</v>
      </c>
      <c r="BB218" s="372"/>
      <c r="BC218" s="203">
        <f t="shared" si="16"/>
        <v>0</v>
      </c>
      <c r="BD218" s="372"/>
      <c r="BE218" s="372"/>
      <c r="BF218" s="372">
        <f>Roles!$D$7</f>
        <v>0.12</v>
      </c>
      <c r="BG218" s="372"/>
      <c r="BH218" s="203">
        <f t="shared" si="17"/>
        <v>0</v>
      </c>
      <c r="BI218" s="372"/>
      <c r="BJ218" s="372"/>
      <c r="BK218" s="372">
        <f>Roles!$D$7</f>
        <v>0.12</v>
      </c>
      <c r="BL218" s="372"/>
      <c r="BM218" s="203">
        <f t="shared" si="18"/>
        <v>0</v>
      </c>
      <c r="BN218" s="372"/>
      <c r="BO218" s="372"/>
      <c r="BP218" s="372">
        <f>Roles!$D$7</f>
        <v>0.12</v>
      </c>
      <c r="BQ218" s="372"/>
      <c r="BR218" s="203">
        <f t="shared" si="19"/>
        <v>0</v>
      </c>
      <c r="BS218" s="372"/>
      <c r="BT218" s="372"/>
      <c r="BU218" s="372">
        <f>Roles!$D$7</f>
        <v>0.12</v>
      </c>
      <c r="BV218" s="372"/>
      <c r="BW218" s="203">
        <f t="shared" si="20"/>
        <v>0</v>
      </c>
      <c r="BX218" s="372"/>
      <c r="BY218" s="372"/>
      <c r="BZ218" s="372">
        <f>Roles!$D$7</f>
        <v>0.12</v>
      </c>
      <c r="CA218" s="372"/>
      <c r="CB218" s="203">
        <f t="shared" si="21"/>
        <v>0</v>
      </c>
      <c r="CC218" s="372"/>
      <c r="CD218" s="372"/>
      <c r="CE218" s="372">
        <f>Roles!$D$7</f>
        <v>0.12</v>
      </c>
      <c r="CF218" s="372"/>
      <c r="CG218" s="203">
        <f t="shared" si="22"/>
        <v>0</v>
      </c>
      <c r="CH218" s="372"/>
      <c r="CI218" s="372"/>
      <c r="CJ218" s="372">
        <f>Roles!$D$7</f>
        <v>0.12</v>
      </c>
      <c r="CK218" s="372"/>
      <c r="CL218" s="203">
        <f t="shared" si="23"/>
        <v>0</v>
      </c>
      <c r="CM218" s="372"/>
      <c r="CN218" s="372"/>
      <c r="CO218" s="372">
        <f>Roles!$D$7</f>
        <v>0.12</v>
      </c>
      <c r="CP218" s="372"/>
      <c r="CQ218" s="203">
        <f t="shared" si="24"/>
        <v>0</v>
      </c>
      <c r="CR218" s="372"/>
      <c r="CS218" s="372"/>
      <c r="CT218" s="372">
        <f>Roles!$D$7</f>
        <v>0.12</v>
      </c>
      <c r="CU218" s="372"/>
      <c r="CV218" s="203">
        <f t="shared" si="25"/>
        <v>0</v>
      </c>
      <c r="CW218" s="372"/>
      <c r="CX218" s="372"/>
      <c r="CY218" s="372">
        <f>Roles!$D$7</f>
        <v>0.12</v>
      </c>
      <c r="CZ218" s="372"/>
      <c r="DA218" s="203">
        <f t="shared" si="26"/>
        <v>0</v>
      </c>
      <c r="DB218" s="372"/>
      <c r="DC218" s="372"/>
      <c r="DD218" s="372">
        <f>Roles!$D$7</f>
        <v>0.12</v>
      </c>
      <c r="DE218" s="372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 t="shared" si="1"/>
        <v>2</v>
      </c>
      <c r="F219" s="80">
        <v>15.0</v>
      </c>
      <c r="G219" s="105">
        <f t="shared" si="2"/>
        <v>0.01291989664</v>
      </c>
      <c r="H219" s="47">
        <f>H217+G219</f>
        <v>0.9371231697</v>
      </c>
      <c r="I219" s="231">
        <f t="shared" ref="I219:I222" si="205">P219+U219+Z219+AE219+AJ219+AO219+AT219+AY219+BD219+BI219+BN219+BS219+BX219+CC219+CH219+CM219+CR219+CW219+DB219</f>
        <v>10</v>
      </c>
      <c r="J219" s="172">
        <f>J217+I219</f>
        <v>1083</v>
      </c>
      <c r="K219" s="115">
        <f t="shared" si="3"/>
        <v>0.9516695958</v>
      </c>
      <c r="L219" s="232">
        <f t="shared" ref="L219:L222" si="206">S219+X219+AC219+AH219+AM219+AR219+AW219+BB219+BG219+BL219+BQ219+BV219+CA219+CF219+CK219+CP219+CU219+CZ219+DE219</f>
        <v>4.4</v>
      </c>
      <c r="M219" s="172">
        <f>M217+L219</f>
        <v>476.52</v>
      </c>
      <c r="N219" s="7"/>
      <c r="O219" s="203">
        <f t="shared" si="7"/>
        <v>0.6666666667</v>
      </c>
      <c r="P219" s="378">
        <v>10.0</v>
      </c>
      <c r="Q219" s="372"/>
      <c r="R219" s="372">
        <f>Roles!$D$5</f>
        <v>0.44</v>
      </c>
      <c r="S219" s="372">
        <f t="shared" si="8"/>
        <v>4.4</v>
      </c>
      <c r="T219" s="203">
        <f t="shared" si="9"/>
        <v>0</v>
      </c>
      <c r="U219" s="372"/>
      <c r="V219" s="372"/>
      <c r="W219" s="372">
        <f>Roles!$D$7</f>
        <v>0.12</v>
      </c>
      <c r="X219" s="372"/>
      <c r="Y219" s="203">
        <f t="shared" si="10"/>
        <v>0</v>
      </c>
      <c r="Z219" s="372"/>
      <c r="AA219" s="372"/>
      <c r="AB219" s="372">
        <f>Roles!$D$7</f>
        <v>0.12</v>
      </c>
      <c r="AC219" s="372"/>
      <c r="AD219" s="203">
        <f t="shared" si="11"/>
        <v>0</v>
      </c>
      <c r="AE219" s="372"/>
      <c r="AF219" s="372"/>
      <c r="AG219" s="372">
        <f>Roles!$D$7</f>
        <v>0.12</v>
      </c>
      <c r="AH219" s="372"/>
      <c r="AI219" s="203">
        <f t="shared" si="12"/>
        <v>0</v>
      </c>
      <c r="AJ219" s="372"/>
      <c r="AK219" s="372"/>
      <c r="AL219" s="372">
        <f>Roles!$D$7</f>
        <v>0.12</v>
      </c>
      <c r="AM219" s="372"/>
      <c r="AN219" s="203">
        <f t="shared" si="13"/>
        <v>0</v>
      </c>
      <c r="AO219" s="372"/>
      <c r="AP219" s="372"/>
      <c r="AQ219" s="372">
        <f>Roles!$D$7</f>
        <v>0.12</v>
      </c>
      <c r="AR219" s="372"/>
      <c r="AS219" s="203">
        <f t="shared" si="14"/>
        <v>0</v>
      </c>
      <c r="AT219" s="372"/>
      <c r="AU219" s="372"/>
      <c r="AV219" s="372">
        <f>Roles!$D$7</f>
        <v>0.12</v>
      </c>
      <c r="AW219" s="372"/>
      <c r="AX219" s="203">
        <f t="shared" si="15"/>
        <v>0</v>
      </c>
      <c r="AY219" s="372"/>
      <c r="AZ219" s="372"/>
      <c r="BA219" s="372">
        <f>Roles!$D$7</f>
        <v>0.12</v>
      </c>
      <c r="BB219" s="372"/>
      <c r="BC219" s="203">
        <f t="shared" si="16"/>
        <v>0</v>
      </c>
      <c r="BD219" s="372"/>
      <c r="BE219" s="372"/>
      <c r="BF219" s="372">
        <f>Roles!$D$7</f>
        <v>0.12</v>
      </c>
      <c r="BG219" s="372"/>
      <c r="BH219" s="203">
        <f t="shared" si="17"/>
        <v>0</v>
      </c>
      <c r="BI219" s="372"/>
      <c r="BJ219" s="372"/>
      <c r="BK219" s="372">
        <f>Roles!$D$7</f>
        <v>0.12</v>
      </c>
      <c r="BL219" s="372"/>
      <c r="BM219" s="203">
        <f t="shared" si="18"/>
        <v>0</v>
      </c>
      <c r="BN219" s="372"/>
      <c r="BO219" s="372"/>
      <c r="BP219" s="372">
        <f>Roles!$D$7</f>
        <v>0.12</v>
      </c>
      <c r="BQ219" s="372"/>
      <c r="BR219" s="203">
        <f t="shared" si="19"/>
        <v>0</v>
      </c>
      <c r="BS219" s="372"/>
      <c r="BT219" s="372"/>
      <c r="BU219" s="372">
        <f>Roles!$D$7</f>
        <v>0.12</v>
      </c>
      <c r="BV219" s="372"/>
      <c r="BW219" s="203">
        <f t="shared" si="20"/>
        <v>0</v>
      </c>
      <c r="BX219" s="372"/>
      <c r="BY219" s="372"/>
      <c r="BZ219" s="372">
        <f>Roles!$D$7</f>
        <v>0.12</v>
      </c>
      <c r="CA219" s="372"/>
      <c r="CB219" s="203">
        <f t="shared" si="21"/>
        <v>0</v>
      </c>
      <c r="CC219" s="372"/>
      <c r="CD219" s="372"/>
      <c r="CE219" s="372">
        <f>Roles!$D$7</f>
        <v>0.12</v>
      </c>
      <c r="CF219" s="372"/>
      <c r="CG219" s="203">
        <f t="shared" si="22"/>
        <v>0</v>
      </c>
      <c r="CH219" s="372"/>
      <c r="CI219" s="372"/>
      <c r="CJ219" s="372">
        <f>Roles!$D$7</f>
        <v>0.12</v>
      </c>
      <c r="CK219" s="372"/>
      <c r="CL219" s="203">
        <f t="shared" si="23"/>
        <v>0</v>
      </c>
      <c r="CM219" s="372"/>
      <c r="CN219" s="372"/>
      <c r="CO219" s="372">
        <f>Roles!$D$7</f>
        <v>0.12</v>
      </c>
      <c r="CP219" s="372"/>
      <c r="CQ219" s="203">
        <f t="shared" si="24"/>
        <v>0</v>
      </c>
      <c r="CR219" s="372"/>
      <c r="CS219" s="372"/>
      <c r="CT219" s="372">
        <f>Roles!$D$7</f>
        <v>0.12</v>
      </c>
      <c r="CU219" s="372"/>
      <c r="CV219" s="203">
        <f t="shared" si="25"/>
        <v>0</v>
      </c>
      <c r="CW219" s="372"/>
      <c r="CX219" s="372"/>
      <c r="CY219" s="372">
        <f>Roles!$D$7</f>
        <v>0.12</v>
      </c>
      <c r="CZ219" s="372"/>
      <c r="DA219" s="203">
        <f t="shared" si="26"/>
        <v>0</v>
      </c>
      <c r="DB219" s="372"/>
      <c r="DC219" s="372"/>
      <c r="DD219" s="372">
        <f>Roles!$D$7</f>
        <v>0.12</v>
      </c>
      <c r="DE219" s="372"/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 t="shared" si="1"/>
        <v>4</v>
      </c>
      <c r="F220" s="80">
        <v>4.0</v>
      </c>
      <c r="G220" s="105">
        <f t="shared" si="2"/>
        <v>0.003445305771</v>
      </c>
      <c r="H220" s="47">
        <f t="shared" ref="H220:H222" si="207">H219+G220</f>
        <v>0.9405684755</v>
      </c>
      <c r="I220" s="231">
        <f t="shared" si="205"/>
        <v>6</v>
      </c>
      <c r="J220" s="172">
        <f t="shared" ref="J220:J222" si="208">J219+I220</f>
        <v>1089</v>
      </c>
      <c r="K220" s="115">
        <f t="shared" si="3"/>
        <v>0.9569420035</v>
      </c>
      <c r="L220" s="232">
        <f t="shared" si="206"/>
        <v>2.64</v>
      </c>
      <c r="M220" s="172">
        <f t="shared" ref="M220:M222" si="209">M219+L220</f>
        <v>479.16</v>
      </c>
      <c r="N220" s="7"/>
      <c r="O220" s="203">
        <f t="shared" si="7"/>
        <v>1.5</v>
      </c>
      <c r="P220" s="378">
        <v>6.0</v>
      </c>
      <c r="Q220" s="372"/>
      <c r="R220" s="372">
        <f>Roles!$D$5</f>
        <v>0.44</v>
      </c>
      <c r="S220" s="372">
        <f t="shared" si="8"/>
        <v>2.64</v>
      </c>
      <c r="T220" s="203">
        <f t="shared" si="9"/>
        <v>0</v>
      </c>
      <c r="U220" s="372"/>
      <c r="V220" s="372"/>
      <c r="W220" s="372">
        <f>Roles!$D$7</f>
        <v>0.12</v>
      </c>
      <c r="X220" s="372"/>
      <c r="Y220" s="203">
        <f t="shared" si="10"/>
        <v>0</v>
      </c>
      <c r="Z220" s="372"/>
      <c r="AA220" s="372"/>
      <c r="AB220" s="372">
        <f>Roles!$D$7</f>
        <v>0.12</v>
      </c>
      <c r="AC220" s="372"/>
      <c r="AD220" s="203">
        <f t="shared" si="11"/>
        <v>0</v>
      </c>
      <c r="AE220" s="372"/>
      <c r="AF220" s="372"/>
      <c r="AG220" s="372">
        <f>Roles!$D$7</f>
        <v>0.12</v>
      </c>
      <c r="AH220" s="372"/>
      <c r="AI220" s="203">
        <f t="shared" si="12"/>
        <v>0</v>
      </c>
      <c r="AJ220" s="372"/>
      <c r="AK220" s="372"/>
      <c r="AL220" s="372">
        <f>Roles!$D$7</f>
        <v>0.12</v>
      </c>
      <c r="AM220" s="372"/>
      <c r="AN220" s="203">
        <f t="shared" si="13"/>
        <v>0</v>
      </c>
      <c r="AO220" s="372"/>
      <c r="AP220" s="372"/>
      <c r="AQ220" s="372">
        <f>Roles!$D$7</f>
        <v>0.12</v>
      </c>
      <c r="AR220" s="372"/>
      <c r="AS220" s="203">
        <f t="shared" si="14"/>
        <v>0</v>
      </c>
      <c r="AT220" s="372"/>
      <c r="AU220" s="372"/>
      <c r="AV220" s="372">
        <f>Roles!$D$7</f>
        <v>0.12</v>
      </c>
      <c r="AW220" s="372"/>
      <c r="AX220" s="203">
        <f t="shared" si="15"/>
        <v>0</v>
      </c>
      <c r="AY220" s="372"/>
      <c r="AZ220" s="372"/>
      <c r="BA220" s="372">
        <f>Roles!$D$7</f>
        <v>0.12</v>
      </c>
      <c r="BB220" s="372"/>
      <c r="BC220" s="203">
        <f t="shared" si="16"/>
        <v>0</v>
      </c>
      <c r="BD220" s="372"/>
      <c r="BE220" s="372"/>
      <c r="BF220" s="372">
        <f>Roles!$D$7</f>
        <v>0.12</v>
      </c>
      <c r="BG220" s="372"/>
      <c r="BH220" s="203">
        <f t="shared" si="17"/>
        <v>0</v>
      </c>
      <c r="BI220" s="372"/>
      <c r="BJ220" s="372"/>
      <c r="BK220" s="372">
        <f>Roles!$D$7</f>
        <v>0.12</v>
      </c>
      <c r="BL220" s="372"/>
      <c r="BM220" s="203">
        <f t="shared" si="18"/>
        <v>0</v>
      </c>
      <c r="BN220" s="372"/>
      <c r="BO220" s="372"/>
      <c r="BP220" s="372">
        <f>Roles!$D$7</f>
        <v>0.12</v>
      </c>
      <c r="BQ220" s="372"/>
      <c r="BR220" s="203">
        <f t="shared" si="19"/>
        <v>0</v>
      </c>
      <c r="BS220" s="372"/>
      <c r="BT220" s="372"/>
      <c r="BU220" s="372">
        <f>Roles!$D$7</f>
        <v>0.12</v>
      </c>
      <c r="BV220" s="372"/>
      <c r="BW220" s="203">
        <f t="shared" si="20"/>
        <v>0</v>
      </c>
      <c r="BX220" s="372"/>
      <c r="BY220" s="372"/>
      <c r="BZ220" s="372">
        <f>Roles!$D$7</f>
        <v>0.12</v>
      </c>
      <c r="CA220" s="372"/>
      <c r="CB220" s="203">
        <f t="shared" si="21"/>
        <v>0</v>
      </c>
      <c r="CC220" s="372"/>
      <c r="CD220" s="372"/>
      <c r="CE220" s="372">
        <f>Roles!$D$7</f>
        <v>0.12</v>
      </c>
      <c r="CF220" s="372"/>
      <c r="CG220" s="203">
        <f t="shared" si="22"/>
        <v>0</v>
      </c>
      <c r="CH220" s="372"/>
      <c r="CI220" s="372"/>
      <c r="CJ220" s="372">
        <f>Roles!$D$7</f>
        <v>0.12</v>
      </c>
      <c r="CK220" s="372"/>
      <c r="CL220" s="203">
        <f t="shared" si="23"/>
        <v>0</v>
      </c>
      <c r="CM220" s="372"/>
      <c r="CN220" s="372"/>
      <c r="CO220" s="372">
        <f>Roles!$D$7</f>
        <v>0.12</v>
      </c>
      <c r="CP220" s="372"/>
      <c r="CQ220" s="203">
        <f t="shared" si="24"/>
        <v>0</v>
      </c>
      <c r="CR220" s="372"/>
      <c r="CS220" s="372"/>
      <c r="CT220" s="372">
        <f>Roles!$D$7</f>
        <v>0.12</v>
      </c>
      <c r="CU220" s="372"/>
      <c r="CV220" s="203">
        <f t="shared" si="25"/>
        <v>0</v>
      </c>
      <c r="CW220" s="372"/>
      <c r="CX220" s="372"/>
      <c r="CY220" s="372">
        <f>Roles!$D$7</f>
        <v>0.12</v>
      </c>
      <c r="CZ220" s="372"/>
      <c r="DA220" s="203">
        <f t="shared" si="26"/>
        <v>0</v>
      </c>
      <c r="DB220" s="372"/>
      <c r="DC220" s="372"/>
      <c r="DD220" s="372">
        <f>Roles!$D$7</f>
        <v>0.12</v>
      </c>
      <c r="DE220" s="372"/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 t="shared" si="1"/>
        <v>1</v>
      </c>
      <c r="F221" s="80">
        <v>1.0</v>
      </c>
      <c r="G221" s="105">
        <f t="shared" si="2"/>
        <v>0.0008613264427</v>
      </c>
      <c r="H221" s="47">
        <f t="shared" si="207"/>
        <v>0.9414298019</v>
      </c>
      <c r="I221" s="231">
        <f t="shared" si="205"/>
        <v>1</v>
      </c>
      <c r="J221" s="351">
        <f t="shared" si="208"/>
        <v>1090</v>
      </c>
      <c r="K221" s="352">
        <f t="shared" si="3"/>
        <v>0.9578207381</v>
      </c>
      <c r="L221" s="232">
        <f t="shared" si="206"/>
        <v>0.44</v>
      </c>
      <c r="M221" s="351">
        <f t="shared" si="209"/>
        <v>479.6</v>
      </c>
      <c r="N221" s="7"/>
      <c r="O221" s="203">
        <f t="shared" si="7"/>
        <v>1</v>
      </c>
      <c r="P221" s="378">
        <v>1.0</v>
      </c>
      <c r="Q221" s="372"/>
      <c r="R221" s="372">
        <f>Roles!$D$5</f>
        <v>0.44</v>
      </c>
      <c r="S221" s="372">
        <f t="shared" si="8"/>
        <v>0.44</v>
      </c>
      <c r="T221" s="203">
        <f t="shared" si="9"/>
        <v>0</v>
      </c>
      <c r="U221" s="372"/>
      <c r="V221" s="372"/>
      <c r="W221" s="372">
        <f>Roles!$D$7</f>
        <v>0.12</v>
      </c>
      <c r="X221" s="372"/>
      <c r="Y221" s="203">
        <f t="shared" si="10"/>
        <v>0</v>
      </c>
      <c r="Z221" s="372"/>
      <c r="AA221" s="372"/>
      <c r="AB221" s="372">
        <f>Roles!$D$7</f>
        <v>0.12</v>
      </c>
      <c r="AC221" s="372"/>
      <c r="AD221" s="203">
        <f t="shared" si="11"/>
        <v>0</v>
      </c>
      <c r="AE221" s="372"/>
      <c r="AF221" s="372"/>
      <c r="AG221" s="372">
        <f>Roles!$D$7</f>
        <v>0.12</v>
      </c>
      <c r="AH221" s="372"/>
      <c r="AI221" s="203">
        <f t="shared" si="12"/>
        <v>0</v>
      </c>
      <c r="AJ221" s="372"/>
      <c r="AK221" s="372"/>
      <c r="AL221" s="372">
        <f>Roles!$D$7</f>
        <v>0.12</v>
      </c>
      <c r="AM221" s="372"/>
      <c r="AN221" s="203">
        <f t="shared" si="13"/>
        <v>0</v>
      </c>
      <c r="AO221" s="372"/>
      <c r="AP221" s="372"/>
      <c r="AQ221" s="372">
        <f>Roles!$D$7</f>
        <v>0.12</v>
      </c>
      <c r="AR221" s="372"/>
      <c r="AS221" s="203">
        <f t="shared" si="14"/>
        <v>0</v>
      </c>
      <c r="AT221" s="372"/>
      <c r="AU221" s="372"/>
      <c r="AV221" s="372">
        <f>Roles!$D$7</f>
        <v>0.12</v>
      </c>
      <c r="AW221" s="372"/>
      <c r="AX221" s="203">
        <f t="shared" si="15"/>
        <v>0</v>
      </c>
      <c r="AY221" s="372"/>
      <c r="AZ221" s="372"/>
      <c r="BA221" s="372">
        <f>Roles!$D$7</f>
        <v>0.12</v>
      </c>
      <c r="BB221" s="372"/>
      <c r="BC221" s="203">
        <f t="shared" si="16"/>
        <v>0</v>
      </c>
      <c r="BD221" s="372"/>
      <c r="BE221" s="372"/>
      <c r="BF221" s="372">
        <f>Roles!$D$7</f>
        <v>0.12</v>
      </c>
      <c r="BG221" s="372"/>
      <c r="BH221" s="203">
        <f t="shared" si="17"/>
        <v>0</v>
      </c>
      <c r="BI221" s="372"/>
      <c r="BJ221" s="372"/>
      <c r="BK221" s="372">
        <f>Roles!$D$7</f>
        <v>0.12</v>
      </c>
      <c r="BL221" s="372"/>
      <c r="BM221" s="203">
        <f t="shared" si="18"/>
        <v>0</v>
      </c>
      <c r="BN221" s="372"/>
      <c r="BO221" s="372"/>
      <c r="BP221" s="372">
        <f>Roles!$D$7</f>
        <v>0.12</v>
      </c>
      <c r="BQ221" s="372"/>
      <c r="BR221" s="203">
        <f t="shared" si="19"/>
        <v>0</v>
      </c>
      <c r="BS221" s="372"/>
      <c r="BT221" s="372"/>
      <c r="BU221" s="372">
        <f>Roles!$D$7</f>
        <v>0.12</v>
      </c>
      <c r="BV221" s="372"/>
      <c r="BW221" s="203">
        <f t="shared" si="20"/>
        <v>0</v>
      </c>
      <c r="BX221" s="372"/>
      <c r="BY221" s="372"/>
      <c r="BZ221" s="372">
        <f>Roles!$D$7</f>
        <v>0.12</v>
      </c>
      <c r="CA221" s="372"/>
      <c r="CB221" s="203">
        <f t="shared" si="21"/>
        <v>0</v>
      </c>
      <c r="CC221" s="372"/>
      <c r="CD221" s="372"/>
      <c r="CE221" s="372">
        <f>Roles!$D$7</f>
        <v>0.12</v>
      </c>
      <c r="CF221" s="372"/>
      <c r="CG221" s="203">
        <f t="shared" si="22"/>
        <v>0</v>
      </c>
      <c r="CH221" s="372"/>
      <c r="CI221" s="372"/>
      <c r="CJ221" s="372">
        <f>Roles!$D$7</f>
        <v>0.12</v>
      </c>
      <c r="CK221" s="372"/>
      <c r="CL221" s="203">
        <f t="shared" si="23"/>
        <v>0</v>
      </c>
      <c r="CM221" s="372"/>
      <c r="CN221" s="372"/>
      <c r="CO221" s="372">
        <f>Roles!$D$7</f>
        <v>0.12</v>
      </c>
      <c r="CP221" s="372"/>
      <c r="CQ221" s="203">
        <f t="shared" si="24"/>
        <v>0</v>
      </c>
      <c r="CR221" s="372"/>
      <c r="CS221" s="372"/>
      <c r="CT221" s="372">
        <f>Roles!$D$7</f>
        <v>0.12</v>
      </c>
      <c r="CU221" s="372"/>
      <c r="CV221" s="203">
        <f t="shared" si="25"/>
        <v>0</v>
      </c>
      <c r="CW221" s="372"/>
      <c r="CX221" s="372"/>
      <c r="CY221" s="372">
        <f>Roles!$D$7</f>
        <v>0.12</v>
      </c>
      <c r="CZ221" s="372"/>
      <c r="DA221" s="203">
        <f t="shared" si="26"/>
        <v>0</v>
      </c>
      <c r="DB221" s="372"/>
      <c r="DC221" s="372"/>
      <c r="DD221" s="372">
        <f>Roles!$D$7</f>
        <v>0.12</v>
      </c>
      <c r="DE221" s="372"/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 t="shared" si="1"/>
        <v>2</v>
      </c>
      <c r="F222" s="80">
        <v>10.0</v>
      </c>
      <c r="G222" s="105">
        <f t="shared" si="2"/>
        <v>0.008613264427</v>
      </c>
      <c r="H222" s="47">
        <f t="shared" si="207"/>
        <v>0.9500430663</v>
      </c>
      <c r="I222" s="231">
        <f t="shared" si="205"/>
        <v>8</v>
      </c>
      <c r="J222" s="351">
        <f t="shared" si="208"/>
        <v>1098</v>
      </c>
      <c r="K222" s="352">
        <f t="shared" si="3"/>
        <v>0.9648506151</v>
      </c>
      <c r="L222" s="232">
        <f t="shared" si="206"/>
        <v>3.52</v>
      </c>
      <c r="M222" s="351">
        <f t="shared" si="209"/>
        <v>483.12</v>
      </c>
      <c r="N222" s="7"/>
      <c r="O222" s="203">
        <f t="shared" si="7"/>
        <v>0.8</v>
      </c>
      <c r="P222" s="378">
        <v>8.0</v>
      </c>
      <c r="Q222" s="372"/>
      <c r="R222" s="372">
        <f>Roles!$D$5</f>
        <v>0.44</v>
      </c>
      <c r="S222" s="372">
        <f t="shared" si="8"/>
        <v>3.52</v>
      </c>
      <c r="T222" s="203">
        <f t="shared" si="9"/>
        <v>0</v>
      </c>
      <c r="U222" s="372"/>
      <c r="V222" s="372"/>
      <c r="W222" s="372">
        <f>Roles!$D$7</f>
        <v>0.12</v>
      </c>
      <c r="X222" s="372"/>
      <c r="Y222" s="203">
        <f t="shared" si="10"/>
        <v>0</v>
      </c>
      <c r="Z222" s="372"/>
      <c r="AA222" s="372"/>
      <c r="AB222" s="372">
        <f>Roles!$D$7</f>
        <v>0.12</v>
      </c>
      <c r="AC222" s="372"/>
      <c r="AD222" s="203">
        <f t="shared" si="11"/>
        <v>0</v>
      </c>
      <c r="AE222" s="372"/>
      <c r="AF222" s="372"/>
      <c r="AG222" s="372">
        <f>Roles!$D$7</f>
        <v>0.12</v>
      </c>
      <c r="AH222" s="372"/>
      <c r="AI222" s="203">
        <f t="shared" si="12"/>
        <v>0</v>
      </c>
      <c r="AJ222" s="372"/>
      <c r="AK222" s="372"/>
      <c r="AL222" s="372">
        <f>Roles!$D$7</f>
        <v>0.12</v>
      </c>
      <c r="AM222" s="372"/>
      <c r="AN222" s="203">
        <f t="shared" si="13"/>
        <v>0</v>
      </c>
      <c r="AO222" s="372"/>
      <c r="AP222" s="372"/>
      <c r="AQ222" s="372">
        <f>Roles!$D$7</f>
        <v>0.12</v>
      </c>
      <c r="AR222" s="372"/>
      <c r="AS222" s="203">
        <f t="shared" si="14"/>
        <v>0</v>
      </c>
      <c r="AT222" s="372"/>
      <c r="AU222" s="372"/>
      <c r="AV222" s="372">
        <f>Roles!$D$7</f>
        <v>0.12</v>
      </c>
      <c r="AW222" s="372"/>
      <c r="AX222" s="203">
        <f t="shared" si="15"/>
        <v>0</v>
      </c>
      <c r="AY222" s="372"/>
      <c r="AZ222" s="372"/>
      <c r="BA222" s="372">
        <f>Roles!$D$7</f>
        <v>0.12</v>
      </c>
      <c r="BB222" s="372"/>
      <c r="BC222" s="203">
        <f t="shared" si="16"/>
        <v>0</v>
      </c>
      <c r="BD222" s="372"/>
      <c r="BE222" s="372"/>
      <c r="BF222" s="372">
        <f>Roles!$D$7</f>
        <v>0.12</v>
      </c>
      <c r="BG222" s="372"/>
      <c r="BH222" s="203">
        <f t="shared" si="17"/>
        <v>0</v>
      </c>
      <c r="BI222" s="372"/>
      <c r="BJ222" s="372"/>
      <c r="BK222" s="372">
        <f>Roles!$D$7</f>
        <v>0.12</v>
      </c>
      <c r="BL222" s="372"/>
      <c r="BM222" s="203">
        <f t="shared" si="18"/>
        <v>0</v>
      </c>
      <c r="BN222" s="372"/>
      <c r="BO222" s="372"/>
      <c r="BP222" s="372">
        <f>Roles!$D$7</f>
        <v>0.12</v>
      </c>
      <c r="BQ222" s="372"/>
      <c r="BR222" s="203">
        <f t="shared" si="19"/>
        <v>0</v>
      </c>
      <c r="BS222" s="372"/>
      <c r="BT222" s="372"/>
      <c r="BU222" s="372">
        <f>Roles!$D$7</f>
        <v>0.12</v>
      </c>
      <c r="BV222" s="372"/>
      <c r="BW222" s="203">
        <f t="shared" si="20"/>
        <v>0</v>
      </c>
      <c r="BX222" s="372"/>
      <c r="BY222" s="372"/>
      <c r="BZ222" s="372">
        <f>Roles!$D$7</f>
        <v>0.12</v>
      </c>
      <c r="CA222" s="372"/>
      <c r="CB222" s="203">
        <f t="shared" si="21"/>
        <v>0</v>
      </c>
      <c r="CC222" s="372"/>
      <c r="CD222" s="372"/>
      <c r="CE222" s="372">
        <f>Roles!$D$7</f>
        <v>0.12</v>
      </c>
      <c r="CF222" s="372"/>
      <c r="CG222" s="203">
        <f t="shared" si="22"/>
        <v>0</v>
      </c>
      <c r="CH222" s="372"/>
      <c r="CI222" s="372"/>
      <c r="CJ222" s="372">
        <f>Roles!$D$7</f>
        <v>0.12</v>
      </c>
      <c r="CK222" s="372"/>
      <c r="CL222" s="203">
        <f t="shared" si="23"/>
        <v>0</v>
      </c>
      <c r="CM222" s="372"/>
      <c r="CN222" s="372"/>
      <c r="CO222" s="372">
        <f>Roles!$D$7</f>
        <v>0.12</v>
      </c>
      <c r="CP222" s="372"/>
      <c r="CQ222" s="203">
        <f t="shared" si="24"/>
        <v>0</v>
      </c>
      <c r="CR222" s="372"/>
      <c r="CS222" s="372"/>
      <c r="CT222" s="372">
        <f>Roles!$D$7</f>
        <v>0.12</v>
      </c>
      <c r="CU222" s="372"/>
      <c r="CV222" s="203">
        <f t="shared" si="25"/>
        <v>0</v>
      </c>
      <c r="CW222" s="372"/>
      <c r="CX222" s="372"/>
      <c r="CY222" s="372">
        <f>Roles!$D$7</f>
        <v>0.12</v>
      </c>
      <c r="CZ222" s="372"/>
      <c r="DA222" s="203">
        <f t="shared" si="26"/>
        <v>0</v>
      </c>
      <c r="DB222" s="372"/>
      <c r="DC222" s="372"/>
      <c r="DD222" s="372">
        <f>Roles!$D$7</f>
        <v>0.12</v>
      </c>
      <c r="DE222" s="372"/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 t="shared" si="1"/>
        <v>4</v>
      </c>
      <c r="F223" s="246">
        <f>SUM(F224:F228)</f>
        <v>15</v>
      </c>
      <c r="G223" s="105">
        <f t="shared" si="2"/>
        <v>0.01291989664</v>
      </c>
      <c r="H223" s="226">
        <f>H228</f>
        <v>0.962962963</v>
      </c>
      <c r="I223" s="247">
        <f>SUM(I224:I228)</f>
        <v>30</v>
      </c>
      <c r="J223" s="247">
        <f>J228</f>
        <v>1128</v>
      </c>
      <c r="K223" s="167">
        <f t="shared" si="3"/>
        <v>0.9912126538</v>
      </c>
      <c r="L223" s="247">
        <f>SUM(L224:L228)</f>
        <v>13.2</v>
      </c>
      <c r="M223" s="247">
        <f>M228</f>
        <v>496.32</v>
      </c>
      <c r="N223" s="7"/>
      <c r="O223" s="203">
        <f t="shared" si="7"/>
        <v>0</v>
      </c>
      <c r="P223" s="372"/>
      <c r="Q223" s="372"/>
      <c r="R223" s="372">
        <f>Roles!$D$5</f>
        <v>0.44</v>
      </c>
      <c r="S223" s="372">
        <f t="shared" si="8"/>
        <v>0</v>
      </c>
      <c r="T223" s="203">
        <f t="shared" si="9"/>
        <v>0</v>
      </c>
      <c r="U223" s="372"/>
      <c r="V223" s="372"/>
      <c r="W223" s="372">
        <f>Roles!$D$7</f>
        <v>0.12</v>
      </c>
      <c r="X223" s="372"/>
      <c r="Y223" s="203">
        <f t="shared" si="10"/>
        <v>0</v>
      </c>
      <c r="Z223" s="372"/>
      <c r="AA223" s="372"/>
      <c r="AB223" s="372">
        <f>Roles!$D$7</f>
        <v>0.12</v>
      </c>
      <c r="AC223" s="372"/>
      <c r="AD223" s="203">
        <f t="shared" si="11"/>
        <v>0</v>
      </c>
      <c r="AE223" s="372"/>
      <c r="AF223" s="372"/>
      <c r="AG223" s="372">
        <f>Roles!$D$7</f>
        <v>0.12</v>
      </c>
      <c r="AH223" s="372"/>
      <c r="AI223" s="203">
        <f t="shared" si="12"/>
        <v>0</v>
      </c>
      <c r="AJ223" s="372"/>
      <c r="AK223" s="372"/>
      <c r="AL223" s="372">
        <f>Roles!$D$7</f>
        <v>0.12</v>
      </c>
      <c r="AM223" s="372"/>
      <c r="AN223" s="203">
        <f t="shared" si="13"/>
        <v>0</v>
      </c>
      <c r="AO223" s="372"/>
      <c r="AP223" s="372"/>
      <c r="AQ223" s="372">
        <f>Roles!$D$7</f>
        <v>0.12</v>
      </c>
      <c r="AR223" s="372"/>
      <c r="AS223" s="203">
        <f t="shared" si="14"/>
        <v>0</v>
      </c>
      <c r="AT223" s="372"/>
      <c r="AU223" s="372"/>
      <c r="AV223" s="372">
        <f>Roles!$D$7</f>
        <v>0.12</v>
      </c>
      <c r="AW223" s="372"/>
      <c r="AX223" s="203">
        <f t="shared" si="15"/>
        <v>0</v>
      </c>
      <c r="AY223" s="372"/>
      <c r="AZ223" s="372"/>
      <c r="BA223" s="372">
        <f>Roles!$D$7</f>
        <v>0.12</v>
      </c>
      <c r="BB223" s="372"/>
      <c r="BC223" s="203">
        <f t="shared" si="16"/>
        <v>0</v>
      </c>
      <c r="BD223" s="372"/>
      <c r="BE223" s="372"/>
      <c r="BF223" s="372">
        <f>Roles!$D$7</f>
        <v>0.12</v>
      </c>
      <c r="BG223" s="372"/>
      <c r="BH223" s="203">
        <f t="shared" si="17"/>
        <v>0</v>
      </c>
      <c r="BI223" s="372"/>
      <c r="BJ223" s="372"/>
      <c r="BK223" s="372">
        <f>Roles!$D$7</f>
        <v>0.12</v>
      </c>
      <c r="BL223" s="372"/>
      <c r="BM223" s="203">
        <f t="shared" si="18"/>
        <v>0</v>
      </c>
      <c r="BN223" s="372"/>
      <c r="BO223" s="372"/>
      <c r="BP223" s="372">
        <f>Roles!$D$7</f>
        <v>0.12</v>
      </c>
      <c r="BQ223" s="372"/>
      <c r="BR223" s="203">
        <f t="shared" si="19"/>
        <v>0</v>
      </c>
      <c r="BS223" s="372"/>
      <c r="BT223" s="372"/>
      <c r="BU223" s="372">
        <f>Roles!$D$7</f>
        <v>0.12</v>
      </c>
      <c r="BV223" s="372"/>
      <c r="BW223" s="203">
        <f t="shared" si="20"/>
        <v>0</v>
      </c>
      <c r="BX223" s="372"/>
      <c r="BY223" s="372"/>
      <c r="BZ223" s="372">
        <f>Roles!$D$7</f>
        <v>0.12</v>
      </c>
      <c r="CA223" s="372"/>
      <c r="CB223" s="203">
        <f t="shared" si="21"/>
        <v>0</v>
      </c>
      <c r="CC223" s="372"/>
      <c r="CD223" s="372"/>
      <c r="CE223" s="372">
        <f>Roles!$D$7</f>
        <v>0.12</v>
      </c>
      <c r="CF223" s="372"/>
      <c r="CG223" s="203">
        <f t="shared" si="22"/>
        <v>0</v>
      </c>
      <c r="CH223" s="372"/>
      <c r="CI223" s="372"/>
      <c r="CJ223" s="372">
        <f>Roles!$D$7</f>
        <v>0.12</v>
      </c>
      <c r="CK223" s="372"/>
      <c r="CL223" s="203">
        <f t="shared" si="23"/>
        <v>0</v>
      </c>
      <c r="CM223" s="372"/>
      <c r="CN223" s="372"/>
      <c r="CO223" s="372">
        <f>Roles!$D$7</f>
        <v>0.12</v>
      </c>
      <c r="CP223" s="372"/>
      <c r="CQ223" s="203">
        <f t="shared" si="24"/>
        <v>0</v>
      </c>
      <c r="CR223" s="372"/>
      <c r="CS223" s="372"/>
      <c r="CT223" s="372">
        <f>Roles!$D$7</f>
        <v>0.12</v>
      </c>
      <c r="CU223" s="372"/>
      <c r="CV223" s="203">
        <f t="shared" si="25"/>
        <v>0</v>
      </c>
      <c r="CW223" s="372"/>
      <c r="CX223" s="372"/>
      <c r="CY223" s="372">
        <f>Roles!$D$7</f>
        <v>0.12</v>
      </c>
      <c r="CZ223" s="372"/>
      <c r="DA223" s="203">
        <f t="shared" si="26"/>
        <v>0</v>
      </c>
      <c r="DB223" s="372"/>
      <c r="DC223" s="372"/>
      <c r="DD223" s="372">
        <f>Roles!$D$7</f>
        <v>0.12</v>
      </c>
      <c r="DE223" s="372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 t="shared" si="1"/>
        <v>2</v>
      </c>
      <c r="F224" s="80">
        <v>4.0</v>
      </c>
      <c r="G224" s="105">
        <f t="shared" si="2"/>
        <v>0.003445305771</v>
      </c>
      <c r="H224" s="47">
        <f>H222+G224</f>
        <v>0.9534883721</v>
      </c>
      <c r="I224" s="231">
        <f t="shared" ref="I224:I228" si="210">P224+U224+Z224+AE224+AJ224+AO224+AT224+AY224+BD224+BI224+BN224+BS224+BX224+CC224+CH224+CM224+CR224+CW224+DB224</f>
        <v>8</v>
      </c>
      <c r="J224" s="172">
        <f>J222+I224</f>
        <v>1106</v>
      </c>
      <c r="K224" s="115">
        <f t="shared" si="3"/>
        <v>0.9718804921</v>
      </c>
      <c r="L224" s="232">
        <f t="shared" ref="L224:L228" si="211">S224+X224+AC224+AH224+AM224+AR224+AW224+BB224+BG224+BL224+BQ224+BV224+CA224+CF224+CK224+CP224+CU224+CZ224+DE224</f>
        <v>3.52</v>
      </c>
      <c r="M224" s="172">
        <f>M222+L224</f>
        <v>486.64</v>
      </c>
      <c r="N224" s="7"/>
      <c r="O224" s="203">
        <f t="shared" si="7"/>
        <v>2</v>
      </c>
      <c r="P224" s="378">
        <v>8.0</v>
      </c>
      <c r="Q224" s="372"/>
      <c r="R224" s="372">
        <f>Roles!$D$5</f>
        <v>0.44</v>
      </c>
      <c r="S224" s="372">
        <f t="shared" si="8"/>
        <v>3.52</v>
      </c>
      <c r="T224" s="203">
        <f t="shared" si="9"/>
        <v>0</v>
      </c>
      <c r="U224" s="372"/>
      <c r="V224" s="372"/>
      <c r="W224" s="372">
        <f>Roles!$D$7</f>
        <v>0.12</v>
      </c>
      <c r="X224" s="372"/>
      <c r="Y224" s="203">
        <f t="shared" si="10"/>
        <v>0</v>
      </c>
      <c r="Z224" s="372"/>
      <c r="AA224" s="372"/>
      <c r="AB224" s="372">
        <f>Roles!$D$7</f>
        <v>0.12</v>
      </c>
      <c r="AC224" s="372"/>
      <c r="AD224" s="203">
        <f t="shared" si="11"/>
        <v>0</v>
      </c>
      <c r="AE224" s="372"/>
      <c r="AF224" s="372"/>
      <c r="AG224" s="372">
        <f>Roles!$D$7</f>
        <v>0.12</v>
      </c>
      <c r="AH224" s="372"/>
      <c r="AI224" s="203">
        <f t="shared" si="12"/>
        <v>0</v>
      </c>
      <c r="AJ224" s="372"/>
      <c r="AK224" s="372"/>
      <c r="AL224" s="372">
        <f>Roles!$D$7</f>
        <v>0.12</v>
      </c>
      <c r="AM224" s="372"/>
      <c r="AN224" s="203">
        <f t="shared" si="13"/>
        <v>0</v>
      </c>
      <c r="AO224" s="372"/>
      <c r="AP224" s="372"/>
      <c r="AQ224" s="372">
        <f>Roles!$D$7</f>
        <v>0.12</v>
      </c>
      <c r="AR224" s="372"/>
      <c r="AS224" s="203">
        <f t="shared" si="14"/>
        <v>0</v>
      </c>
      <c r="AT224" s="372"/>
      <c r="AU224" s="372"/>
      <c r="AV224" s="372">
        <f>Roles!$D$7</f>
        <v>0.12</v>
      </c>
      <c r="AW224" s="372"/>
      <c r="AX224" s="203">
        <f t="shared" si="15"/>
        <v>0</v>
      </c>
      <c r="AY224" s="372"/>
      <c r="AZ224" s="372"/>
      <c r="BA224" s="372">
        <f>Roles!$D$7</f>
        <v>0.12</v>
      </c>
      <c r="BB224" s="372"/>
      <c r="BC224" s="203">
        <f t="shared" si="16"/>
        <v>0</v>
      </c>
      <c r="BD224" s="372"/>
      <c r="BE224" s="372"/>
      <c r="BF224" s="372">
        <f>Roles!$D$7</f>
        <v>0.12</v>
      </c>
      <c r="BG224" s="372"/>
      <c r="BH224" s="203">
        <f t="shared" si="17"/>
        <v>0</v>
      </c>
      <c r="BI224" s="372"/>
      <c r="BJ224" s="372"/>
      <c r="BK224" s="372">
        <f>Roles!$D$7</f>
        <v>0.12</v>
      </c>
      <c r="BL224" s="372"/>
      <c r="BM224" s="203">
        <f t="shared" si="18"/>
        <v>0</v>
      </c>
      <c r="BN224" s="372"/>
      <c r="BO224" s="372"/>
      <c r="BP224" s="372">
        <f>Roles!$D$7</f>
        <v>0.12</v>
      </c>
      <c r="BQ224" s="372"/>
      <c r="BR224" s="203">
        <f t="shared" si="19"/>
        <v>0</v>
      </c>
      <c r="BS224" s="372"/>
      <c r="BT224" s="372"/>
      <c r="BU224" s="372">
        <f>Roles!$D$7</f>
        <v>0.12</v>
      </c>
      <c r="BV224" s="372"/>
      <c r="BW224" s="203">
        <f t="shared" si="20"/>
        <v>0</v>
      </c>
      <c r="BX224" s="372"/>
      <c r="BY224" s="372"/>
      <c r="BZ224" s="372">
        <f>Roles!$D$7</f>
        <v>0.12</v>
      </c>
      <c r="CA224" s="372"/>
      <c r="CB224" s="203">
        <f t="shared" si="21"/>
        <v>0</v>
      </c>
      <c r="CC224" s="372"/>
      <c r="CD224" s="372"/>
      <c r="CE224" s="372">
        <f>Roles!$D$7</f>
        <v>0.12</v>
      </c>
      <c r="CF224" s="372"/>
      <c r="CG224" s="203">
        <f t="shared" si="22"/>
        <v>0</v>
      </c>
      <c r="CH224" s="372"/>
      <c r="CI224" s="372"/>
      <c r="CJ224" s="372">
        <f>Roles!$D$7</f>
        <v>0.12</v>
      </c>
      <c r="CK224" s="372"/>
      <c r="CL224" s="203">
        <f t="shared" si="23"/>
        <v>0</v>
      </c>
      <c r="CM224" s="372"/>
      <c r="CN224" s="372"/>
      <c r="CO224" s="372">
        <f>Roles!$D$7</f>
        <v>0.12</v>
      </c>
      <c r="CP224" s="372"/>
      <c r="CQ224" s="203">
        <f t="shared" si="24"/>
        <v>0</v>
      </c>
      <c r="CR224" s="372"/>
      <c r="CS224" s="372"/>
      <c r="CT224" s="372">
        <f>Roles!$D$7</f>
        <v>0.12</v>
      </c>
      <c r="CU224" s="372"/>
      <c r="CV224" s="203">
        <f t="shared" si="25"/>
        <v>0</v>
      </c>
      <c r="CW224" s="372"/>
      <c r="CX224" s="372"/>
      <c r="CY224" s="372">
        <f>Roles!$D$7</f>
        <v>0.12</v>
      </c>
      <c r="CZ224" s="372"/>
      <c r="DA224" s="203">
        <f t="shared" si="26"/>
        <v>0</v>
      </c>
      <c r="DB224" s="372"/>
      <c r="DC224" s="372"/>
      <c r="DD224" s="372">
        <f>Roles!$D$7</f>
        <v>0.12</v>
      </c>
      <c r="DE224" s="372"/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 t="shared" si="1"/>
        <v>2</v>
      </c>
      <c r="F225" s="80">
        <v>3.0</v>
      </c>
      <c r="G225" s="105">
        <f t="shared" si="2"/>
        <v>0.002583979328</v>
      </c>
      <c r="H225" s="47">
        <f t="shared" ref="H225:H228" si="212">H224+G225</f>
        <v>0.9560723514</v>
      </c>
      <c r="I225" s="231">
        <f t="shared" si="210"/>
        <v>6</v>
      </c>
      <c r="J225" s="172">
        <f t="shared" ref="J225:J228" si="213">J224+I225</f>
        <v>1112</v>
      </c>
      <c r="K225" s="115">
        <f t="shared" si="3"/>
        <v>0.9771528998</v>
      </c>
      <c r="L225" s="232">
        <f t="shared" si="211"/>
        <v>2.64</v>
      </c>
      <c r="M225" s="172">
        <f t="shared" ref="M225:M228" si="214">M224+L225</f>
        <v>489.28</v>
      </c>
      <c r="N225" s="7"/>
      <c r="O225" s="203">
        <f t="shared" si="7"/>
        <v>2</v>
      </c>
      <c r="P225" s="378">
        <v>6.0</v>
      </c>
      <c r="Q225" s="372"/>
      <c r="R225" s="372">
        <f>Roles!$D$5</f>
        <v>0.44</v>
      </c>
      <c r="S225" s="372">
        <f t="shared" si="8"/>
        <v>2.64</v>
      </c>
      <c r="T225" s="203">
        <f t="shared" si="9"/>
        <v>0</v>
      </c>
      <c r="U225" s="372"/>
      <c r="V225" s="372"/>
      <c r="W225" s="372">
        <f>Roles!$D$7</f>
        <v>0.12</v>
      </c>
      <c r="X225" s="372"/>
      <c r="Y225" s="203">
        <f t="shared" si="10"/>
        <v>0</v>
      </c>
      <c r="Z225" s="372"/>
      <c r="AA225" s="372"/>
      <c r="AB225" s="372">
        <f>Roles!$D$7</f>
        <v>0.12</v>
      </c>
      <c r="AC225" s="372"/>
      <c r="AD225" s="203">
        <f t="shared" si="11"/>
        <v>0</v>
      </c>
      <c r="AE225" s="372"/>
      <c r="AF225" s="372"/>
      <c r="AG225" s="372">
        <f>Roles!$D$7</f>
        <v>0.12</v>
      </c>
      <c r="AH225" s="372"/>
      <c r="AI225" s="203">
        <f t="shared" si="12"/>
        <v>0</v>
      </c>
      <c r="AJ225" s="372"/>
      <c r="AK225" s="372"/>
      <c r="AL225" s="372">
        <f>Roles!$D$7</f>
        <v>0.12</v>
      </c>
      <c r="AM225" s="372"/>
      <c r="AN225" s="203">
        <f t="shared" si="13"/>
        <v>0</v>
      </c>
      <c r="AO225" s="372"/>
      <c r="AP225" s="372"/>
      <c r="AQ225" s="372">
        <f>Roles!$D$7</f>
        <v>0.12</v>
      </c>
      <c r="AR225" s="372"/>
      <c r="AS225" s="203">
        <f t="shared" si="14"/>
        <v>0</v>
      </c>
      <c r="AT225" s="372"/>
      <c r="AU225" s="372"/>
      <c r="AV225" s="372">
        <f>Roles!$D$7</f>
        <v>0.12</v>
      </c>
      <c r="AW225" s="372"/>
      <c r="AX225" s="203">
        <f t="shared" si="15"/>
        <v>0</v>
      </c>
      <c r="AY225" s="372"/>
      <c r="AZ225" s="372"/>
      <c r="BA225" s="372">
        <f>Roles!$D$7</f>
        <v>0.12</v>
      </c>
      <c r="BB225" s="372"/>
      <c r="BC225" s="203">
        <f t="shared" si="16"/>
        <v>0</v>
      </c>
      <c r="BD225" s="372"/>
      <c r="BE225" s="372"/>
      <c r="BF225" s="372">
        <f>Roles!$D$7</f>
        <v>0.12</v>
      </c>
      <c r="BG225" s="372"/>
      <c r="BH225" s="203">
        <f t="shared" si="17"/>
        <v>0</v>
      </c>
      <c r="BI225" s="372"/>
      <c r="BJ225" s="372"/>
      <c r="BK225" s="372">
        <f>Roles!$D$7</f>
        <v>0.12</v>
      </c>
      <c r="BL225" s="372"/>
      <c r="BM225" s="203">
        <f t="shared" si="18"/>
        <v>0</v>
      </c>
      <c r="BN225" s="372"/>
      <c r="BO225" s="372"/>
      <c r="BP225" s="372">
        <f>Roles!$D$7</f>
        <v>0.12</v>
      </c>
      <c r="BQ225" s="372"/>
      <c r="BR225" s="203">
        <f t="shared" si="19"/>
        <v>0</v>
      </c>
      <c r="BS225" s="372"/>
      <c r="BT225" s="372"/>
      <c r="BU225" s="372">
        <f>Roles!$D$7</f>
        <v>0.12</v>
      </c>
      <c r="BV225" s="372"/>
      <c r="BW225" s="203">
        <f t="shared" si="20"/>
        <v>0</v>
      </c>
      <c r="BX225" s="372"/>
      <c r="BY225" s="372"/>
      <c r="BZ225" s="372">
        <f>Roles!$D$7</f>
        <v>0.12</v>
      </c>
      <c r="CA225" s="372"/>
      <c r="CB225" s="203">
        <f t="shared" si="21"/>
        <v>0</v>
      </c>
      <c r="CC225" s="372"/>
      <c r="CD225" s="372"/>
      <c r="CE225" s="372">
        <f>Roles!$D$7</f>
        <v>0.12</v>
      </c>
      <c r="CF225" s="372"/>
      <c r="CG225" s="203">
        <f t="shared" si="22"/>
        <v>0</v>
      </c>
      <c r="CH225" s="372"/>
      <c r="CI225" s="372"/>
      <c r="CJ225" s="372">
        <f>Roles!$D$7</f>
        <v>0.12</v>
      </c>
      <c r="CK225" s="372"/>
      <c r="CL225" s="203">
        <f t="shared" si="23"/>
        <v>0</v>
      </c>
      <c r="CM225" s="372"/>
      <c r="CN225" s="372"/>
      <c r="CO225" s="372">
        <f>Roles!$D$7</f>
        <v>0.12</v>
      </c>
      <c r="CP225" s="372"/>
      <c r="CQ225" s="203">
        <f t="shared" si="24"/>
        <v>0</v>
      </c>
      <c r="CR225" s="372"/>
      <c r="CS225" s="372"/>
      <c r="CT225" s="372">
        <f>Roles!$D$7</f>
        <v>0.12</v>
      </c>
      <c r="CU225" s="372"/>
      <c r="CV225" s="203">
        <f t="shared" si="25"/>
        <v>0</v>
      </c>
      <c r="CW225" s="372"/>
      <c r="CX225" s="372"/>
      <c r="CY225" s="372">
        <f>Roles!$D$7</f>
        <v>0.12</v>
      </c>
      <c r="CZ225" s="372"/>
      <c r="DA225" s="203">
        <f t="shared" si="26"/>
        <v>0</v>
      </c>
      <c r="DB225" s="372"/>
      <c r="DC225" s="372"/>
      <c r="DD225" s="372">
        <f>Roles!$D$7</f>
        <v>0.12</v>
      </c>
      <c r="DE225" s="372"/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 t="shared" si="1"/>
        <v>1</v>
      </c>
      <c r="F226" s="80">
        <v>3.0</v>
      </c>
      <c r="G226" s="105">
        <f t="shared" si="2"/>
        <v>0.002583979328</v>
      </c>
      <c r="H226" s="47">
        <f t="shared" si="212"/>
        <v>0.9586563307</v>
      </c>
      <c r="I226" s="231">
        <f t="shared" si="210"/>
        <v>6</v>
      </c>
      <c r="J226" s="172">
        <f t="shared" si="213"/>
        <v>1118</v>
      </c>
      <c r="K226" s="115">
        <f t="shared" si="3"/>
        <v>0.9824253076</v>
      </c>
      <c r="L226" s="232">
        <f t="shared" si="211"/>
        <v>2.64</v>
      </c>
      <c r="M226" s="172">
        <f t="shared" si="214"/>
        <v>491.92</v>
      </c>
      <c r="N226" s="7"/>
      <c r="O226" s="203">
        <f t="shared" si="7"/>
        <v>2</v>
      </c>
      <c r="P226" s="378">
        <v>6.0</v>
      </c>
      <c r="Q226" s="372"/>
      <c r="R226" s="372">
        <f>Roles!$D$5</f>
        <v>0.44</v>
      </c>
      <c r="S226" s="372">
        <f t="shared" si="8"/>
        <v>2.64</v>
      </c>
      <c r="T226" s="203">
        <f t="shared" si="9"/>
        <v>0</v>
      </c>
      <c r="U226" s="372"/>
      <c r="V226" s="372"/>
      <c r="W226" s="372">
        <f>Roles!$D$7</f>
        <v>0.12</v>
      </c>
      <c r="X226" s="372"/>
      <c r="Y226" s="203">
        <f t="shared" si="10"/>
        <v>0</v>
      </c>
      <c r="Z226" s="372"/>
      <c r="AA226" s="372"/>
      <c r="AB226" s="372">
        <f>Roles!$D$7</f>
        <v>0.12</v>
      </c>
      <c r="AC226" s="372"/>
      <c r="AD226" s="203">
        <f t="shared" si="11"/>
        <v>0</v>
      </c>
      <c r="AE226" s="372"/>
      <c r="AF226" s="372"/>
      <c r="AG226" s="372">
        <f>Roles!$D$7</f>
        <v>0.12</v>
      </c>
      <c r="AH226" s="372"/>
      <c r="AI226" s="203">
        <f t="shared" si="12"/>
        <v>0</v>
      </c>
      <c r="AJ226" s="372"/>
      <c r="AK226" s="372"/>
      <c r="AL226" s="372">
        <f>Roles!$D$7</f>
        <v>0.12</v>
      </c>
      <c r="AM226" s="372"/>
      <c r="AN226" s="203">
        <f t="shared" si="13"/>
        <v>0</v>
      </c>
      <c r="AO226" s="372"/>
      <c r="AP226" s="372"/>
      <c r="AQ226" s="372">
        <f>Roles!$D$7</f>
        <v>0.12</v>
      </c>
      <c r="AR226" s="372"/>
      <c r="AS226" s="203">
        <f t="shared" si="14"/>
        <v>0</v>
      </c>
      <c r="AT226" s="372"/>
      <c r="AU226" s="372"/>
      <c r="AV226" s="372">
        <f>Roles!$D$7</f>
        <v>0.12</v>
      </c>
      <c r="AW226" s="372"/>
      <c r="AX226" s="203">
        <f t="shared" si="15"/>
        <v>0</v>
      </c>
      <c r="AY226" s="372"/>
      <c r="AZ226" s="372"/>
      <c r="BA226" s="372">
        <f>Roles!$D$7</f>
        <v>0.12</v>
      </c>
      <c r="BB226" s="372"/>
      <c r="BC226" s="203">
        <f t="shared" si="16"/>
        <v>0</v>
      </c>
      <c r="BD226" s="372"/>
      <c r="BE226" s="372"/>
      <c r="BF226" s="372">
        <f>Roles!$D$7</f>
        <v>0.12</v>
      </c>
      <c r="BG226" s="372"/>
      <c r="BH226" s="203">
        <f t="shared" si="17"/>
        <v>0</v>
      </c>
      <c r="BI226" s="372"/>
      <c r="BJ226" s="372"/>
      <c r="BK226" s="372">
        <f>Roles!$D$7</f>
        <v>0.12</v>
      </c>
      <c r="BL226" s="372"/>
      <c r="BM226" s="203">
        <f t="shared" si="18"/>
        <v>0</v>
      </c>
      <c r="BN226" s="372"/>
      <c r="BO226" s="372"/>
      <c r="BP226" s="372">
        <f>Roles!$D$7</f>
        <v>0.12</v>
      </c>
      <c r="BQ226" s="372"/>
      <c r="BR226" s="203">
        <f t="shared" si="19"/>
        <v>0</v>
      </c>
      <c r="BS226" s="372"/>
      <c r="BT226" s="372"/>
      <c r="BU226" s="372">
        <f>Roles!$D$7</f>
        <v>0.12</v>
      </c>
      <c r="BV226" s="372"/>
      <c r="BW226" s="203">
        <f t="shared" si="20"/>
        <v>0</v>
      </c>
      <c r="BX226" s="372"/>
      <c r="BY226" s="372"/>
      <c r="BZ226" s="372">
        <f>Roles!$D$7</f>
        <v>0.12</v>
      </c>
      <c r="CA226" s="372"/>
      <c r="CB226" s="203">
        <f t="shared" si="21"/>
        <v>0</v>
      </c>
      <c r="CC226" s="372"/>
      <c r="CD226" s="372"/>
      <c r="CE226" s="372">
        <f>Roles!$D$7</f>
        <v>0.12</v>
      </c>
      <c r="CF226" s="372"/>
      <c r="CG226" s="203">
        <f t="shared" si="22"/>
        <v>0</v>
      </c>
      <c r="CH226" s="372"/>
      <c r="CI226" s="372"/>
      <c r="CJ226" s="372">
        <f>Roles!$D$7</f>
        <v>0.12</v>
      </c>
      <c r="CK226" s="372"/>
      <c r="CL226" s="203">
        <f t="shared" si="23"/>
        <v>0</v>
      </c>
      <c r="CM226" s="372"/>
      <c r="CN226" s="372"/>
      <c r="CO226" s="372">
        <f>Roles!$D$7</f>
        <v>0.12</v>
      </c>
      <c r="CP226" s="372"/>
      <c r="CQ226" s="203">
        <f t="shared" si="24"/>
        <v>0</v>
      </c>
      <c r="CR226" s="372"/>
      <c r="CS226" s="372"/>
      <c r="CT226" s="372">
        <f>Roles!$D$7</f>
        <v>0.12</v>
      </c>
      <c r="CU226" s="372"/>
      <c r="CV226" s="203">
        <f t="shared" si="25"/>
        <v>0</v>
      </c>
      <c r="CW226" s="372"/>
      <c r="CX226" s="372"/>
      <c r="CY226" s="372">
        <f>Roles!$D$7</f>
        <v>0.12</v>
      </c>
      <c r="CZ226" s="372"/>
      <c r="DA226" s="203">
        <f t="shared" si="26"/>
        <v>0</v>
      </c>
      <c r="DB226" s="372"/>
      <c r="DC226" s="372"/>
      <c r="DD226" s="372">
        <f>Roles!$D$7</f>
        <v>0.12</v>
      </c>
      <c r="DE226" s="372"/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 t="shared" si="1"/>
        <v>2</v>
      </c>
      <c r="F227" s="80">
        <v>3.0</v>
      </c>
      <c r="G227" s="105">
        <f t="shared" si="2"/>
        <v>0.002583979328</v>
      </c>
      <c r="H227" s="47">
        <f t="shared" si="212"/>
        <v>0.9612403101</v>
      </c>
      <c r="I227" s="231">
        <f t="shared" si="210"/>
        <v>6</v>
      </c>
      <c r="J227" s="172">
        <f t="shared" si="213"/>
        <v>1124</v>
      </c>
      <c r="K227" s="115">
        <f t="shared" si="3"/>
        <v>0.9876977153</v>
      </c>
      <c r="L227" s="232">
        <f t="shared" si="211"/>
        <v>2.64</v>
      </c>
      <c r="M227" s="172">
        <f t="shared" si="214"/>
        <v>494.56</v>
      </c>
      <c r="N227" s="7"/>
      <c r="O227" s="203">
        <f t="shared" si="7"/>
        <v>2</v>
      </c>
      <c r="P227" s="378">
        <v>6.0</v>
      </c>
      <c r="Q227" s="372"/>
      <c r="R227" s="372">
        <f>Roles!$D$5</f>
        <v>0.44</v>
      </c>
      <c r="S227" s="372">
        <f t="shared" si="8"/>
        <v>2.64</v>
      </c>
      <c r="T227" s="203">
        <f t="shared" si="9"/>
        <v>0</v>
      </c>
      <c r="U227" s="372"/>
      <c r="V227" s="372"/>
      <c r="W227" s="372">
        <f>Roles!$D$7</f>
        <v>0.12</v>
      </c>
      <c r="X227" s="372"/>
      <c r="Y227" s="203">
        <f t="shared" si="10"/>
        <v>0</v>
      </c>
      <c r="Z227" s="372"/>
      <c r="AA227" s="372"/>
      <c r="AB227" s="372">
        <f>Roles!$D$7</f>
        <v>0.12</v>
      </c>
      <c r="AC227" s="372"/>
      <c r="AD227" s="203">
        <f t="shared" si="11"/>
        <v>0</v>
      </c>
      <c r="AE227" s="372"/>
      <c r="AF227" s="372"/>
      <c r="AG227" s="372">
        <f>Roles!$D$7</f>
        <v>0.12</v>
      </c>
      <c r="AH227" s="372"/>
      <c r="AI227" s="203">
        <f t="shared" si="12"/>
        <v>0</v>
      </c>
      <c r="AJ227" s="372"/>
      <c r="AK227" s="372"/>
      <c r="AL227" s="372">
        <f>Roles!$D$7</f>
        <v>0.12</v>
      </c>
      <c r="AM227" s="372"/>
      <c r="AN227" s="203">
        <f t="shared" si="13"/>
        <v>0</v>
      </c>
      <c r="AO227" s="372"/>
      <c r="AP227" s="372"/>
      <c r="AQ227" s="372">
        <f>Roles!$D$7</f>
        <v>0.12</v>
      </c>
      <c r="AR227" s="372"/>
      <c r="AS227" s="203">
        <f t="shared" si="14"/>
        <v>0</v>
      </c>
      <c r="AT227" s="372"/>
      <c r="AU227" s="372"/>
      <c r="AV227" s="372">
        <f>Roles!$D$7</f>
        <v>0.12</v>
      </c>
      <c r="AW227" s="372"/>
      <c r="AX227" s="203">
        <f t="shared" si="15"/>
        <v>0</v>
      </c>
      <c r="AY227" s="372"/>
      <c r="AZ227" s="372"/>
      <c r="BA227" s="372">
        <f>Roles!$D$7</f>
        <v>0.12</v>
      </c>
      <c r="BB227" s="372"/>
      <c r="BC227" s="203">
        <f t="shared" si="16"/>
        <v>0</v>
      </c>
      <c r="BD227" s="372"/>
      <c r="BE227" s="372"/>
      <c r="BF227" s="372">
        <f>Roles!$D$7</f>
        <v>0.12</v>
      </c>
      <c r="BG227" s="372"/>
      <c r="BH227" s="203">
        <f t="shared" si="17"/>
        <v>0</v>
      </c>
      <c r="BI227" s="372"/>
      <c r="BJ227" s="372"/>
      <c r="BK227" s="372">
        <f>Roles!$D$7</f>
        <v>0.12</v>
      </c>
      <c r="BL227" s="372"/>
      <c r="BM227" s="203">
        <f t="shared" si="18"/>
        <v>0</v>
      </c>
      <c r="BN227" s="372"/>
      <c r="BO227" s="372"/>
      <c r="BP227" s="372">
        <f>Roles!$D$7</f>
        <v>0.12</v>
      </c>
      <c r="BQ227" s="372"/>
      <c r="BR227" s="203">
        <f t="shared" si="19"/>
        <v>0</v>
      </c>
      <c r="BS227" s="372"/>
      <c r="BT227" s="372"/>
      <c r="BU227" s="372">
        <f>Roles!$D$7</f>
        <v>0.12</v>
      </c>
      <c r="BV227" s="372"/>
      <c r="BW227" s="203">
        <f t="shared" si="20"/>
        <v>0</v>
      </c>
      <c r="BX227" s="372"/>
      <c r="BY227" s="372"/>
      <c r="BZ227" s="372">
        <f>Roles!$D$7</f>
        <v>0.12</v>
      </c>
      <c r="CA227" s="372"/>
      <c r="CB227" s="203">
        <f t="shared" si="21"/>
        <v>0</v>
      </c>
      <c r="CC227" s="372"/>
      <c r="CD227" s="372"/>
      <c r="CE227" s="372">
        <f>Roles!$D$7</f>
        <v>0.12</v>
      </c>
      <c r="CF227" s="372"/>
      <c r="CG227" s="203">
        <f t="shared" si="22"/>
        <v>0</v>
      </c>
      <c r="CH227" s="372"/>
      <c r="CI227" s="372"/>
      <c r="CJ227" s="372">
        <f>Roles!$D$7</f>
        <v>0.12</v>
      </c>
      <c r="CK227" s="372"/>
      <c r="CL227" s="203">
        <f t="shared" si="23"/>
        <v>0</v>
      </c>
      <c r="CM227" s="372"/>
      <c r="CN227" s="372"/>
      <c r="CO227" s="372">
        <f>Roles!$D$7</f>
        <v>0.12</v>
      </c>
      <c r="CP227" s="372"/>
      <c r="CQ227" s="203">
        <f t="shared" si="24"/>
        <v>0</v>
      </c>
      <c r="CR227" s="372"/>
      <c r="CS227" s="372"/>
      <c r="CT227" s="372">
        <f>Roles!$D$7</f>
        <v>0.12</v>
      </c>
      <c r="CU227" s="372"/>
      <c r="CV227" s="203">
        <f t="shared" si="25"/>
        <v>0</v>
      </c>
      <c r="CW227" s="372"/>
      <c r="CX227" s="372"/>
      <c r="CY227" s="372">
        <f>Roles!$D$7</f>
        <v>0.12</v>
      </c>
      <c r="CZ227" s="372"/>
      <c r="DA227" s="203">
        <f t="shared" si="26"/>
        <v>0</v>
      </c>
      <c r="DB227" s="372"/>
      <c r="DC227" s="372"/>
      <c r="DD227" s="372">
        <f>Roles!$D$7</f>
        <v>0.12</v>
      </c>
      <c r="DE227" s="372"/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 t="shared" si="1"/>
        <v>1</v>
      </c>
      <c r="F228" s="80">
        <v>2.0</v>
      </c>
      <c r="G228" s="105">
        <f t="shared" si="2"/>
        <v>0.001722652885</v>
      </c>
      <c r="H228" s="47">
        <f t="shared" si="212"/>
        <v>0.962962963</v>
      </c>
      <c r="I228" s="231">
        <f t="shared" si="210"/>
        <v>4</v>
      </c>
      <c r="J228" s="172">
        <f t="shared" si="213"/>
        <v>1128</v>
      </c>
      <c r="K228" s="115">
        <f t="shared" si="3"/>
        <v>0.9912126538</v>
      </c>
      <c r="L228" s="232">
        <f t="shared" si="211"/>
        <v>1.76</v>
      </c>
      <c r="M228" s="172">
        <f t="shared" si="214"/>
        <v>496.32</v>
      </c>
      <c r="N228" s="7"/>
      <c r="O228" s="203">
        <f t="shared" si="7"/>
        <v>2</v>
      </c>
      <c r="P228" s="378">
        <v>4.0</v>
      </c>
      <c r="Q228" s="372"/>
      <c r="R228" s="372">
        <f>Roles!$D$5</f>
        <v>0.44</v>
      </c>
      <c r="S228" s="372">
        <f t="shared" si="8"/>
        <v>1.76</v>
      </c>
      <c r="T228" s="203">
        <f t="shared" si="9"/>
        <v>0</v>
      </c>
      <c r="U228" s="372"/>
      <c r="V228" s="372"/>
      <c r="W228" s="372">
        <f>Roles!$D$7</f>
        <v>0.12</v>
      </c>
      <c r="X228" s="372"/>
      <c r="Y228" s="203">
        <f t="shared" si="10"/>
        <v>0</v>
      </c>
      <c r="Z228" s="372"/>
      <c r="AA228" s="372"/>
      <c r="AB228" s="372">
        <f>Roles!$D$7</f>
        <v>0.12</v>
      </c>
      <c r="AC228" s="372"/>
      <c r="AD228" s="203">
        <f t="shared" si="11"/>
        <v>0</v>
      </c>
      <c r="AE228" s="372"/>
      <c r="AF228" s="372"/>
      <c r="AG228" s="372">
        <f>Roles!$D$7</f>
        <v>0.12</v>
      </c>
      <c r="AH228" s="372"/>
      <c r="AI228" s="203">
        <f t="shared" si="12"/>
        <v>0</v>
      </c>
      <c r="AJ228" s="372"/>
      <c r="AK228" s="372"/>
      <c r="AL228" s="372">
        <f>Roles!$D$7</f>
        <v>0.12</v>
      </c>
      <c r="AM228" s="372"/>
      <c r="AN228" s="203">
        <f t="shared" si="13"/>
        <v>0</v>
      </c>
      <c r="AO228" s="372"/>
      <c r="AP228" s="372"/>
      <c r="AQ228" s="372">
        <f>Roles!$D$7</f>
        <v>0.12</v>
      </c>
      <c r="AR228" s="372"/>
      <c r="AS228" s="203">
        <f t="shared" si="14"/>
        <v>0</v>
      </c>
      <c r="AT228" s="372"/>
      <c r="AU228" s="372"/>
      <c r="AV228" s="372">
        <f>Roles!$D$7</f>
        <v>0.12</v>
      </c>
      <c r="AW228" s="372"/>
      <c r="AX228" s="203">
        <f t="shared" si="15"/>
        <v>0</v>
      </c>
      <c r="AY228" s="372"/>
      <c r="AZ228" s="372"/>
      <c r="BA228" s="372">
        <f>Roles!$D$7</f>
        <v>0.12</v>
      </c>
      <c r="BB228" s="372"/>
      <c r="BC228" s="203">
        <f t="shared" si="16"/>
        <v>0</v>
      </c>
      <c r="BD228" s="372"/>
      <c r="BE228" s="372"/>
      <c r="BF228" s="372">
        <f>Roles!$D$7</f>
        <v>0.12</v>
      </c>
      <c r="BG228" s="372"/>
      <c r="BH228" s="203">
        <f t="shared" si="17"/>
        <v>0</v>
      </c>
      <c r="BI228" s="372"/>
      <c r="BJ228" s="372"/>
      <c r="BK228" s="372">
        <f>Roles!$D$7</f>
        <v>0.12</v>
      </c>
      <c r="BL228" s="372"/>
      <c r="BM228" s="203">
        <f t="shared" si="18"/>
        <v>0</v>
      </c>
      <c r="BN228" s="372"/>
      <c r="BO228" s="372"/>
      <c r="BP228" s="372">
        <f>Roles!$D$7</f>
        <v>0.12</v>
      </c>
      <c r="BQ228" s="372"/>
      <c r="BR228" s="203">
        <f t="shared" si="19"/>
        <v>0</v>
      </c>
      <c r="BS228" s="372"/>
      <c r="BT228" s="372"/>
      <c r="BU228" s="372">
        <f>Roles!$D$7</f>
        <v>0.12</v>
      </c>
      <c r="BV228" s="372"/>
      <c r="BW228" s="203">
        <f t="shared" si="20"/>
        <v>0</v>
      </c>
      <c r="BX228" s="372"/>
      <c r="BY228" s="372"/>
      <c r="BZ228" s="372">
        <f>Roles!$D$7</f>
        <v>0.12</v>
      </c>
      <c r="CA228" s="372"/>
      <c r="CB228" s="203">
        <f t="shared" si="21"/>
        <v>0</v>
      </c>
      <c r="CC228" s="372"/>
      <c r="CD228" s="372"/>
      <c r="CE228" s="372">
        <f>Roles!$D$7</f>
        <v>0.12</v>
      </c>
      <c r="CF228" s="372"/>
      <c r="CG228" s="203">
        <f t="shared" si="22"/>
        <v>0</v>
      </c>
      <c r="CH228" s="372"/>
      <c r="CI228" s="372"/>
      <c r="CJ228" s="372">
        <f>Roles!$D$7</f>
        <v>0.12</v>
      </c>
      <c r="CK228" s="372"/>
      <c r="CL228" s="203">
        <f t="shared" si="23"/>
        <v>0</v>
      </c>
      <c r="CM228" s="372"/>
      <c r="CN228" s="372"/>
      <c r="CO228" s="372">
        <f>Roles!$D$7</f>
        <v>0.12</v>
      </c>
      <c r="CP228" s="372"/>
      <c r="CQ228" s="203">
        <f t="shared" si="24"/>
        <v>0</v>
      </c>
      <c r="CR228" s="372"/>
      <c r="CS228" s="372"/>
      <c r="CT228" s="372">
        <f>Roles!$D$7</f>
        <v>0.12</v>
      </c>
      <c r="CU228" s="372"/>
      <c r="CV228" s="203">
        <f t="shared" si="25"/>
        <v>0</v>
      </c>
      <c r="CW228" s="372"/>
      <c r="CX228" s="372"/>
      <c r="CY228" s="372">
        <f>Roles!$D$7</f>
        <v>0.12</v>
      </c>
      <c r="CZ228" s="372"/>
      <c r="DA228" s="203">
        <f t="shared" si="26"/>
        <v>0</v>
      </c>
      <c r="DB228" s="372"/>
      <c r="DC228" s="372"/>
      <c r="DD228" s="372">
        <f>Roles!$D$7</f>
        <v>0.12</v>
      </c>
      <c r="DE228" s="372"/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 t="shared" si="1"/>
        <v>3</v>
      </c>
      <c r="F229" s="246">
        <f>SUM(F230:F231)</f>
        <v>20</v>
      </c>
      <c r="G229" s="105">
        <f t="shared" si="2"/>
        <v>0.01722652885</v>
      </c>
      <c r="H229" s="226">
        <f>H231</f>
        <v>0.9801894918</v>
      </c>
      <c r="I229" s="247">
        <f>SUM(I230:I231)</f>
        <v>10</v>
      </c>
      <c r="J229" s="247">
        <f>J231</f>
        <v>1138</v>
      </c>
      <c r="K229" s="167">
        <f t="shared" si="3"/>
        <v>1</v>
      </c>
      <c r="L229" s="247">
        <f>SUM(L230:L231)</f>
        <v>4.4</v>
      </c>
      <c r="M229" s="247">
        <f>M231</f>
        <v>500.72</v>
      </c>
      <c r="N229" s="7"/>
      <c r="O229" s="203">
        <f t="shared" si="7"/>
        <v>0</v>
      </c>
      <c r="P229" s="372"/>
      <c r="Q229" s="372"/>
      <c r="R229" s="372">
        <f>Roles!$D$5</f>
        <v>0.44</v>
      </c>
      <c r="S229" s="372">
        <f t="shared" si="8"/>
        <v>0</v>
      </c>
      <c r="T229" s="203">
        <f t="shared" si="9"/>
        <v>0</v>
      </c>
      <c r="U229" s="372"/>
      <c r="V229" s="372"/>
      <c r="W229" s="372">
        <f>Roles!$D$7</f>
        <v>0.12</v>
      </c>
      <c r="X229" s="372"/>
      <c r="Y229" s="203">
        <f t="shared" si="10"/>
        <v>0</v>
      </c>
      <c r="Z229" s="372"/>
      <c r="AA229" s="372"/>
      <c r="AB229" s="372">
        <f>Roles!$D$7</f>
        <v>0.12</v>
      </c>
      <c r="AC229" s="372"/>
      <c r="AD229" s="203">
        <f t="shared" si="11"/>
        <v>0</v>
      </c>
      <c r="AE229" s="372"/>
      <c r="AF229" s="372"/>
      <c r="AG229" s="372">
        <f>Roles!$D$7</f>
        <v>0.12</v>
      </c>
      <c r="AH229" s="372"/>
      <c r="AI229" s="203">
        <f t="shared" si="12"/>
        <v>0</v>
      </c>
      <c r="AJ229" s="372"/>
      <c r="AK229" s="372"/>
      <c r="AL229" s="372">
        <f>Roles!$D$7</f>
        <v>0.12</v>
      </c>
      <c r="AM229" s="372"/>
      <c r="AN229" s="203">
        <f t="shared" si="13"/>
        <v>0</v>
      </c>
      <c r="AO229" s="372"/>
      <c r="AP229" s="372"/>
      <c r="AQ229" s="372">
        <f>Roles!$D$7</f>
        <v>0.12</v>
      </c>
      <c r="AR229" s="372"/>
      <c r="AS229" s="203">
        <f t="shared" si="14"/>
        <v>0</v>
      </c>
      <c r="AT229" s="372"/>
      <c r="AU229" s="372"/>
      <c r="AV229" s="372">
        <f>Roles!$D$7</f>
        <v>0.12</v>
      </c>
      <c r="AW229" s="372"/>
      <c r="AX229" s="203">
        <f t="shared" si="15"/>
        <v>0</v>
      </c>
      <c r="AY229" s="372"/>
      <c r="AZ229" s="372"/>
      <c r="BA229" s="372">
        <f>Roles!$D$7</f>
        <v>0.12</v>
      </c>
      <c r="BB229" s="372"/>
      <c r="BC229" s="203">
        <f t="shared" si="16"/>
        <v>0</v>
      </c>
      <c r="BD229" s="372"/>
      <c r="BE229" s="372"/>
      <c r="BF229" s="372">
        <f>Roles!$D$7</f>
        <v>0.12</v>
      </c>
      <c r="BG229" s="372"/>
      <c r="BH229" s="203">
        <f t="shared" si="17"/>
        <v>0</v>
      </c>
      <c r="BI229" s="372"/>
      <c r="BJ229" s="372"/>
      <c r="BK229" s="372">
        <f>Roles!$D$7</f>
        <v>0.12</v>
      </c>
      <c r="BL229" s="372"/>
      <c r="BM229" s="203">
        <f t="shared" si="18"/>
        <v>0</v>
      </c>
      <c r="BN229" s="372"/>
      <c r="BO229" s="372"/>
      <c r="BP229" s="372">
        <f>Roles!$D$7</f>
        <v>0.12</v>
      </c>
      <c r="BQ229" s="372"/>
      <c r="BR229" s="203">
        <f t="shared" si="19"/>
        <v>0</v>
      </c>
      <c r="BS229" s="372"/>
      <c r="BT229" s="372"/>
      <c r="BU229" s="372">
        <f>Roles!$D$7</f>
        <v>0.12</v>
      </c>
      <c r="BV229" s="372"/>
      <c r="BW229" s="203">
        <f t="shared" si="20"/>
        <v>0</v>
      </c>
      <c r="BX229" s="372"/>
      <c r="BY229" s="372"/>
      <c r="BZ229" s="372">
        <f>Roles!$D$7</f>
        <v>0.12</v>
      </c>
      <c r="CA229" s="372"/>
      <c r="CB229" s="203">
        <f t="shared" si="21"/>
        <v>0</v>
      </c>
      <c r="CC229" s="372"/>
      <c r="CD229" s="372"/>
      <c r="CE229" s="372">
        <f>Roles!$D$7</f>
        <v>0.12</v>
      </c>
      <c r="CF229" s="372"/>
      <c r="CG229" s="203">
        <f t="shared" si="22"/>
        <v>0</v>
      </c>
      <c r="CH229" s="372"/>
      <c r="CI229" s="372"/>
      <c r="CJ229" s="372">
        <f>Roles!$D$7</f>
        <v>0.12</v>
      </c>
      <c r="CK229" s="372"/>
      <c r="CL229" s="203">
        <f t="shared" si="23"/>
        <v>0</v>
      </c>
      <c r="CM229" s="372"/>
      <c r="CN229" s="372"/>
      <c r="CO229" s="372">
        <f>Roles!$D$7</f>
        <v>0.12</v>
      </c>
      <c r="CP229" s="372"/>
      <c r="CQ229" s="203">
        <f t="shared" si="24"/>
        <v>0</v>
      </c>
      <c r="CR229" s="372"/>
      <c r="CS229" s="372"/>
      <c r="CT229" s="372">
        <f>Roles!$D$7</f>
        <v>0.12</v>
      </c>
      <c r="CU229" s="372"/>
      <c r="CV229" s="203">
        <f t="shared" si="25"/>
        <v>0</v>
      </c>
      <c r="CW229" s="372"/>
      <c r="CX229" s="372"/>
      <c r="CY229" s="372">
        <f>Roles!$D$7</f>
        <v>0.12</v>
      </c>
      <c r="CZ229" s="372"/>
      <c r="DA229" s="203">
        <f t="shared" si="26"/>
        <v>0</v>
      </c>
      <c r="DB229" s="372"/>
      <c r="DC229" s="372"/>
      <c r="DD229" s="372">
        <f>Roles!$D$7</f>
        <v>0.12</v>
      </c>
      <c r="DE229" s="372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 t="shared" si="1"/>
        <v>2</v>
      </c>
      <c r="F230" s="80">
        <v>10.0</v>
      </c>
      <c r="G230" s="105">
        <f t="shared" si="2"/>
        <v>0.008613264427</v>
      </c>
      <c r="H230" s="47">
        <f>H228+G230</f>
        <v>0.9715762274</v>
      </c>
      <c r="I230" s="231">
        <f t="shared" ref="I230:I231" si="215">P230+U230+Z230+AE230+AJ230+AO230+AT230+AY230+BD230+BI230+BN230+BS230+BX230+CC230+CH230+CM230+CR230+CW230+DB230</f>
        <v>10</v>
      </c>
      <c r="J230" s="172">
        <f>J228+I230</f>
        <v>1138</v>
      </c>
      <c r="K230" s="115">
        <f t="shared" si="3"/>
        <v>1</v>
      </c>
      <c r="L230" s="232">
        <f t="shared" ref="L230:L231" si="216">S230+X230+AC230+AH230+AM230+AR230+AW230+BB230+BG230+BL230+BQ230+BV230+CA230+CF230+CK230+CP230+CU230+CZ230+DE230</f>
        <v>4.4</v>
      </c>
      <c r="M230" s="172">
        <f>M228+L230</f>
        <v>500.72</v>
      </c>
      <c r="N230" s="7"/>
      <c r="O230" s="203">
        <f t="shared" si="7"/>
        <v>1</v>
      </c>
      <c r="P230" s="378">
        <v>10.0</v>
      </c>
      <c r="Q230" s="372"/>
      <c r="R230" s="372">
        <f>Roles!$D$5</f>
        <v>0.44</v>
      </c>
      <c r="S230" s="372">
        <f t="shared" si="8"/>
        <v>4.4</v>
      </c>
      <c r="T230" s="203">
        <f t="shared" si="9"/>
        <v>0</v>
      </c>
      <c r="U230" s="372"/>
      <c r="V230" s="372"/>
      <c r="W230" s="372">
        <f>Roles!$D$7</f>
        <v>0.12</v>
      </c>
      <c r="X230" s="372"/>
      <c r="Y230" s="203">
        <f t="shared" si="10"/>
        <v>0</v>
      </c>
      <c r="Z230" s="372"/>
      <c r="AA230" s="372"/>
      <c r="AB230" s="372">
        <f>Roles!$D$7</f>
        <v>0.12</v>
      </c>
      <c r="AC230" s="372"/>
      <c r="AD230" s="203">
        <f t="shared" si="11"/>
        <v>0</v>
      </c>
      <c r="AE230" s="372"/>
      <c r="AF230" s="372"/>
      <c r="AG230" s="372">
        <f>Roles!$D$7</f>
        <v>0.12</v>
      </c>
      <c r="AH230" s="372"/>
      <c r="AI230" s="203">
        <f t="shared" si="12"/>
        <v>0</v>
      </c>
      <c r="AJ230" s="372"/>
      <c r="AK230" s="372"/>
      <c r="AL230" s="372">
        <f>Roles!$D$7</f>
        <v>0.12</v>
      </c>
      <c r="AM230" s="372"/>
      <c r="AN230" s="203">
        <f t="shared" si="13"/>
        <v>0</v>
      </c>
      <c r="AO230" s="372"/>
      <c r="AP230" s="372"/>
      <c r="AQ230" s="372">
        <f>Roles!$D$7</f>
        <v>0.12</v>
      </c>
      <c r="AR230" s="372"/>
      <c r="AS230" s="203">
        <f t="shared" si="14"/>
        <v>0</v>
      </c>
      <c r="AT230" s="372"/>
      <c r="AU230" s="372"/>
      <c r="AV230" s="372">
        <f>Roles!$D$7</f>
        <v>0.12</v>
      </c>
      <c r="AW230" s="372"/>
      <c r="AX230" s="203">
        <f t="shared" si="15"/>
        <v>0</v>
      </c>
      <c r="AY230" s="372"/>
      <c r="AZ230" s="372"/>
      <c r="BA230" s="372">
        <f>Roles!$D$7</f>
        <v>0.12</v>
      </c>
      <c r="BB230" s="372"/>
      <c r="BC230" s="203">
        <f t="shared" si="16"/>
        <v>0</v>
      </c>
      <c r="BD230" s="372"/>
      <c r="BE230" s="372"/>
      <c r="BF230" s="372">
        <f>Roles!$D$7</f>
        <v>0.12</v>
      </c>
      <c r="BG230" s="372"/>
      <c r="BH230" s="203">
        <f t="shared" si="17"/>
        <v>0</v>
      </c>
      <c r="BI230" s="372"/>
      <c r="BJ230" s="372"/>
      <c r="BK230" s="372">
        <f>Roles!$D$7</f>
        <v>0.12</v>
      </c>
      <c r="BL230" s="372"/>
      <c r="BM230" s="203">
        <f t="shared" si="18"/>
        <v>0</v>
      </c>
      <c r="BN230" s="372"/>
      <c r="BO230" s="372"/>
      <c r="BP230" s="372">
        <f>Roles!$D$7</f>
        <v>0.12</v>
      </c>
      <c r="BQ230" s="372"/>
      <c r="BR230" s="203">
        <f t="shared" si="19"/>
        <v>0</v>
      </c>
      <c r="BS230" s="372"/>
      <c r="BT230" s="372"/>
      <c r="BU230" s="372">
        <f>Roles!$D$7</f>
        <v>0.12</v>
      </c>
      <c r="BV230" s="372"/>
      <c r="BW230" s="203">
        <f t="shared" si="20"/>
        <v>0</v>
      </c>
      <c r="BX230" s="372"/>
      <c r="BY230" s="372"/>
      <c r="BZ230" s="372">
        <f>Roles!$D$7</f>
        <v>0.12</v>
      </c>
      <c r="CA230" s="372"/>
      <c r="CB230" s="203">
        <f t="shared" si="21"/>
        <v>0</v>
      </c>
      <c r="CC230" s="372"/>
      <c r="CD230" s="372"/>
      <c r="CE230" s="372">
        <f>Roles!$D$7</f>
        <v>0.12</v>
      </c>
      <c r="CF230" s="372"/>
      <c r="CG230" s="203">
        <f t="shared" si="22"/>
        <v>0</v>
      </c>
      <c r="CH230" s="372"/>
      <c r="CI230" s="372"/>
      <c r="CJ230" s="372">
        <f>Roles!$D$7</f>
        <v>0.12</v>
      </c>
      <c r="CK230" s="372"/>
      <c r="CL230" s="203">
        <f t="shared" si="23"/>
        <v>0</v>
      </c>
      <c r="CM230" s="372"/>
      <c r="CN230" s="372"/>
      <c r="CO230" s="372">
        <f>Roles!$D$7</f>
        <v>0.12</v>
      </c>
      <c r="CP230" s="372"/>
      <c r="CQ230" s="203">
        <f t="shared" si="24"/>
        <v>0</v>
      </c>
      <c r="CR230" s="372"/>
      <c r="CS230" s="372"/>
      <c r="CT230" s="372">
        <f>Roles!$D$7</f>
        <v>0.12</v>
      </c>
      <c r="CU230" s="372"/>
      <c r="CV230" s="203">
        <f t="shared" si="25"/>
        <v>0</v>
      </c>
      <c r="CW230" s="372"/>
      <c r="CX230" s="372"/>
      <c r="CY230" s="372">
        <f>Roles!$D$7</f>
        <v>0.12</v>
      </c>
      <c r="CZ230" s="372"/>
      <c r="DA230" s="203">
        <f t="shared" si="26"/>
        <v>0</v>
      </c>
      <c r="DB230" s="372"/>
      <c r="DC230" s="372"/>
      <c r="DD230" s="372">
        <f>Roles!$D$7</f>
        <v>0.12</v>
      </c>
      <c r="DE230" s="372"/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 t="shared" si="1"/>
        <v>1</v>
      </c>
      <c r="F231" s="80">
        <v>10.0</v>
      </c>
      <c r="G231" s="105">
        <f t="shared" si="2"/>
        <v>0.008613264427</v>
      </c>
      <c r="H231" s="353">
        <f>H230+G231</f>
        <v>0.9801894918</v>
      </c>
      <c r="I231" s="231">
        <f t="shared" si="215"/>
        <v>0</v>
      </c>
      <c r="J231" s="351">
        <f>J230+I231</f>
        <v>1138</v>
      </c>
      <c r="K231" s="352">
        <f t="shared" si="3"/>
        <v>1</v>
      </c>
      <c r="L231" s="232">
        <f t="shared" si="216"/>
        <v>0</v>
      </c>
      <c r="M231" s="351">
        <f>M230+L231</f>
        <v>500.72</v>
      </c>
      <c r="N231" s="7"/>
      <c r="O231" s="203">
        <f t="shared" si="7"/>
        <v>0</v>
      </c>
      <c r="P231" s="378">
        <v>0.0</v>
      </c>
      <c r="Q231" s="372"/>
      <c r="R231" s="372">
        <f>Roles!$D$5</f>
        <v>0.44</v>
      </c>
      <c r="S231" s="372">
        <f t="shared" si="8"/>
        <v>0</v>
      </c>
      <c r="T231" s="203">
        <f t="shared" si="9"/>
        <v>0</v>
      </c>
      <c r="U231" s="372"/>
      <c r="V231" s="372"/>
      <c r="W231" s="372">
        <f>Roles!$D$7</f>
        <v>0.12</v>
      </c>
      <c r="X231" s="372"/>
      <c r="Y231" s="203">
        <f t="shared" si="10"/>
        <v>0</v>
      </c>
      <c r="Z231" s="372"/>
      <c r="AA231" s="372"/>
      <c r="AB231" s="372">
        <f>Roles!$D$7</f>
        <v>0.12</v>
      </c>
      <c r="AC231" s="372"/>
      <c r="AD231" s="203">
        <f t="shared" si="11"/>
        <v>0</v>
      </c>
      <c r="AE231" s="372"/>
      <c r="AF231" s="372"/>
      <c r="AG231" s="372">
        <f>Roles!$D$7</f>
        <v>0.12</v>
      </c>
      <c r="AH231" s="372"/>
      <c r="AI231" s="203">
        <f t="shared" si="12"/>
        <v>0</v>
      </c>
      <c r="AJ231" s="372"/>
      <c r="AK231" s="372"/>
      <c r="AL231" s="372">
        <f>Roles!$D$7</f>
        <v>0.12</v>
      </c>
      <c r="AM231" s="372"/>
      <c r="AN231" s="203">
        <f t="shared" si="13"/>
        <v>0</v>
      </c>
      <c r="AO231" s="372"/>
      <c r="AP231" s="372"/>
      <c r="AQ231" s="372">
        <f>Roles!$D$7</f>
        <v>0.12</v>
      </c>
      <c r="AR231" s="372"/>
      <c r="AS231" s="203">
        <f t="shared" si="14"/>
        <v>0</v>
      </c>
      <c r="AT231" s="372"/>
      <c r="AU231" s="372"/>
      <c r="AV231" s="372">
        <f>Roles!$D$7</f>
        <v>0.12</v>
      </c>
      <c r="AW231" s="372"/>
      <c r="AX231" s="203">
        <f t="shared" si="15"/>
        <v>0</v>
      </c>
      <c r="AY231" s="372"/>
      <c r="AZ231" s="372"/>
      <c r="BA231" s="372">
        <f>Roles!$D$7</f>
        <v>0.12</v>
      </c>
      <c r="BB231" s="372"/>
      <c r="BC231" s="203">
        <f t="shared" si="16"/>
        <v>0</v>
      </c>
      <c r="BD231" s="372"/>
      <c r="BE231" s="372"/>
      <c r="BF231" s="372">
        <f>Roles!$D$7</f>
        <v>0.12</v>
      </c>
      <c r="BG231" s="372"/>
      <c r="BH231" s="203">
        <f t="shared" si="17"/>
        <v>0</v>
      </c>
      <c r="BI231" s="372"/>
      <c r="BJ231" s="372"/>
      <c r="BK231" s="372">
        <f>Roles!$D$7</f>
        <v>0.12</v>
      </c>
      <c r="BL231" s="372"/>
      <c r="BM231" s="203">
        <f t="shared" si="18"/>
        <v>0</v>
      </c>
      <c r="BN231" s="372"/>
      <c r="BO231" s="372"/>
      <c r="BP231" s="372">
        <f>Roles!$D$7</f>
        <v>0.12</v>
      </c>
      <c r="BQ231" s="372"/>
      <c r="BR231" s="203">
        <f t="shared" si="19"/>
        <v>0</v>
      </c>
      <c r="BS231" s="372"/>
      <c r="BT231" s="372"/>
      <c r="BU231" s="372">
        <f>Roles!$D$7</f>
        <v>0.12</v>
      </c>
      <c r="BV231" s="372"/>
      <c r="BW231" s="203">
        <f t="shared" si="20"/>
        <v>0</v>
      </c>
      <c r="BX231" s="372"/>
      <c r="BY231" s="372"/>
      <c r="BZ231" s="372">
        <f>Roles!$D$7</f>
        <v>0.12</v>
      </c>
      <c r="CA231" s="372"/>
      <c r="CB231" s="203">
        <f t="shared" si="21"/>
        <v>0</v>
      </c>
      <c r="CC231" s="372"/>
      <c r="CD231" s="372"/>
      <c r="CE231" s="372">
        <f>Roles!$D$7</f>
        <v>0.12</v>
      </c>
      <c r="CF231" s="372"/>
      <c r="CG231" s="203">
        <f t="shared" si="22"/>
        <v>0</v>
      </c>
      <c r="CH231" s="372"/>
      <c r="CI231" s="372"/>
      <c r="CJ231" s="372">
        <f>Roles!$D$7</f>
        <v>0.12</v>
      </c>
      <c r="CK231" s="372"/>
      <c r="CL231" s="203">
        <f t="shared" si="23"/>
        <v>0</v>
      </c>
      <c r="CM231" s="372"/>
      <c r="CN231" s="372"/>
      <c r="CO231" s="372">
        <f>Roles!$D$7</f>
        <v>0.12</v>
      </c>
      <c r="CP231" s="372"/>
      <c r="CQ231" s="203">
        <f t="shared" si="24"/>
        <v>0</v>
      </c>
      <c r="CR231" s="372"/>
      <c r="CS231" s="372"/>
      <c r="CT231" s="372">
        <f>Roles!$D$7</f>
        <v>0.12</v>
      </c>
      <c r="CU231" s="372"/>
      <c r="CV231" s="203">
        <f t="shared" si="25"/>
        <v>0</v>
      </c>
      <c r="CW231" s="372"/>
      <c r="CX231" s="372"/>
      <c r="CY231" s="372">
        <f>Roles!$D$7</f>
        <v>0.12</v>
      </c>
      <c r="CZ231" s="372"/>
      <c r="DA231" s="203">
        <f t="shared" si="26"/>
        <v>0</v>
      </c>
      <c r="DB231" s="372"/>
      <c r="DC231" s="372"/>
      <c r="DD231" s="372">
        <f>Roles!$D$7</f>
        <v>0.12</v>
      </c>
      <c r="DE231" s="372"/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 t="shared" si="1"/>
        <v>3</v>
      </c>
      <c r="F232" s="246">
        <f>SUM(F233:F237)</f>
        <v>23</v>
      </c>
      <c r="G232" s="105">
        <f t="shared" si="2"/>
        <v>0.01981050818</v>
      </c>
      <c r="H232" s="226">
        <f>H237</f>
        <v>1</v>
      </c>
      <c r="I232" s="247">
        <f>SUM(I233:I237)</f>
        <v>0</v>
      </c>
      <c r="J232" s="247">
        <f>J237</f>
        <v>1138</v>
      </c>
      <c r="K232" s="167">
        <f t="shared" si="3"/>
        <v>1</v>
      </c>
      <c r="L232" s="247">
        <f>SUM(L233:L237)</f>
        <v>0</v>
      </c>
      <c r="M232" s="247">
        <f>M237</f>
        <v>500.72</v>
      </c>
      <c r="N232" s="7"/>
      <c r="O232" s="203">
        <f t="shared" si="7"/>
        <v>0</v>
      </c>
      <c r="P232" s="372"/>
      <c r="Q232" s="372"/>
      <c r="R232" s="372">
        <f>Roles!$D$5</f>
        <v>0.44</v>
      </c>
      <c r="S232" s="372">
        <f t="shared" si="8"/>
        <v>0</v>
      </c>
      <c r="T232" s="203">
        <f t="shared" si="9"/>
        <v>0</v>
      </c>
      <c r="U232" s="372"/>
      <c r="V232" s="372"/>
      <c r="W232" s="372">
        <f>Roles!$D$7</f>
        <v>0.12</v>
      </c>
      <c r="X232" s="372"/>
      <c r="Y232" s="203">
        <f t="shared" si="10"/>
        <v>0</v>
      </c>
      <c r="Z232" s="372"/>
      <c r="AA232" s="372"/>
      <c r="AB232" s="372">
        <f>Roles!$D$7</f>
        <v>0.12</v>
      </c>
      <c r="AC232" s="372"/>
      <c r="AD232" s="203">
        <f t="shared" si="11"/>
        <v>0</v>
      </c>
      <c r="AE232" s="372"/>
      <c r="AF232" s="372"/>
      <c r="AG232" s="372">
        <f>Roles!$D$7</f>
        <v>0.12</v>
      </c>
      <c r="AH232" s="372"/>
      <c r="AI232" s="203">
        <f t="shared" si="12"/>
        <v>0</v>
      </c>
      <c r="AJ232" s="372"/>
      <c r="AK232" s="372"/>
      <c r="AL232" s="372">
        <f>Roles!$D$7</f>
        <v>0.12</v>
      </c>
      <c r="AM232" s="372"/>
      <c r="AN232" s="203">
        <f t="shared" si="13"/>
        <v>0</v>
      </c>
      <c r="AO232" s="372"/>
      <c r="AP232" s="372"/>
      <c r="AQ232" s="372">
        <f>Roles!$D$7</f>
        <v>0.12</v>
      </c>
      <c r="AR232" s="372"/>
      <c r="AS232" s="203">
        <f t="shared" si="14"/>
        <v>0</v>
      </c>
      <c r="AT232" s="372"/>
      <c r="AU232" s="372"/>
      <c r="AV232" s="372">
        <f>Roles!$D$7</f>
        <v>0.12</v>
      </c>
      <c r="AW232" s="372"/>
      <c r="AX232" s="203">
        <f t="shared" si="15"/>
        <v>0</v>
      </c>
      <c r="AY232" s="372"/>
      <c r="AZ232" s="372"/>
      <c r="BA232" s="372">
        <f>Roles!$D$7</f>
        <v>0.12</v>
      </c>
      <c r="BB232" s="372"/>
      <c r="BC232" s="203">
        <f t="shared" si="16"/>
        <v>0</v>
      </c>
      <c r="BD232" s="372"/>
      <c r="BE232" s="372"/>
      <c r="BF232" s="372">
        <f>Roles!$D$7</f>
        <v>0.12</v>
      </c>
      <c r="BG232" s="372"/>
      <c r="BH232" s="203">
        <f t="shared" si="17"/>
        <v>0</v>
      </c>
      <c r="BI232" s="372"/>
      <c r="BJ232" s="372"/>
      <c r="BK232" s="372">
        <f>Roles!$D$7</f>
        <v>0.12</v>
      </c>
      <c r="BL232" s="372"/>
      <c r="BM232" s="203">
        <f t="shared" si="18"/>
        <v>0</v>
      </c>
      <c r="BN232" s="372"/>
      <c r="BO232" s="372"/>
      <c r="BP232" s="372">
        <f>Roles!$D$7</f>
        <v>0.12</v>
      </c>
      <c r="BQ232" s="372"/>
      <c r="BR232" s="203">
        <f t="shared" si="19"/>
        <v>0</v>
      </c>
      <c r="BS232" s="372"/>
      <c r="BT232" s="372"/>
      <c r="BU232" s="372">
        <f>Roles!$D$7</f>
        <v>0.12</v>
      </c>
      <c r="BV232" s="372"/>
      <c r="BW232" s="203">
        <f t="shared" si="20"/>
        <v>0</v>
      </c>
      <c r="BX232" s="372"/>
      <c r="BY232" s="372"/>
      <c r="BZ232" s="372">
        <f>Roles!$D$7</f>
        <v>0.12</v>
      </c>
      <c r="CA232" s="372"/>
      <c r="CB232" s="203">
        <f t="shared" si="21"/>
        <v>0</v>
      </c>
      <c r="CC232" s="372"/>
      <c r="CD232" s="372"/>
      <c r="CE232" s="372">
        <f>Roles!$D$7</f>
        <v>0.12</v>
      </c>
      <c r="CF232" s="372"/>
      <c r="CG232" s="203">
        <f t="shared" si="22"/>
        <v>0</v>
      </c>
      <c r="CH232" s="372"/>
      <c r="CI232" s="372"/>
      <c r="CJ232" s="372">
        <f>Roles!$D$7</f>
        <v>0.12</v>
      </c>
      <c r="CK232" s="372"/>
      <c r="CL232" s="203">
        <f t="shared" si="23"/>
        <v>0</v>
      </c>
      <c r="CM232" s="372"/>
      <c r="CN232" s="372"/>
      <c r="CO232" s="372">
        <f>Roles!$D$7</f>
        <v>0.12</v>
      </c>
      <c r="CP232" s="372"/>
      <c r="CQ232" s="203">
        <f t="shared" si="24"/>
        <v>0</v>
      </c>
      <c r="CR232" s="372"/>
      <c r="CS232" s="372"/>
      <c r="CT232" s="372">
        <f>Roles!$D$7</f>
        <v>0.12</v>
      </c>
      <c r="CU232" s="372"/>
      <c r="CV232" s="203">
        <f t="shared" si="25"/>
        <v>0</v>
      </c>
      <c r="CW232" s="372"/>
      <c r="CX232" s="372"/>
      <c r="CY232" s="372">
        <f>Roles!$D$7</f>
        <v>0.12</v>
      </c>
      <c r="CZ232" s="372"/>
      <c r="DA232" s="203">
        <f t="shared" si="26"/>
        <v>0</v>
      </c>
      <c r="DB232" s="372"/>
      <c r="DC232" s="372"/>
      <c r="DD232" s="372">
        <f>Roles!$D$7</f>
        <v>0.12</v>
      </c>
      <c r="DE232" s="372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 t="shared" si="1"/>
        <v>2</v>
      </c>
      <c r="F233" s="80">
        <v>3.0</v>
      </c>
      <c r="G233" s="105">
        <f t="shared" si="2"/>
        <v>0.002583979328</v>
      </c>
      <c r="H233" s="47">
        <f>H231+G233</f>
        <v>0.9827734711</v>
      </c>
      <c r="I233" s="231">
        <f t="shared" ref="I233:I237" si="217">P233+U233+Z233+AE233+AJ233+AO233+AT233+AY233+BD233+BI233+BN233+BS233+BX233+CC233+CH233+CM233+CR233+CW233+DB233</f>
        <v>0</v>
      </c>
      <c r="J233" s="172">
        <f>J231+I233</f>
        <v>1138</v>
      </c>
      <c r="K233" s="115">
        <f t="shared" si="3"/>
        <v>1</v>
      </c>
      <c r="L233" s="232">
        <f t="shared" ref="L233:L237" si="218">S233+X233+AC233+AH233+AM233+AR233+AW233+BB233+BG233+BL233+BQ233+BV233+CA233+CF233+CK233+CP233+CU233+CZ233+DE233</f>
        <v>0</v>
      </c>
      <c r="M233" s="172">
        <f>M231+L233</f>
        <v>500.72</v>
      </c>
      <c r="N233" s="7"/>
      <c r="O233" s="203">
        <f t="shared" si="7"/>
        <v>0</v>
      </c>
      <c r="P233" s="378">
        <v>0.0</v>
      </c>
      <c r="Q233" s="372"/>
      <c r="R233" s="372">
        <f>Roles!$D$5</f>
        <v>0.44</v>
      </c>
      <c r="S233" s="372">
        <f t="shared" si="8"/>
        <v>0</v>
      </c>
      <c r="T233" s="203">
        <f t="shared" si="9"/>
        <v>0</v>
      </c>
      <c r="U233" s="372"/>
      <c r="V233" s="372"/>
      <c r="W233" s="372">
        <f>Roles!$D$7</f>
        <v>0.12</v>
      </c>
      <c r="X233" s="372"/>
      <c r="Y233" s="203">
        <f t="shared" si="10"/>
        <v>0</v>
      </c>
      <c r="Z233" s="372"/>
      <c r="AA233" s="372"/>
      <c r="AB233" s="372">
        <f>Roles!$D$7</f>
        <v>0.12</v>
      </c>
      <c r="AC233" s="372"/>
      <c r="AD233" s="203">
        <f t="shared" si="11"/>
        <v>0</v>
      </c>
      <c r="AE233" s="372"/>
      <c r="AF233" s="372"/>
      <c r="AG233" s="372">
        <f>Roles!$D$7</f>
        <v>0.12</v>
      </c>
      <c r="AH233" s="372"/>
      <c r="AI233" s="203">
        <f t="shared" si="12"/>
        <v>0</v>
      </c>
      <c r="AJ233" s="372"/>
      <c r="AK233" s="372"/>
      <c r="AL233" s="372">
        <f>Roles!$D$7</f>
        <v>0.12</v>
      </c>
      <c r="AM233" s="372"/>
      <c r="AN233" s="203">
        <f t="shared" si="13"/>
        <v>0</v>
      </c>
      <c r="AO233" s="372"/>
      <c r="AP233" s="372"/>
      <c r="AQ233" s="372">
        <f>Roles!$D$7</f>
        <v>0.12</v>
      </c>
      <c r="AR233" s="372"/>
      <c r="AS233" s="203">
        <f t="shared" si="14"/>
        <v>0</v>
      </c>
      <c r="AT233" s="372"/>
      <c r="AU233" s="372"/>
      <c r="AV233" s="372">
        <f>Roles!$D$7</f>
        <v>0.12</v>
      </c>
      <c r="AW233" s="372"/>
      <c r="AX233" s="203">
        <f t="shared" si="15"/>
        <v>0</v>
      </c>
      <c r="AY233" s="372"/>
      <c r="AZ233" s="372"/>
      <c r="BA233" s="372">
        <f>Roles!$D$7</f>
        <v>0.12</v>
      </c>
      <c r="BB233" s="372"/>
      <c r="BC233" s="203">
        <f t="shared" si="16"/>
        <v>0</v>
      </c>
      <c r="BD233" s="372"/>
      <c r="BE233" s="372"/>
      <c r="BF233" s="372">
        <f>Roles!$D$7</f>
        <v>0.12</v>
      </c>
      <c r="BG233" s="372"/>
      <c r="BH233" s="203">
        <f t="shared" si="17"/>
        <v>0</v>
      </c>
      <c r="BI233" s="372"/>
      <c r="BJ233" s="372"/>
      <c r="BK233" s="372">
        <f>Roles!$D$7</f>
        <v>0.12</v>
      </c>
      <c r="BL233" s="372"/>
      <c r="BM233" s="203">
        <f t="shared" si="18"/>
        <v>0</v>
      </c>
      <c r="BN233" s="372"/>
      <c r="BO233" s="372"/>
      <c r="BP233" s="372">
        <f>Roles!$D$7</f>
        <v>0.12</v>
      </c>
      <c r="BQ233" s="372"/>
      <c r="BR233" s="203">
        <f t="shared" si="19"/>
        <v>0</v>
      </c>
      <c r="BS233" s="372"/>
      <c r="BT233" s="372"/>
      <c r="BU233" s="372">
        <f>Roles!$D$7</f>
        <v>0.12</v>
      </c>
      <c r="BV233" s="372"/>
      <c r="BW233" s="203">
        <f t="shared" si="20"/>
        <v>0</v>
      </c>
      <c r="BX233" s="372"/>
      <c r="BY233" s="372"/>
      <c r="BZ233" s="372">
        <f>Roles!$D$7</f>
        <v>0.12</v>
      </c>
      <c r="CA233" s="372"/>
      <c r="CB233" s="203">
        <f t="shared" si="21"/>
        <v>0</v>
      </c>
      <c r="CC233" s="372"/>
      <c r="CD233" s="372"/>
      <c r="CE233" s="372">
        <f>Roles!$D$7</f>
        <v>0.12</v>
      </c>
      <c r="CF233" s="372"/>
      <c r="CG233" s="203">
        <f t="shared" si="22"/>
        <v>0</v>
      </c>
      <c r="CH233" s="372"/>
      <c r="CI233" s="372"/>
      <c r="CJ233" s="372">
        <f>Roles!$D$7</f>
        <v>0.12</v>
      </c>
      <c r="CK233" s="372"/>
      <c r="CL233" s="203">
        <f t="shared" si="23"/>
        <v>0</v>
      </c>
      <c r="CM233" s="372"/>
      <c r="CN233" s="372"/>
      <c r="CO233" s="372">
        <f>Roles!$D$7</f>
        <v>0.12</v>
      </c>
      <c r="CP233" s="372"/>
      <c r="CQ233" s="203">
        <f t="shared" si="24"/>
        <v>0</v>
      </c>
      <c r="CR233" s="372"/>
      <c r="CS233" s="372"/>
      <c r="CT233" s="372">
        <f>Roles!$D$7</f>
        <v>0.12</v>
      </c>
      <c r="CU233" s="372"/>
      <c r="CV233" s="203">
        <f t="shared" si="25"/>
        <v>0</v>
      </c>
      <c r="CW233" s="372"/>
      <c r="CX233" s="372"/>
      <c r="CY233" s="372">
        <f>Roles!$D$7</f>
        <v>0.12</v>
      </c>
      <c r="CZ233" s="372"/>
      <c r="DA233" s="203">
        <f t="shared" si="26"/>
        <v>0</v>
      </c>
      <c r="DB233" s="372"/>
      <c r="DC233" s="372"/>
      <c r="DD233" s="372">
        <f>Roles!$D$7</f>
        <v>0.12</v>
      </c>
      <c r="DE233" s="372"/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 t="shared" si="1"/>
        <v>2</v>
      </c>
      <c r="F234" s="80">
        <v>10.0</v>
      </c>
      <c r="G234" s="105">
        <f t="shared" si="2"/>
        <v>0.008613264427</v>
      </c>
      <c r="H234" s="47">
        <f t="shared" ref="H234:H238" si="219">H233+G234</f>
        <v>0.9913867356</v>
      </c>
      <c r="I234" s="231">
        <f t="shared" si="217"/>
        <v>0</v>
      </c>
      <c r="J234" s="172">
        <f t="shared" ref="J234:J238" si="220">J233+I234</f>
        <v>1138</v>
      </c>
      <c r="K234" s="115">
        <f t="shared" si="3"/>
        <v>1</v>
      </c>
      <c r="L234" s="232">
        <f t="shared" si="218"/>
        <v>0</v>
      </c>
      <c r="M234" s="172">
        <f t="shared" ref="M234:M238" si="221">M233+L234</f>
        <v>500.72</v>
      </c>
      <c r="N234" s="7"/>
      <c r="O234" s="203">
        <f t="shared" si="7"/>
        <v>0</v>
      </c>
      <c r="P234" s="378">
        <v>0.0</v>
      </c>
      <c r="Q234" s="372"/>
      <c r="R234" s="372">
        <f>Roles!$D$5</f>
        <v>0.44</v>
      </c>
      <c r="S234" s="372">
        <f t="shared" si="8"/>
        <v>0</v>
      </c>
      <c r="T234" s="203">
        <f t="shared" si="9"/>
        <v>0</v>
      </c>
      <c r="U234" s="372"/>
      <c r="V234" s="372"/>
      <c r="W234" s="372">
        <f>Roles!$D$7</f>
        <v>0.12</v>
      </c>
      <c r="X234" s="372"/>
      <c r="Y234" s="203">
        <f t="shared" si="10"/>
        <v>0</v>
      </c>
      <c r="Z234" s="372"/>
      <c r="AA234" s="372"/>
      <c r="AB234" s="372">
        <f>Roles!$D$7</f>
        <v>0.12</v>
      </c>
      <c r="AC234" s="372"/>
      <c r="AD234" s="203">
        <f t="shared" si="11"/>
        <v>0</v>
      </c>
      <c r="AE234" s="372"/>
      <c r="AF234" s="372"/>
      <c r="AG234" s="372">
        <f>Roles!$D$7</f>
        <v>0.12</v>
      </c>
      <c r="AH234" s="372"/>
      <c r="AI234" s="203">
        <f t="shared" si="12"/>
        <v>0</v>
      </c>
      <c r="AJ234" s="372"/>
      <c r="AK234" s="372"/>
      <c r="AL234" s="372">
        <f>Roles!$D$7</f>
        <v>0.12</v>
      </c>
      <c r="AM234" s="372"/>
      <c r="AN234" s="203">
        <f t="shared" si="13"/>
        <v>0</v>
      </c>
      <c r="AO234" s="372"/>
      <c r="AP234" s="372"/>
      <c r="AQ234" s="372">
        <f>Roles!$D$7</f>
        <v>0.12</v>
      </c>
      <c r="AR234" s="372"/>
      <c r="AS234" s="203">
        <f t="shared" si="14"/>
        <v>0</v>
      </c>
      <c r="AT234" s="372"/>
      <c r="AU234" s="372"/>
      <c r="AV234" s="372">
        <f>Roles!$D$7</f>
        <v>0.12</v>
      </c>
      <c r="AW234" s="372"/>
      <c r="AX234" s="203">
        <f t="shared" si="15"/>
        <v>0</v>
      </c>
      <c r="AY234" s="372"/>
      <c r="AZ234" s="372"/>
      <c r="BA234" s="372">
        <f>Roles!$D$7</f>
        <v>0.12</v>
      </c>
      <c r="BB234" s="372"/>
      <c r="BC234" s="203">
        <f t="shared" si="16"/>
        <v>0</v>
      </c>
      <c r="BD234" s="372"/>
      <c r="BE234" s="372"/>
      <c r="BF234" s="372">
        <f>Roles!$D$7</f>
        <v>0.12</v>
      </c>
      <c r="BG234" s="372"/>
      <c r="BH234" s="203">
        <f t="shared" si="17"/>
        <v>0</v>
      </c>
      <c r="BI234" s="372"/>
      <c r="BJ234" s="372"/>
      <c r="BK234" s="372">
        <f>Roles!$D$7</f>
        <v>0.12</v>
      </c>
      <c r="BL234" s="372"/>
      <c r="BM234" s="203">
        <f t="shared" si="18"/>
        <v>0</v>
      </c>
      <c r="BN234" s="372"/>
      <c r="BO234" s="372"/>
      <c r="BP234" s="372">
        <f>Roles!$D$7</f>
        <v>0.12</v>
      </c>
      <c r="BQ234" s="372"/>
      <c r="BR234" s="203">
        <f t="shared" si="19"/>
        <v>0</v>
      </c>
      <c r="BS234" s="372"/>
      <c r="BT234" s="372"/>
      <c r="BU234" s="372">
        <f>Roles!$D$7</f>
        <v>0.12</v>
      </c>
      <c r="BV234" s="372"/>
      <c r="BW234" s="203">
        <f t="shared" si="20"/>
        <v>0</v>
      </c>
      <c r="BX234" s="372"/>
      <c r="BY234" s="372"/>
      <c r="BZ234" s="372">
        <f>Roles!$D$7</f>
        <v>0.12</v>
      </c>
      <c r="CA234" s="372"/>
      <c r="CB234" s="203">
        <f t="shared" si="21"/>
        <v>0</v>
      </c>
      <c r="CC234" s="372"/>
      <c r="CD234" s="372"/>
      <c r="CE234" s="372">
        <f>Roles!$D$7</f>
        <v>0.12</v>
      </c>
      <c r="CF234" s="372"/>
      <c r="CG234" s="203">
        <f t="shared" si="22"/>
        <v>0</v>
      </c>
      <c r="CH234" s="372"/>
      <c r="CI234" s="372"/>
      <c r="CJ234" s="372">
        <f>Roles!$D$7</f>
        <v>0.12</v>
      </c>
      <c r="CK234" s="372"/>
      <c r="CL234" s="203">
        <f t="shared" si="23"/>
        <v>0</v>
      </c>
      <c r="CM234" s="372"/>
      <c r="CN234" s="372"/>
      <c r="CO234" s="372">
        <f>Roles!$D$7</f>
        <v>0.12</v>
      </c>
      <c r="CP234" s="372"/>
      <c r="CQ234" s="203">
        <f t="shared" si="24"/>
        <v>0</v>
      </c>
      <c r="CR234" s="372"/>
      <c r="CS234" s="372"/>
      <c r="CT234" s="372">
        <f>Roles!$D$7</f>
        <v>0.12</v>
      </c>
      <c r="CU234" s="372"/>
      <c r="CV234" s="203">
        <f t="shared" si="25"/>
        <v>0</v>
      </c>
      <c r="CW234" s="372"/>
      <c r="CX234" s="372"/>
      <c r="CY234" s="372">
        <f>Roles!$D$7</f>
        <v>0.12</v>
      </c>
      <c r="CZ234" s="372"/>
      <c r="DA234" s="203">
        <f t="shared" si="26"/>
        <v>0</v>
      </c>
      <c r="DB234" s="372"/>
      <c r="DC234" s="372"/>
      <c r="DD234" s="372">
        <f>Roles!$D$7</f>
        <v>0.12</v>
      </c>
      <c r="DE234" s="372"/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 t="shared" si="1"/>
        <v>1</v>
      </c>
      <c r="F235" s="80">
        <v>2.0</v>
      </c>
      <c r="G235" s="105">
        <f t="shared" si="2"/>
        <v>0.001722652885</v>
      </c>
      <c r="H235" s="47">
        <f t="shared" si="219"/>
        <v>0.9931093885</v>
      </c>
      <c r="I235" s="231">
        <f t="shared" si="217"/>
        <v>0</v>
      </c>
      <c r="J235" s="172">
        <f t="shared" si="220"/>
        <v>1138</v>
      </c>
      <c r="K235" s="115">
        <f t="shared" si="3"/>
        <v>1</v>
      </c>
      <c r="L235" s="232">
        <f t="shared" si="218"/>
        <v>0</v>
      </c>
      <c r="M235" s="172">
        <f t="shared" si="221"/>
        <v>500.72</v>
      </c>
      <c r="N235" s="7"/>
      <c r="O235" s="203">
        <f t="shared" si="7"/>
        <v>0</v>
      </c>
      <c r="P235" s="378">
        <v>0.0</v>
      </c>
      <c r="Q235" s="372"/>
      <c r="R235" s="372">
        <f>Roles!$D$5</f>
        <v>0.44</v>
      </c>
      <c r="S235" s="372">
        <f t="shared" si="8"/>
        <v>0</v>
      </c>
      <c r="T235" s="203">
        <f t="shared" si="9"/>
        <v>0</v>
      </c>
      <c r="U235" s="372"/>
      <c r="V235" s="372"/>
      <c r="W235" s="372">
        <f>Roles!$D$7</f>
        <v>0.12</v>
      </c>
      <c r="X235" s="372"/>
      <c r="Y235" s="203">
        <f t="shared" si="10"/>
        <v>0</v>
      </c>
      <c r="Z235" s="372"/>
      <c r="AA235" s="372"/>
      <c r="AB235" s="372">
        <f>Roles!$D$7</f>
        <v>0.12</v>
      </c>
      <c r="AC235" s="372"/>
      <c r="AD235" s="203">
        <f t="shared" si="11"/>
        <v>0</v>
      </c>
      <c r="AE235" s="372"/>
      <c r="AF235" s="372"/>
      <c r="AG235" s="372">
        <f>Roles!$D$7</f>
        <v>0.12</v>
      </c>
      <c r="AH235" s="372"/>
      <c r="AI235" s="203">
        <f t="shared" si="12"/>
        <v>0</v>
      </c>
      <c r="AJ235" s="372"/>
      <c r="AK235" s="372"/>
      <c r="AL235" s="372">
        <f>Roles!$D$7</f>
        <v>0.12</v>
      </c>
      <c r="AM235" s="372"/>
      <c r="AN235" s="203">
        <f t="shared" si="13"/>
        <v>0</v>
      </c>
      <c r="AO235" s="372"/>
      <c r="AP235" s="372"/>
      <c r="AQ235" s="372">
        <f>Roles!$D$7</f>
        <v>0.12</v>
      </c>
      <c r="AR235" s="372"/>
      <c r="AS235" s="203">
        <f t="shared" si="14"/>
        <v>0</v>
      </c>
      <c r="AT235" s="372"/>
      <c r="AU235" s="372"/>
      <c r="AV235" s="372">
        <f>Roles!$D$7</f>
        <v>0.12</v>
      </c>
      <c r="AW235" s="372"/>
      <c r="AX235" s="203">
        <f t="shared" si="15"/>
        <v>0</v>
      </c>
      <c r="AY235" s="372"/>
      <c r="AZ235" s="372"/>
      <c r="BA235" s="372">
        <f>Roles!$D$7</f>
        <v>0.12</v>
      </c>
      <c r="BB235" s="372"/>
      <c r="BC235" s="203">
        <f t="shared" si="16"/>
        <v>0</v>
      </c>
      <c r="BD235" s="372"/>
      <c r="BE235" s="372"/>
      <c r="BF235" s="372">
        <f>Roles!$D$7</f>
        <v>0.12</v>
      </c>
      <c r="BG235" s="372"/>
      <c r="BH235" s="203">
        <f t="shared" si="17"/>
        <v>0</v>
      </c>
      <c r="BI235" s="372"/>
      <c r="BJ235" s="372"/>
      <c r="BK235" s="372">
        <f>Roles!$D$7</f>
        <v>0.12</v>
      </c>
      <c r="BL235" s="372"/>
      <c r="BM235" s="203">
        <f t="shared" si="18"/>
        <v>0</v>
      </c>
      <c r="BN235" s="372"/>
      <c r="BO235" s="372"/>
      <c r="BP235" s="372">
        <f>Roles!$D$7</f>
        <v>0.12</v>
      </c>
      <c r="BQ235" s="372"/>
      <c r="BR235" s="203">
        <f t="shared" si="19"/>
        <v>0</v>
      </c>
      <c r="BS235" s="372"/>
      <c r="BT235" s="372"/>
      <c r="BU235" s="372">
        <f>Roles!$D$7</f>
        <v>0.12</v>
      </c>
      <c r="BV235" s="372"/>
      <c r="BW235" s="203">
        <f t="shared" si="20"/>
        <v>0</v>
      </c>
      <c r="BX235" s="372"/>
      <c r="BY235" s="372"/>
      <c r="BZ235" s="372">
        <f>Roles!$D$7</f>
        <v>0.12</v>
      </c>
      <c r="CA235" s="372"/>
      <c r="CB235" s="203">
        <f t="shared" si="21"/>
        <v>0</v>
      </c>
      <c r="CC235" s="372"/>
      <c r="CD235" s="372"/>
      <c r="CE235" s="372">
        <f>Roles!$D$7</f>
        <v>0.12</v>
      </c>
      <c r="CF235" s="372"/>
      <c r="CG235" s="203">
        <f t="shared" si="22"/>
        <v>0</v>
      </c>
      <c r="CH235" s="372"/>
      <c r="CI235" s="372"/>
      <c r="CJ235" s="372">
        <f>Roles!$D$7</f>
        <v>0.12</v>
      </c>
      <c r="CK235" s="372"/>
      <c r="CL235" s="203">
        <f t="shared" si="23"/>
        <v>0</v>
      </c>
      <c r="CM235" s="372"/>
      <c r="CN235" s="372"/>
      <c r="CO235" s="372">
        <f>Roles!$D$7</f>
        <v>0.12</v>
      </c>
      <c r="CP235" s="372"/>
      <c r="CQ235" s="203">
        <f t="shared" si="24"/>
        <v>0</v>
      </c>
      <c r="CR235" s="372"/>
      <c r="CS235" s="372"/>
      <c r="CT235" s="372">
        <f>Roles!$D$7</f>
        <v>0.12</v>
      </c>
      <c r="CU235" s="372"/>
      <c r="CV235" s="203">
        <f t="shared" si="25"/>
        <v>0</v>
      </c>
      <c r="CW235" s="372"/>
      <c r="CX235" s="372"/>
      <c r="CY235" s="372">
        <f>Roles!$D$7</f>
        <v>0.12</v>
      </c>
      <c r="CZ235" s="372"/>
      <c r="DA235" s="203">
        <f t="shared" si="26"/>
        <v>0</v>
      </c>
      <c r="DB235" s="372"/>
      <c r="DC235" s="372"/>
      <c r="DD235" s="372">
        <f>Roles!$D$7</f>
        <v>0.12</v>
      </c>
      <c r="DE235" s="372"/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 t="shared" si="1"/>
        <v>2</v>
      </c>
      <c r="F236" s="80">
        <v>3.0</v>
      </c>
      <c r="G236" s="105">
        <f t="shared" si="2"/>
        <v>0.002583979328</v>
      </c>
      <c r="H236" s="47">
        <f t="shared" si="219"/>
        <v>0.9956933678</v>
      </c>
      <c r="I236" s="231">
        <f t="shared" si="217"/>
        <v>0</v>
      </c>
      <c r="J236" s="172">
        <f t="shared" si="220"/>
        <v>1138</v>
      </c>
      <c r="K236" s="115">
        <f t="shared" si="3"/>
        <v>1</v>
      </c>
      <c r="L236" s="232">
        <f t="shared" si="218"/>
        <v>0</v>
      </c>
      <c r="M236" s="172">
        <f t="shared" si="221"/>
        <v>500.72</v>
      </c>
      <c r="N236" s="7"/>
      <c r="O236" s="203">
        <f t="shared" si="7"/>
        <v>0</v>
      </c>
      <c r="P236" s="378">
        <v>0.0</v>
      </c>
      <c r="Q236" s="372"/>
      <c r="R236" s="372">
        <f>Roles!$D$5</f>
        <v>0.44</v>
      </c>
      <c r="S236" s="372">
        <f t="shared" si="8"/>
        <v>0</v>
      </c>
      <c r="T236" s="203">
        <f t="shared" si="9"/>
        <v>0</v>
      </c>
      <c r="U236" s="372"/>
      <c r="V236" s="372"/>
      <c r="W236" s="372">
        <f>Roles!$D$7</f>
        <v>0.12</v>
      </c>
      <c r="X236" s="372"/>
      <c r="Y236" s="203">
        <f t="shared" si="10"/>
        <v>0</v>
      </c>
      <c r="Z236" s="372"/>
      <c r="AA236" s="372"/>
      <c r="AB236" s="372">
        <f>Roles!$D$7</f>
        <v>0.12</v>
      </c>
      <c r="AC236" s="372"/>
      <c r="AD236" s="203">
        <f t="shared" si="11"/>
        <v>0</v>
      </c>
      <c r="AE236" s="372"/>
      <c r="AF236" s="372"/>
      <c r="AG236" s="372">
        <f>Roles!$D$7</f>
        <v>0.12</v>
      </c>
      <c r="AH236" s="372"/>
      <c r="AI236" s="203">
        <f t="shared" si="12"/>
        <v>0</v>
      </c>
      <c r="AJ236" s="372"/>
      <c r="AK236" s="372"/>
      <c r="AL236" s="372">
        <f>Roles!$D$7</f>
        <v>0.12</v>
      </c>
      <c r="AM236" s="372"/>
      <c r="AN236" s="203">
        <f t="shared" si="13"/>
        <v>0</v>
      </c>
      <c r="AO236" s="372"/>
      <c r="AP236" s="372"/>
      <c r="AQ236" s="372">
        <f>Roles!$D$7</f>
        <v>0.12</v>
      </c>
      <c r="AR236" s="372"/>
      <c r="AS236" s="203">
        <f t="shared" si="14"/>
        <v>0</v>
      </c>
      <c r="AT236" s="372"/>
      <c r="AU236" s="372"/>
      <c r="AV236" s="372">
        <f>Roles!$D$7</f>
        <v>0.12</v>
      </c>
      <c r="AW236" s="372"/>
      <c r="AX236" s="203">
        <f t="shared" si="15"/>
        <v>0</v>
      </c>
      <c r="AY236" s="372"/>
      <c r="AZ236" s="372"/>
      <c r="BA236" s="372">
        <f>Roles!$D$7</f>
        <v>0.12</v>
      </c>
      <c r="BB236" s="372"/>
      <c r="BC236" s="203">
        <f t="shared" si="16"/>
        <v>0</v>
      </c>
      <c r="BD236" s="372"/>
      <c r="BE236" s="372"/>
      <c r="BF236" s="372">
        <f>Roles!$D$7</f>
        <v>0.12</v>
      </c>
      <c r="BG236" s="372"/>
      <c r="BH236" s="203">
        <f t="shared" si="17"/>
        <v>0</v>
      </c>
      <c r="BI236" s="372"/>
      <c r="BJ236" s="372"/>
      <c r="BK236" s="372">
        <f>Roles!$D$7</f>
        <v>0.12</v>
      </c>
      <c r="BL236" s="372"/>
      <c r="BM236" s="203">
        <f t="shared" si="18"/>
        <v>0</v>
      </c>
      <c r="BN236" s="372"/>
      <c r="BO236" s="372"/>
      <c r="BP236" s="372">
        <f>Roles!$D$7</f>
        <v>0.12</v>
      </c>
      <c r="BQ236" s="372"/>
      <c r="BR236" s="203">
        <f t="shared" si="19"/>
        <v>0</v>
      </c>
      <c r="BS236" s="372"/>
      <c r="BT236" s="372"/>
      <c r="BU236" s="372">
        <f>Roles!$D$7</f>
        <v>0.12</v>
      </c>
      <c r="BV236" s="372"/>
      <c r="BW236" s="203">
        <f t="shared" si="20"/>
        <v>0</v>
      </c>
      <c r="BX236" s="372"/>
      <c r="BY236" s="372"/>
      <c r="BZ236" s="372">
        <f>Roles!$D$7</f>
        <v>0.12</v>
      </c>
      <c r="CA236" s="372"/>
      <c r="CB236" s="203">
        <f t="shared" si="21"/>
        <v>0</v>
      </c>
      <c r="CC236" s="372"/>
      <c r="CD236" s="372"/>
      <c r="CE236" s="372">
        <f>Roles!$D$7</f>
        <v>0.12</v>
      </c>
      <c r="CF236" s="372"/>
      <c r="CG236" s="203">
        <f t="shared" si="22"/>
        <v>0</v>
      </c>
      <c r="CH236" s="372"/>
      <c r="CI236" s="372"/>
      <c r="CJ236" s="372">
        <f>Roles!$D$7</f>
        <v>0.12</v>
      </c>
      <c r="CK236" s="372"/>
      <c r="CL236" s="203">
        <f t="shared" si="23"/>
        <v>0</v>
      </c>
      <c r="CM236" s="372"/>
      <c r="CN236" s="372"/>
      <c r="CO236" s="372">
        <f>Roles!$D$7</f>
        <v>0.12</v>
      </c>
      <c r="CP236" s="372"/>
      <c r="CQ236" s="203">
        <f t="shared" si="24"/>
        <v>0</v>
      </c>
      <c r="CR236" s="372"/>
      <c r="CS236" s="372"/>
      <c r="CT236" s="372">
        <f>Roles!$D$7</f>
        <v>0.12</v>
      </c>
      <c r="CU236" s="372"/>
      <c r="CV236" s="203">
        <f t="shared" si="25"/>
        <v>0</v>
      </c>
      <c r="CW236" s="372"/>
      <c r="CX236" s="372"/>
      <c r="CY236" s="372">
        <f>Roles!$D$7</f>
        <v>0.12</v>
      </c>
      <c r="CZ236" s="372"/>
      <c r="DA236" s="203">
        <f t="shared" si="26"/>
        <v>0</v>
      </c>
      <c r="DB236" s="372"/>
      <c r="DC236" s="372"/>
      <c r="DD236" s="372">
        <f>Roles!$D$7</f>
        <v>0.12</v>
      </c>
      <c r="DE236" s="372"/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 t="shared" si="1"/>
        <v>1</v>
      </c>
      <c r="F237" s="80">
        <v>5.0</v>
      </c>
      <c r="G237" s="105">
        <f t="shared" si="2"/>
        <v>0.004306632214</v>
      </c>
      <c r="H237" s="47">
        <f t="shared" si="219"/>
        <v>1</v>
      </c>
      <c r="I237" s="231">
        <f t="shared" si="217"/>
        <v>0</v>
      </c>
      <c r="J237" s="172">
        <f t="shared" si="220"/>
        <v>1138</v>
      </c>
      <c r="K237" s="115">
        <f t="shared" si="3"/>
        <v>1</v>
      </c>
      <c r="L237" s="232">
        <f t="shared" si="218"/>
        <v>0</v>
      </c>
      <c r="M237" s="172">
        <f t="shared" si="221"/>
        <v>500.72</v>
      </c>
      <c r="N237" s="7"/>
      <c r="O237" s="203">
        <f t="shared" si="7"/>
        <v>0</v>
      </c>
      <c r="P237" s="378">
        <v>0.0</v>
      </c>
      <c r="Q237" s="372"/>
      <c r="R237" s="372">
        <f>Roles!$D$5</f>
        <v>0.44</v>
      </c>
      <c r="S237" s="372">
        <f t="shared" si="8"/>
        <v>0</v>
      </c>
      <c r="T237" s="203">
        <f t="shared" si="9"/>
        <v>0</v>
      </c>
      <c r="U237" s="372"/>
      <c r="V237" s="372"/>
      <c r="W237" s="372">
        <f>Roles!$D$7</f>
        <v>0.12</v>
      </c>
      <c r="X237" s="372"/>
      <c r="Y237" s="203">
        <f t="shared" si="10"/>
        <v>0</v>
      </c>
      <c r="Z237" s="372"/>
      <c r="AA237" s="372"/>
      <c r="AB237" s="372">
        <f>Roles!$D$7</f>
        <v>0.12</v>
      </c>
      <c r="AC237" s="372"/>
      <c r="AD237" s="203">
        <f t="shared" si="11"/>
        <v>0</v>
      </c>
      <c r="AE237" s="372"/>
      <c r="AF237" s="372"/>
      <c r="AG237" s="372">
        <f>Roles!$D$7</f>
        <v>0.12</v>
      </c>
      <c r="AH237" s="372"/>
      <c r="AI237" s="203">
        <f t="shared" si="12"/>
        <v>0</v>
      </c>
      <c r="AJ237" s="372"/>
      <c r="AK237" s="372"/>
      <c r="AL237" s="372">
        <f>Roles!$D$7</f>
        <v>0.12</v>
      </c>
      <c r="AM237" s="372"/>
      <c r="AN237" s="203">
        <f t="shared" si="13"/>
        <v>0</v>
      </c>
      <c r="AO237" s="372"/>
      <c r="AP237" s="372"/>
      <c r="AQ237" s="372">
        <f>Roles!$D$7</f>
        <v>0.12</v>
      </c>
      <c r="AR237" s="372"/>
      <c r="AS237" s="203">
        <f t="shared" si="14"/>
        <v>0</v>
      </c>
      <c r="AT237" s="372"/>
      <c r="AU237" s="372"/>
      <c r="AV237" s="372">
        <f>Roles!$D$7</f>
        <v>0.12</v>
      </c>
      <c r="AW237" s="372"/>
      <c r="AX237" s="203">
        <f t="shared" si="15"/>
        <v>0</v>
      </c>
      <c r="AY237" s="372"/>
      <c r="AZ237" s="372"/>
      <c r="BA237" s="372">
        <f>Roles!$D$7</f>
        <v>0.12</v>
      </c>
      <c r="BB237" s="372"/>
      <c r="BC237" s="203">
        <f t="shared" si="16"/>
        <v>0</v>
      </c>
      <c r="BD237" s="372"/>
      <c r="BE237" s="372"/>
      <c r="BF237" s="372">
        <f>Roles!$D$7</f>
        <v>0.12</v>
      </c>
      <c r="BG237" s="372"/>
      <c r="BH237" s="203">
        <f t="shared" si="17"/>
        <v>0</v>
      </c>
      <c r="BI237" s="372"/>
      <c r="BJ237" s="372"/>
      <c r="BK237" s="372">
        <f>Roles!$D$7</f>
        <v>0.12</v>
      </c>
      <c r="BL237" s="372"/>
      <c r="BM237" s="203">
        <f t="shared" si="18"/>
        <v>0</v>
      </c>
      <c r="BN237" s="372"/>
      <c r="BO237" s="372"/>
      <c r="BP237" s="372">
        <f>Roles!$D$7</f>
        <v>0.12</v>
      </c>
      <c r="BQ237" s="372"/>
      <c r="BR237" s="203">
        <f t="shared" si="19"/>
        <v>0</v>
      </c>
      <c r="BS237" s="372"/>
      <c r="BT237" s="372"/>
      <c r="BU237" s="372">
        <f>Roles!$D$7</f>
        <v>0.12</v>
      </c>
      <c r="BV237" s="372"/>
      <c r="BW237" s="203">
        <f t="shared" si="20"/>
        <v>0</v>
      </c>
      <c r="BX237" s="372"/>
      <c r="BY237" s="372"/>
      <c r="BZ237" s="372">
        <f>Roles!$D$7</f>
        <v>0.12</v>
      </c>
      <c r="CA237" s="372"/>
      <c r="CB237" s="203">
        <f t="shared" si="21"/>
        <v>0</v>
      </c>
      <c r="CC237" s="372"/>
      <c r="CD237" s="372"/>
      <c r="CE237" s="372">
        <f>Roles!$D$7</f>
        <v>0.12</v>
      </c>
      <c r="CF237" s="372"/>
      <c r="CG237" s="203">
        <f t="shared" si="22"/>
        <v>0</v>
      </c>
      <c r="CH237" s="372"/>
      <c r="CI237" s="372"/>
      <c r="CJ237" s="372">
        <f>Roles!$D$7</f>
        <v>0.12</v>
      </c>
      <c r="CK237" s="372"/>
      <c r="CL237" s="203">
        <f t="shared" si="23"/>
        <v>0</v>
      </c>
      <c r="CM237" s="372"/>
      <c r="CN237" s="372"/>
      <c r="CO237" s="372">
        <f>Roles!$D$7</f>
        <v>0.12</v>
      </c>
      <c r="CP237" s="372"/>
      <c r="CQ237" s="203">
        <f t="shared" si="24"/>
        <v>0</v>
      </c>
      <c r="CR237" s="372"/>
      <c r="CS237" s="372"/>
      <c r="CT237" s="372">
        <f>Roles!$D$7</f>
        <v>0.12</v>
      </c>
      <c r="CU237" s="372"/>
      <c r="CV237" s="203">
        <f t="shared" si="25"/>
        <v>0</v>
      </c>
      <c r="CW237" s="372"/>
      <c r="CX237" s="372"/>
      <c r="CY237" s="372">
        <f>Roles!$D$7</f>
        <v>0.12</v>
      </c>
      <c r="CZ237" s="372"/>
      <c r="DA237" s="203">
        <f t="shared" si="26"/>
        <v>0</v>
      </c>
      <c r="DB237" s="372"/>
      <c r="DC237" s="372"/>
      <c r="DD237" s="372">
        <f>Roles!$D$7</f>
        <v>0.12</v>
      </c>
      <c r="DE237" s="372"/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 t="shared" si="1"/>
        <v>1</v>
      </c>
      <c r="F238" s="136">
        <v>0.0</v>
      </c>
      <c r="G238" s="105">
        <f t="shared" si="2"/>
        <v>0</v>
      </c>
      <c r="H238" s="115">
        <f t="shared" si="219"/>
        <v>1</v>
      </c>
      <c r="I238" s="110">
        <f>F238</f>
        <v>0</v>
      </c>
      <c r="J238" s="110">
        <f t="shared" si="220"/>
        <v>1138</v>
      </c>
      <c r="K238" s="115">
        <f t="shared" si="3"/>
        <v>1</v>
      </c>
      <c r="L238" s="110">
        <v>0.0</v>
      </c>
      <c r="M238" s="110">
        <f t="shared" si="221"/>
        <v>500.72</v>
      </c>
      <c r="N238" s="7"/>
      <c r="O238" s="203" t="str">
        <f t="shared" si="7"/>
        <v>#DIV/0!</v>
      </c>
      <c r="P238" s="372"/>
      <c r="Q238" s="372"/>
      <c r="R238" s="372">
        <f>Roles!$D$5</f>
        <v>0.44</v>
      </c>
      <c r="S238" s="372">
        <f t="shared" si="8"/>
        <v>0</v>
      </c>
      <c r="T238" s="203" t="str">
        <f t="shared" si="9"/>
        <v>#DIV/0!</v>
      </c>
      <c r="U238" s="372"/>
      <c r="V238" s="372"/>
      <c r="W238" s="372">
        <f>Roles!$D$7</f>
        <v>0.12</v>
      </c>
      <c r="X238" s="372"/>
      <c r="Y238" s="203" t="str">
        <f t="shared" si="10"/>
        <v>#DIV/0!</v>
      </c>
      <c r="Z238" s="372"/>
      <c r="AA238" s="372"/>
      <c r="AB238" s="372">
        <f>Roles!$D$7</f>
        <v>0.12</v>
      </c>
      <c r="AC238" s="372"/>
      <c r="AD238" s="203" t="str">
        <f t="shared" si="11"/>
        <v>#DIV/0!</v>
      </c>
      <c r="AE238" s="372"/>
      <c r="AF238" s="372"/>
      <c r="AG238" s="372">
        <f>Roles!$D$7</f>
        <v>0.12</v>
      </c>
      <c r="AH238" s="372"/>
      <c r="AI238" s="203" t="str">
        <f t="shared" si="12"/>
        <v>#DIV/0!</v>
      </c>
      <c r="AJ238" s="372"/>
      <c r="AK238" s="372"/>
      <c r="AL238" s="372">
        <f>Roles!$D$7</f>
        <v>0.12</v>
      </c>
      <c r="AM238" s="372"/>
      <c r="AN238" s="203" t="str">
        <f t="shared" si="13"/>
        <v>#DIV/0!</v>
      </c>
      <c r="AO238" s="372"/>
      <c r="AP238" s="372"/>
      <c r="AQ238" s="372">
        <f>Roles!$D$7</f>
        <v>0.12</v>
      </c>
      <c r="AR238" s="372"/>
      <c r="AS238" s="203" t="str">
        <f t="shared" si="14"/>
        <v>#DIV/0!</v>
      </c>
      <c r="AT238" s="372"/>
      <c r="AU238" s="372"/>
      <c r="AV238" s="372">
        <f>Roles!$D$7</f>
        <v>0.12</v>
      </c>
      <c r="AW238" s="372"/>
      <c r="AX238" s="203" t="str">
        <f t="shared" si="15"/>
        <v>#DIV/0!</v>
      </c>
      <c r="AY238" s="372"/>
      <c r="AZ238" s="372"/>
      <c r="BA238" s="372">
        <f>Roles!$D$7</f>
        <v>0.12</v>
      </c>
      <c r="BB238" s="372"/>
      <c r="BC238" s="203" t="str">
        <f t="shared" si="16"/>
        <v>#DIV/0!</v>
      </c>
      <c r="BD238" s="372"/>
      <c r="BE238" s="372"/>
      <c r="BF238" s="372">
        <f>Roles!$D$7</f>
        <v>0.12</v>
      </c>
      <c r="BG238" s="372"/>
      <c r="BH238" s="203" t="str">
        <f t="shared" si="17"/>
        <v>#DIV/0!</v>
      </c>
      <c r="BI238" s="372"/>
      <c r="BJ238" s="372"/>
      <c r="BK238" s="372">
        <f>Roles!$D$7</f>
        <v>0.12</v>
      </c>
      <c r="BL238" s="372"/>
      <c r="BM238" s="203" t="str">
        <f t="shared" si="18"/>
        <v>#DIV/0!</v>
      </c>
      <c r="BN238" s="372"/>
      <c r="BO238" s="372"/>
      <c r="BP238" s="372">
        <f>Roles!$D$7</f>
        <v>0.12</v>
      </c>
      <c r="BQ238" s="372"/>
      <c r="BR238" s="203" t="str">
        <f t="shared" si="19"/>
        <v>#DIV/0!</v>
      </c>
      <c r="BS238" s="372"/>
      <c r="BT238" s="372"/>
      <c r="BU238" s="372">
        <f>Roles!$D$7</f>
        <v>0.12</v>
      </c>
      <c r="BV238" s="372"/>
      <c r="BW238" s="203" t="str">
        <f t="shared" si="20"/>
        <v>#DIV/0!</v>
      </c>
      <c r="BX238" s="372"/>
      <c r="BY238" s="372"/>
      <c r="BZ238" s="372">
        <f>Roles!$D$7</f>
        <v>0.12</v>
      </c>
      <c r="CA238" s="372"/>
      <c r="CB238" s="203" t="str">
        <f t="shared" si="21"/>
        <v>#DIV/0!</v>
      </c>
      <c r="CC238" s="372"/>
      <c r="CD238" s="372"/>
      <c r="CE238" s="372">
        <f>Roles!$D$7</f>
        <v>0.12</v>
      </c>
      <c r="CF238" s="372"/>
      <c r="CG238" s="203" t="str">
        <f t="shared" si="22"/>
        <v>#DIV/0!</v>
      </c>
      <c r="CH238" s="372"/>
      <c r="CI238" s="372"/>
      <c r="CJ238" s="372">
        <f>Roles!$D$7</f>
        <v>0.12</v>
      </c>
      <c r="CK238" s="372"/>
      <c r="CL238" s="203" t="str">
        <f t="shared" si="23"/>
        <v>#DIV/0!</v>
      </c>
      <c r="CM238" s="372"/>
      <c r="CN238" s="372"/>
      <c r="CO238" s="372">
        <f>Roles!$D$7</f>
        <v>0.12</v>
      </c>
      <c r="CP238" s="372"/>
      <c r="CQ238" s="203" t="str">
        <f t="shared" si="24"/>
        <v>#DIV/0!</v>
      </c>
      <c r="CR238" s="372"/>
      <c r="CS238" s="372"/>
      <c r="CT238" s="372">
        <f>Roles!$D$7</f>
        <v>0.12</v>
      </c>
      <c r="CU238" s="372"/>
      <c r="CV238" s="203" t="str">
        <f t="shared" si="25"/>
        <v>#DIV/0!</v>
      </c>
      <c r="CW238" s="372"/>
      <c r="CX238" s="372"/>
      <c r="CY238" s="372">
        <f>Roles!$D$7</f>
        <v>0.12</v>
      </c>
      <c r="CZ238" s="372"/>
      <c r="DA238" s="203" t="str">
        <f t="shared" si="26"/>
        <v>#DIV/0!</v>
      </c>
      <c r="DB238" s="372"/>
      <c r="DC238" s="372"/>
      <c r="DD238" s="372">
        <f>Roles!$D$7</f>
        <v>0.12</v>
      </c>
      <c r="DE238" s="372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1138</v>
      </c>
      <c r="J239" s="7"/>
      <c r="K239" s="7"/>
      <c r="L239" s="329">
        <f>L5+L30+L80+L146+L186+L213</f>
        <v>500.72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</row>
  </sheetData>
  <mergeCells count="29">
    <mergeCell ref="AD1:AH2"/>
    <mergeCell ref="AI1:AM2"/>
    <mergeCell ref="AN1:AR2"/>
    <mergeCell ref="AS1:AW2"/>
    <mergeCell ref="AX1:BB2"/>
    <mergeCell ref="BC1:BG2"/>
    <mergeCell ref="BH1:BL2"/>
    <mergeCell ref="CV1:CZ2"/>
    <mergeCell ref="DA1:DE2"/>
    <mergeCell ref="BM1:BQ2"/>
    <mergeCell ref="BR1:BV2"/>
    <mergeCell ref="BW1:CA2"/>
    <mergeCell ref="CB1:CF2"/>
    <mergeCell ref="CG1:CK2"/>
    <mergeCell ref="CL1:CP2"/>
    <mergeCell ref="CQ1:CU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O1:S2"/>
    <mergeCell ref="T1:X2"/>
    <mergeCell ref="Y1:AC2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2.86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hidden="1" min="14" max="14" width="8.14"/>
    <col customWidth="1" min="15" max="16" width="8.71"/>
    <col customWidth="1" min="17" max="17" width="3.14"/>
    <col customWidth="1" min="18" max="18" width="9.57"/>
    <col customWidth="1" min="19" max="19" width="7.57"/>
    <col customWidth="1" min="20" max="21" width="8.71"/>
    <col customWidth="1" min="22" max="22" width="3.14"/>
    <col customWidth="1" min="23" max="23" width="9.57"/>
    <col customWidth="1" min="24" max="24" width="7.57"/>
    <col customWidth="1" min="25" max="25" width="10.86"/>
    <col customWidth="1" min="26" max="26" width="8.71"/>
    <col customWidth="1" min="27" max="27" width="3.14"/>
    <col customWidth="1" min="28" max="28" width="9.57"/>
    <col customWidth="1" min="29" max="29" width="7.57"/>
    <col customWidth="1" min="30" max="30" width="9.71"/>
    <col customWidth="1" min="31" max="31" width="8.71"/>
    <col customWidth="1" min="32" max="32" width="3.14"/>
    <col customWidth="1" min="33" max="33" width="9.57"/>
    <col customWidth="1" min="34" max="34" width="7.57"/>
    <col customWidth="1" min="35" max="35" width="9.14"/>
    <col customWidth="1" min="36" max="36" width="8.71"/>
    <col customWidth="1" min="37" max="37" width="3.14"/>
    <col customWidth="1" min="38" max="38" width="9.57"/>
    <col customWidth="1" min="39" max="39" width="7.57"/>
    <col customWidth="1" min="40" max="40" width="10.0"/>
    <col customWidth="1" min="41" max="41" width="8.71"/>
    <col customWidth="1" min="42" max="42" width="3.14"/>
    <col customWidth="1" min="43" max="43" width="9.57"/>
    <col customWidth="1" min="44" max="44" width="7.57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20"/>
      <c r="N1" s="29"/>
      <c r="O1" s="382" t="s">
        <v>676</v>
      </c>
      <c r="P1" s="325"/>
      <c r="Q1" s="325"/>
      <c r="R1" s="325"/>
      <c r="S1" s="16"/>
      <c r="T1" s="382" t="s">
        <v>677</v>
      </c>
      <c r="U1" s="325"/>
      <c r="V1" s="325"/>
      <c r="W1" s="325"/>
      <c r="X1" s="16"/>
      <c r="Y1" s="382" t="s">
        <v>678</v>
      </c>
      <c r="Z1" s="325"/>
      <c r="AA1" s="325"/>
      <c r="AB1" s="325"/>
      <c r="AC1" s="16"/>
      <c r="AD1" s="382" t="s">
        <v>679</v>
      </c>
      <c r="AE1" s="325"/>
      <c r="AF1" s="325"/>
      <c r="AG1" s="325"/>
      <c r="AH1" s="16"/>
      <c r="AI1" s="382" t="s">
        <v>680</v>
      </c>
      <c r="AJ1" s="325"/>
      <c r="AK1" s="325"/>
      <c r="AL1" s="325"/>
      <c r="AM1" s="16"/>
      <c r="AN1" s="382" t="s">
        <v>681</v>
      </c>
      <c r="AO1" s="325"/>
      <c r="AP1" s="325"/>
      <c r="AQ1" s="325"/>
      <c r="AR1" s="16"/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20"/>
      <c r="N2" s="58"/>
      <c r="O2" s="40"/>
      <c r="P2" s="45"/>
      <c r="Q2" s="45"/>
      <c r="R2" s="45"/>
      <c r="S2" s="31"/>
      <c r="T2" s="40"/>
      <c r="U2" s="45"/>
      <c r="V2" s="45"/>
      <c r="W2" s="45"/>
      <c r="X2" s="31"/>
      <c r="Y2" s="40"/>
      <c r="Z2" s="45"/>
      <c r="AA2" s="45"/>
      <c r="AB2" s="45"/>
      <c r="AC2" s="31"/>
      <c r="AD2" s="40"/>
      <c r="AE2" s="45"/>
      <c r="AF2" s="45"/>
      <c r="AG2" s="45"/>
      <c r="AH2" s="31"/>
      <c r="AI2" s="40"/>
      <c r="AJ2" s="45"/>
      <c r="AK2" s="45"/>
      <c r="AL2" s="45"/>
      <c r="AM2" s="31"/>
      <c r="AN2" s="40"/>
      <c r="AO2" s="45"/>
      <c r="AP2" s="45"/>
      <c r="AQ2" s="45"/>
      <c r="AR2" s="31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45</v>
      </c>
      <c r="J3" s="76" t="s">
        <v>43</v>
      </c>
      <c r="K3" s="76" t="s">
        <v>44</v>
      </c>
      <c r="L3" s="76" t="s">
        <v>45</v>
      </c>
      <c r="M3" s="76" t="s">
        <v>43</v>
      </c>
      <c r="N3" s="65" t="s">
        <v>44</v>
      </c>
      <c r="O3" s="383" t="s">
        <v>46</v>
      </c>
      <c r="P3" s="383" t="s">
        <v>48</v>
      </c>
      <c r="Q3" s="383" t="s">
        <v>49</v>
      </c>
      <c r="R3" s="383" t="s">
        <v>50</v>
      </c>
      <c r="S3" s="383" t="s">
        <v>32</v>
      </c>
      <c r="T3" s="383" t="s">
        <v>46</v>
      </c>
      <c r="U3" s="383" t="s">
        <v>48</v>
      </c>
      <c r="V3" s="383" t="s">
        <v>49</v>
      </c>
      <c r="W3" s="383" t="s">
        <v>50</v>
      </c>
      <c r="X3" s="383" t="s">
        <v>32</v>
      </c>
      <c r="Y3" s="383" t="s">
        <v>46</v>
      </c>
      <c r="Z3" s="383" t="s">
        <v>48</v>
      </c>
      <c r="AA3" s="383" t="s">
        <v>49</v>
      </c>
      <c r="AB3" s="383" t="s">
        <v>50</v>
      </c>
      <c r="AC3" s="383" t="s">
        <v>32</v>
      </c>
      <c r="AD3" s="383" t="s">
        <v>46</v>
      </c>
      <c r="AE3" s="383" t="s">
        <v>48</v>
      </c>
      <c r="AF3" s="383" t="s">
        <v>49</v>
      </c>
      <c r="AG3" s="383" t="s">
        <v>50</v>
      </c>
      <c r="AH3" s="383" t="s">
        <v>32</v>
      </c>
      <c r="AI3" s="383" t="s">
        <v>46</v>
      </c>
      <c r="AJ3" s="383" t="s">
        <v>48</v>
      </c>
      <c r="AK3" s="383" t="s">
        <v>49</v>
      </c>
      <c r="AL3" s="383" t="s">
        <v>50</v>
      </c>
      <c r="AM3" s="383" t="s">
        <v>32</v>
      </c>
      <c r="AN3" s="383" t="s">
        <v>46</v>
      </c>
      <c r="AO3" s="383" t="s">
        <v>48</v>
      </c>
      <c r="AP3" s="383" t="s">
        <v>49</v>
      </c>
      <c r="AQ3" s="383" t="s">
        <v>50</v>
      </c>
      <c r="AR3" s="383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 t="shared" ref="E4:E238" si="1">D4-C4+1</f>
        <v>1</v>
      </c>
      <c r="F4" s="100">
        <v>0.0</v>
      </c>
      <c r="G4" s="105">
        <f t="shared" ref="G4:G238" si="2"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 t="shared" ref="K4:K238" si="3">J4/$I$239</f>
        <v>0</v>
      </c>
      <c r="L4" s="110">
        <v>0.0</v>
      </c>
      <c r="M4" s="110">
        <f>L4</f>
        <v>0</v>
      </c>
      <c r="N4" s="105"/>
      <c r="O4" s="205"/>
      <c r="P4" s="384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205"/>
      <c r="AJ4" s="385"/>
      <c r="AK4" s="385"/>
      <c r="AL4" s="385"/>
      <c r="AM4" s="385"/>
      <c r="AN4" s="385"/>
      <c r="AO4" s="385"/>
      <c r="AP4" s="385"/>
      <c r="AQ4" s="385"/>
      <c r="AR4" s="385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 t="shared" si="1"/>
        <v>7</v>
      </c>
      <c r="F5" s="131">
        <f>F6+F10+F23</f>
        <v>58</v>
      </c>
      <c r="G5" s="105">
        <f t="shared" si="2"/>
        <v>0.04995693368</v>
      </c>
      <c r="H5" s="135">
        <f>H28</f>
        <v>0.04995693368</v>
      </c>
      <c r="I5" s="137">
        <f>I6+I10+I23</f>
        <v>12</v>
      </c>
      <c r="J5" s="137">
        <f>J28</f>
        <v>12</v>
      </c>
      <c r="K5" s="138">
        <f t="shared" si="3"/>
        <v>0.01764705882</v>
      </c>
      <c r="L5" s="137">
        <f>L6+L10+L23</f>
        <v>5.28</v>
      </c>
      <c r="M5" s="137">
        <f>M28</f>
        <v>5.28</v>
      </c>
      <c r="N5" s="138" t="str">
        <f>M5/#REF!</f>
        <v>#REF!</v>
      </c>
      <c r="O5" s="205"/>
      <c r="P5" s="386"/>
      <c r="Q5" s="387"/>
      <c r="R5" s="388"/>
      <c r="S5" s="389"/>
      <c r="T5" s="390"/>
      <c r="U5" s="390"/>
      <c r="V5" s="390"/>
      <c r="W5" s="388"/>
      <c r="X5" s="387"/>
      <c r="Y5" s="390"/>
      <c r="Z5" s="390"/>
      <c r="AA5" s="390"/>
      <c r="AB5" s="388"/>
      <c r="AC5" s="387"/>
      <c r="AD5" s="388"/>
      <c r="AE5" s="390"/>
      <c r="AF5" s="390"/>
      <c r="AG5" s="388"/>
      <c r="AH5" s="385"/>
      <c r="AI5" s="205"/>
      <c r="AJ5" s="390"/>
      <c r="AK5" s="390"/>
      <c r="AL5" s="388"/>
      <c r="AM5" s="389"/>
      <c r="AN5" s="390"/>
      <c r="AO5" s="390"/>
      <c r="AP5" s="390"/>
      <c r="AQ5" s="388"/>
      <c r="AR5" s="387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 t="shared" si="1"/>
        <v>3</v>
      </c>
      <c r="F6" s="161">
        <f>SUM(F7:F9)</f>
        <v>8</v>
      </c>
      <c r="G6" s="105">
        <f t="shared" si="2"/>
        <v>0.006890611542</v>
      </c>
      <c r="H6" s="163">
        <f>H9</f>
        <v>0.006890611542</v>
      </c>
      <c r="I6" s="165">
        <f>SUM(I7:I9)</f>
        <v>3</v>
      </c>
      <c r="J6" s="165">
        <f>J9</f>
        <v>3</v>
      </c>
      <c r="K6" s="167">
        <f t="shared" si="3"/>
        <v>0.004411764706</v>
      </c>
      <c r="L6" s="165">
        <f>SUM(L7:L9)</f>
        <v>1.32</v>
      </c>
      <c r="M6" s="165">
        <f>M9</f>
        <v>1.32</v>
      </c>
      <c r="N6" s="167" t="str">
        <f>SUM(N7)</f>
        <v>#REF!</v>
      </c>
      <c r="O6" s="205"/>
      <c r="P6" s="386"/>
      <c r="Q6" s="387"/>
      <c r="R6" s="388"/>
      <c r="S6" s="389"/>
      <c r="T6" s="390"/>
      <c r="U6" s="390"/>
      <c r="V6" s="390"/>
      <c r="W6" s="388"/>
      <c r="X6" s="387"/>
      <c r="Y6" s="390"/>
      <c r="Z6" s="390"/>
      <c r="AA6" s="390"/>
      <c r="AB6" s="388"/>
      <c r="AC6" s="387"/>
      <c r="AD6" s="388"/>
      <c r="AE6" s="390"/>
      <c r="AF6" s="390"/>
      <c r="AG6" s="388"/>
      <c r="AH6" s="385"/>
      <c r="AI6" s="205"/>
      <c r="AJ6" s="390"/>
      <c r="AK6" s="390"/>
      <c r="AL6" s="388"/>
      <c r="AM6" s="389"/>
      <c r="AN6" s="390"/>
      <c r="AO6" s="390"/>
      <c r="AP6" s="390"/>
      <c r="AQ6" s="388"/>
      <c r="AR6" s="387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 t="shared" si="1"/>
        <v>2</v>
      </c>
      <c r="F7" s="185">
        <v>1.0</v>
      </c>
      <c r="G7" s="105">
        <f t="shared" si="2"/>
        <v>0.0008613264427</v>
      </c>
      <c r="H7" s="186">
        <f>H4+G7</f>
        <v>0.0008613264427</v>
      </c>
      <c r="I7" s="187">
        <f t="shared" ref="I7:I9" si="4">P7+U7+Z7+AE7+AJ7+AO7</f>
        <v>0</v>
      </c>
      <c r="J7" s="187">
        <f>J4+I7</f>
        <v>0</v>
      </c>
      <c r="K7" s="115">
        <f t="shared" si="3"/>
        <v>0</v>
      </c>
      <c r="L7" s="336">
        <f t="shared" ref="L7:L9" si="5">S7+X7+AC7+AH7+AM7+AR7</f>
        <v>0</v>
      </c>
      <c r="M7" s="191">
        <f>M4+L7</f>
        <v>0</v>
      </c>
      <c r="N7" s="47" t="str">
        <f t="shared" ref="N7:N86" si="6">M7/#REF!</f>
        <v>#REF!</v>
      </c>
      <c r="O7" s="205">
        <f t="shared" ref="O7:O238" si="7">P7/$F7</f>
        <v>0</v>
      </c>
      <c r="P7" s="391">
        <v>0.0</v>
      </c>
      <c r="Q7" s="385"/>
      <c r="R7" s="385">
        <f>Roles!$D$5</f>
        <v>0.44</v>
      </c>
      <c r="S7" s="385">
        <f t="shared" ref="S7:S238" si="8">P7*R7</f>
        <v>0</v>
      </c>
      <c r="T7" s="205">
        <f t="shared" ref="T7:T238" si="9">U7/$F7</f>
        <v>0</v>
      </c>
      <c r="U7" s="392"/>
      <c r="V7" s="385"/>
      <c r="W7" s="385">
        <f>Roles!$D$6</f>
        <v>0.1</v>
      </c>
      <c r="X7" s="385"/>
      <c r="Y7" s="205">
        <f t="shared" ref="Y7:Y238" si="10">Z7/$F7</f>
        <v>0</v>
      </c>
      <c r="Z7" s="392"/>
      <c r="AA7" s="385"/>
      <c r="AB7" s="385">
        <f>Roles!$D$6</f>
        <v>0.1</v>
      </c>
      <c r="AC7" s="385"/>
      <c r="AD7" s="205">
        <f t="shared" ref="AD7:AD238" si="11">AE7/$F7</f>
        <v>0</v>
      </c>
      <c r="AE7" s="392"/>
      <c r="AF7" s="385"/>
      <c r="AG7" s="385">
        <f>Roles!$D$6</f>
        <v>0.1</v>
      </c>
      <c r="AH7" s="385"/>
      <c r="AI7" s="205">
        <f t="shared" ref="AI7:AI238" si="12">AJ7/$F7</f>
        <v>0</v>
      </c>
      <c r="AJ7" s="392"/>
      <c r="AK7" s="385"/>
      <c r="AL7" s="385">
        <f>Roles!$D$6</f>
        <v>0.1</v>
      </c>
      <c r="AM7" s="385"/>
      <c r="AN7" s="205">
        <f t="shared" ref="AN7:AN238" si="13">AO7/$F7</f>
        <v>0</v>
      </c>
      <c r="AO7" s="392"/>
      <c r="AP7" s="385"/>
      <c r="AQ7" s="385">
        <f>Roles!$D$6</f>
        <v>0.1</v>
      </c>
      <c r="AR7" s="385"/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 t="shared" si="1"/>
        <v>2</v>
      </c>
      <c r="F8" s="80">
        <v>4.0</v>
      </c>
      <c r="G8" s="105">
        <f t="shared" si="2"/>
        <v>0.003445305771</v>
      </c>
      <c r="H8" s="47">
        <f t="shared" ref="H8:H9" si="14">H7+G8</f>
        <v>0.004306632214</v>
      </c>
      <c r="I8" s="187">
        <f t="shared" si="4"/>
        <v>0</v>
      </c>
      <c r="J8" s="172">
        <f t="shared" ref="J8:J9" si="15">J7+I8</f>
        <v>0</v>
      </c>
      <c r="K8" s="115">
        <f t="shared" si="3"/>
        <v>0</v>
      </c>
      <c r="L8" s="336">
        <f t="shared" si="5"/>
        <v>0</v>
      </c>
      <c r="M8" s="172">
        <f t="shared" ref="M8:M9" si="16">M7+L8</f>
        <v>0</v>
      </c>
      <c r="N8" s="115" t="str">
        <f t="shared" si="6"/>
        <v>#REF!</v>
      </c>
      <c r="O8" s="205">
        <f t="shared" si="7"/>
        <v>0</v>
      </c>
      <c r="P8" s="391">
        <v>0.0</v>
      </c>
      <c r="Q8" s="385"/>
      <c r="R8" s="385">
        <f>Roles!$D$5</f>
        <v>0.44</v>
      </c>
      <c r="S8" s="385">
        <f t="shared" si="8"/>
        <v>0</v>
      </c>
      <c r="T8" s="205">
        <f t="shared" si="9"/>
        <v>0</v>
      </c>
      <c r="U8" s="392"/>
      <c r="V8" s="385"/>
      <c r="W8" s="385">
        <f>Roles!$D$6</f>
        <v>0.1</v>
      </c>
      <c r="X8" s="385"/>
      <c r="Y8" s="205">
        <f t="shared" si="10"/>
        <v>0</v>
      </c>
      <c r="Z8" s="392"/>
      <c r="AA8" s="385"/>
      <c r="AB8" s="385">
        <f>Roles!$D$6</f>
        <v>0.1</v>
      </c>
      <c r="AC8" s="385"/>
      <c r="AD8" s="205">
        <f t="shared" si="11"/>
        <v>0</v>
      </c>
      <c r="AE8" s="392"/>
      <c r="AF8" s="385"/>
      <c r="AG8" s="385">
        <f>Roles!$D$6</f>
        <v>0.1</v>
      </c>
      <c r="AH8" s="385"/>
      <c r="AI8" s="205">
        <f t="shared" si="12"/>
        <v>0</v>
      </c>
      <c r="AJ8" s="392"/>
      <c r="AK8" s="385"/>
      <c r="AL8" s="385">
        <f>Roles!$D$6</f>
        <v>0.1</v>
      </c>
      <c r="AM8" s="385"/>
      <c r="AN8" s="205">
        <f t="shared" si="13"/>
        <v>0</v>
      </c>
      <c r="AO8" s="392"/>
      <c r="AP8" s="385"/>
      <c r="AQ8" s="385">
        <f>Roles!$D$6</f>
        <v>0.1</v>
      </c>
      <c r="AR8" s="385"/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 t="shared" si="1"/>
        <v>2</v>
      </c>
      <c r="F9" s="80">
        <v>3.0</v>
      </c>
      <c r="G9" s="105">
        <f t="shared" si="2"/>
        <v>0.002583979328</v>
      </c>
      <c r="H9" s="47">
        <f t="shared" si="14"/>
        <v>0.006890611542</v>
      </c>
      <c r="I9" s="187">
        <f t="shared" si="4"/>
        <v>3</v>
      </c>
      <c r="J9" s="172">
        <f t="shared" si="15"/>
        <v>3</v>
      </c>
      <c r="K9" s="115">
        <f t="shared" si="3"/>
        <v>0.004411764706</v>
      </c>
      <c r="L9" s="336">
        <f t="shared" si="5"/>
        <v>1.32</v>
      </c>
      <c r="M9" s="172">
        <f t="shared" si="16"/>
        <v>1.32</v>
      </c>
      <c r="N9" s="47" t="str">
        <f t="shared" si="6"/>
        <v>#REF!</v>
      </c>
      <c r="O9" s="205">
        <f t="shared" si="7"/>
        <v>1</v>
      </c>
      <c r="P9" s="391">
        <v>3.0</v>
      </c>
      <c r="Q9" s="385"/>
      <c r="R9" s="385">
        <f>Roles!$D$5</f>
        <v>0.44</v>
      </c>
      <c r="S9" s="385">
        <f t="shared" si="8"/>
        <v>1.32</v>
      </c>
      <c r="T9" s="205">
        <f t="shared" si="9"/>
        <v>0</v>
      </c>
      <c r="U9" s="392"/>
      <c r="V9" s="385"/>
      <c r="W9" s="385">
        <f>Roles!$D$6</f>
        <v>0.1</v>
      </c>
      <c r="X9" s="385"/>
      <c r="Y9" s="205">
        <f t="shared" si="10"/>
        <v>0</v>
      </c>
      <c r="Z9" s="392"/>
      <c r="AA9" s="385"/>
      <c r="AB9" s="385">
        <f>Roles!$D$6</f>
        <v>0.1</v>
      </c>
      <c r="AC9" s="385"/>
      <c r="AD9" s="205">
        <f t="shared" si="11"/>
        <v>0</v>
      </c>
      <c r="AE9" s="392"/>
      <c r="AF9" s="385"/>
      <c r="AG9" s="385">
        <f>Roles!$D$6</f>
        <v>0.1</v>
      </c>
      <c r="AH9" s="385"/>
      <c r="AI9" s="205">
        <f t="shared" si="12"/>
        <v>0</v>
      </c>
      <c r="AJ9" s="392"/>
      <c r="AK9" s="385"/>
      <c r="AL9" s="385">
        <f>Roles!$D$6</f>
        <v>0.1</v>
      </c>
      <c r="AM9" s="385"/>
      <c r="AN9" s="205">
        <f t="shared" si="13"/>
        <v>0</v>
      </c>
      <c r="AO9" s="392"/>
      <c r="AP9" s="385"/>
      <c r="AQ9" s="385">
        <f>Roles!$D$6</f>
        <v>0.1</v>
      </c>
      <c r="AR9" s="385"/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 t="shared" si="1"/>
        <v>5</v>
      </c>
      <c r="F10" s="161">
        <f>SUM(F11:F22)</f>
        <v>30</v>
      </c>
      <c r="G10" s="105">
        <f t="shared" si="2"/>
        <v>0.02583979328</v>
      </c>
      <c r="H10" s="163">
        <f>H22</f>
        <v>0.03273040482</v>
      </c>
      <c r="I10" s="213">
        <f>SUM(I11:I22)</f>
        <v>0</v>
      </c>
      <c r="J10" s="213">
        <f>J22</f>
        <v>3</v>
      </c>
      <c r="K10" s="167">
        <f t="shared" si="3"/>
        <v>0.004411764706</v>
      </c>
      <c r="L10" s="215">
        <f>SUM(L11:L22)</f>
        <v>0</v>
      </c>
      <c r="M10" s="215">
        <f>M22</f>
        <v>1.32</v>
      </c>
      <c r="N10" s="226" t="str">
        <f t="shared" si="6"/>
        <v>#REF!</v>
      </c>
      <c r="O10" s="205">
        <f t="shared" si="7"/>
        <v>0</v>
      </c>
      <c r="P10" s="89"/>
      <c r="Q10" s="385"/>
      <c r="R10" s="385">
        <f>Roles!$D$5</f>
        <v>0.44</v>
      </c>
      <c r="S10" s="385">
        <f t="shared" si="8"/>
        <v>0</v>
      </c>
      <c r="T10" s="205">
        <f t="shared" si="9"/>
        <v>0</v>
      </c>
      <c r="U10" s="392"/>
      <c r="V10" s="385"/>
      <c r="W10" s="385">
        <f>Roles!$D$6</f>
        <v>0.1</v>
      </c>
      <c r="X10" s="385"/>
      <c r="Y10" s="205">
        <f t="shared" si="10"/>
        <v>0</v>
      </c>
      <c r="Z10" s="392"/>
      <c r="AA10" s="385"/>
      <c r="AB10" s="385">
        <f>Roles!$D$6</f>
        <v>0.1</v>
      </c>
      <c r="AC10" s="385"/>
      <c r="AD10" s="205">
        <f t="shared" si="11"/>
        <v>0</v>
      </c>
      <c r="AE10" s="392"/>
      <c r="AF10" s="385"/>
      <c r="AG10" s="385">
        <f>Roles!$D$6</f>
        <v>0.1</v>
      </c>
      <c r="AH10" s="385"/>
      <c r="AI10" s="205">
        <f t="shared" si="12"/>
        <v>0</v>
      </c>
      <c r="AJ10" s="392"/>
      <c r="AK10" s="385"/>
      <c r="AL10" s="385">
        <f>Roles!$D$6</f>
        <v>0.1</v>
      </c>
      <c r="AM10" s="385"/>
      <c r="AN10" s="205">
        <f t="shared" si="13"/>
        <v>0</v>
      </c>
      <c r="AO10" s="392"/>
      <c r="AP10" s="385"/>
      <c r="AQ10" s="385">
        <f>Roles!$D$6</f>
        <v>0.1</v>
      </c>
      <c r="AR10" s="385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 t="shared" si="1"/>
        <v>1</v>
      </c>
      <c r="F11" s="185">
        <v>1.0</v>
      </c>
      <c r="G11" s="105">
        <f t="shared" si="2"/>
        <v>0.0008613264427</v>
      </c>
      <c r="H11" s="186">
        <f>H9+G11</f>
        <v>0.007751937984</v>
      </c>
      <c r="I11" s="187">
        <f t="shared" ref="I11:I22" si="17">P11+U11+Z11+AE11+AJ11+AO11</f>
        <v>0</v>
      </c>
      <c r="J11" s="187">
        <f>J9+I11</f>
        <v>3</v>
      </c>
      <c r="K11" s="115">
        <f t="shared" si="3"/>
        <v>0.004411764706</v>
      </c>
      <c r="L11" s="336">
        <f t="shared" ref="L11:L22" si="18">S11+X11+AC11+AH11+AM11+AR11</f>
        <v>0</v>
      </c>
      <c r="M11" s="191">
        <f>M9+L11</f>
        <v>1.32</v>
      </c>
      <c r="N11" s="47" t="str">
        <f t="shared" si="6"/>
        <v>#REF!</v>
      </c>
      <c r="O11" s="205">
        <f t="shared" si="7"/>
        <v>0</v>
      </c>
      <c r="P11" s="391">
        <v>0.0</v>
      </c>
      <c r="Q11" s="385"/>
      <c r="R11" s="385">
        <f>Roles!$D$5</f>
        <v>0.44</v>
      </c>
      <c r="S11" s="385">
        <f t="shared" si="8"/>
        <v>0</v>
      </c>
      <c r="T11" s="205">
        <f t="shared" si="9"/>
        <v>0</v>
      </c>
      <c r="U11" s="392"/>
      <c r="V11" s="385"/>
      <c r="W11" s="385">
        <f>Roles!$D$6</f>
        <v>0.1</v>
      </c>
      <c r="X11" s="385"/>
      <c r="Y11" s="205">
        <f t="shared" si="10"/>
        <v>0</v>
      </c>
      <c r="Z11" s="392"/>
      <c r="AA11" s="385"/>
      <c r="AB11" s="385">
        <f>Roles!$D$6</f>
        <v>0.1</v>
      </c>
      <c r="AC11" s="385"/>
      <c r="AD11" s="205">
        <f t="shared" si="11"/>
        <v>0</v>
      </c>
      <c r="AE11" s="392"/>
      <c r="AF11" s="385"/>
      <c r="AG11" s="385">
        <f>Roles!$D$6</f>
        <v>0.1</v>
      </c>
      <c r="AH11" s="385"/>
      <c r="AI11" s="205">
        <f t="shared" si="12"/>
        <v>0</v>
      </c>
      <c r="AJ11" s="392"/>
      <c r="AK11" s="385"/>
      <c r="AL11" s="385">
        <f>Roles!$D$6</f>
        <v>0.1</v>
      </c>
      <c r="AM11" s="385"/>
      <c r="AN11" s="205">
        <f t="shared" si="13"/>
        <v>0</v>
      </c>
      <c r="AO11" s="392"/>
      <c r="AP11" s="385"/>
      <c r="AQ11" s="385">
        <f>Roles!$D$6</f>
        <v>0.1</v>
      </c>
      <c r="AR11" s="385"/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 t="shared" si="1"/>
        <v>1</v>
      </c>
      <c r="F12" s="185">
        <v>2.0</v>
      </c>
      <c r="G12" s="105">
        <f t="shared" si="2"/>
        <v>0.001722652885</v>
      </c>
      <c r="H12" s="186">
        <f t="shared" ref="H12:H22" si="19">H11+G12</f>
        <v>0.00947459087</v>
      </c>
      <c r="I12" s="187">
        <f t="shared" si="17"/>
        <v>0</v>
      </c>
      <c r="J12" s="187">
        <f t="shared" ref="J12:J22" si="20">J11+I12</f>
        <v>3</v>
      </c>
      <c r="K12" s="115">
        <f t="shared" si="3"/>
        <v>0.004411764706</v>
      </c>
      <c r="L12" s="336">
        <f t="shared" si="18"/>
        <v>0</v>
      </c>
      <c r="M12" s="191">
        <f t="shared" ref="M12:M22" si="21">M11+L12</f>
        <v>1.32</v>
      </c>
      <c r="N12" s="47" t="str">
        <f t="shared" si="6"/>
        <v>#REF!</v>
      </c>
      <c r="O12" s="205">
        <f t="shared" si="7"/>
        <v>0</v>
      </c>
      <c r="P12" s="391">
        <v>0.0</v>
      </c>
      <c r="Q12" s="385"/>
      <c r="R12" s="385">
        <f>Roles!$D$5</f>
        <v>0.44</v>
      </c>
      <c r="S12" s="385">
        <f t="shared" si="8"/>
        <v>0</v>
      </c>
      <c r="T12" s="205">
        <f t="shared" si="9"/>
        <v>0</v>
      </c>
      <c r="U12" s="392"/>
      <c r="V12" s="385"/>
      <c r="W12" s="385">
        <f>Roles!$D$6</f>
        <v>0.1</v>
      </c>
      <c r="X12" s="385"/>
      <c r="Y12" s="205">
        <f t="shared" si="10"/>
        <v>0</v>
      </c>
      <c r="Z12" s="392"/>
      <c r="AA12" s="385"/>
      <c r="AB12" s="385">
        <f>Roles!$D$6</f>
        <v>0.1</v>
      </c>
      <c r="AC12" s="385"/>
      <c r="AD12" s="205">
        <f t="shared" si="11"/>
        <v>0</v>
      </c>
      <c r="AE12" s="392"/>
      <c r="AF12" s="385"/>
      <c r="AG12" s="385">
        <f>Roles!$D$6</f>
        <v>0.1</v>
      </c>
      <c r="AH12" s="385"/>
      <c r="AI12" s="205">
        <f t="shared" si="12"/>
        <v>0</v>
      </c>
      <c r="AJ12" s="392"/>
      <c r="AK12" s="385"/>
      <c r="AL12" s="385">
        <f>Roles!$D$6</f>
        <v>0.1</v>
      </c>
      <c r="AM12" s="385"/>
      <c r="AN12" s="205">
        <f t="shared" si="13"/>
        <v>0</v>
      </c>
      <c r="AO12" s="392"/>
      <c r="AP12" s="385"/>
      <c r="AQ12" s="385">
        <f>Roles!$D$6</f>
        <v>0.1</v>
      </c>
      <c r="AR12" s="385"/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 t="shared" si="1"/>
        <v>1</v>
      </c>
      <c r="F13" s="185">
        <v>1.0</v>
      </c>
      <c r="G13" s="105">
        <f t="shared" si="2"/>
        <v>0.0008613264427</v>
      </c>
      <c r="H13" s="186">
        <f t="shared" si="19"/>
        <v>0.01033591731</v>
      </c>
      <c r="I13" s="187">
        <f t="shared" si="17"/>
        <v>0</v>
      </c>
      <c r="J13" s="187">
        <f t="shared" si="20"/>
        <v>3</v>
      </c>
      <c r="K13" s="115">
        <f t="shared" si="3"/>
        <v>0.004411764706</v>
      </c>
      <c r="L13" s="336">
        <f t="shared" si="18"/>
        <v>0</v>
      </c>
      <c r="M13" s="191">
        <f t="shared" si="21"/>
        <v>1.32</v>
      </c>
      <c r="N13" s="226" t="str">
        <f t="shared" si="6"/>
        <v>#REF!</v>
      </c>
      <c r="O13" s="205">
        <f t="shared" si="7"/>
        <v>0</v>
      </c>
      <c r="P13" s="391">
        <v>0.0</v>
      </c>
      <c r="Q13" s="385"/>
      <c r="R13" s="385">
        <f>Roles!$D$5</f>
        <v>0.44</v>
      </c>
      <c r="S13" s="385">
        <f t="shared" si="8"/>
        <v>0</v>
      </c>
      <c r="T13" s="205">
        <f t="shared" si="9"/>
        <v>0</v>
      </c>
      <c r="U13" s="392"/>
      <c r="V13" s="385"/>
      <c r="W13" s="385">
        <f>Roles!$D$6</f>
        <v>0.1</v>
      </c>
      <c r="X13" s="385"/>
      <c r="Y13" s="205">
        <f t="shared" si="10"/>
        <v>0</v>
      </c>
      <c r="Z13" s="392"/>
      <c r="AA13" s="385"/>
      <c r="AB13" s="385">
        <f>Roles!$D$6</f>
        <v>0.1</v>
      </c>
      <c r="AC13" s="385"/>
      <c r="AD13" s="205">
        <f t="shared" si="11"/>
        <v>0</v>
      </c>
      <c r="AE13" s="392"/>
      <c r="AF13" s="385"/>
      <c r="AG13" s="385">
        <f>Roles!$D$6</f>
        <v>0.1</v>
      </c>
      <c r="AH13" s="385"/>
      <c r="AI13" s="205">
        <f t="shared" si="12"/>
        <v>0</v>
      </c>
      <c r="AJ13" s="392"/>
      <c r="AK13" s="385"/>
      <c r="AL13" s="385">
        <f>Roles!$D$6</f>
        <v>0.1</v>
      </c>
      <c r="AM13" s="385"/>
      <c r="AN13" s="205">
        <f t="shared" si="13"/>
        <v>0</v>
      </c>
      <c r="AO13" s="392"/>
      <c r="AP13" s="385"/>
      <c r="AQ13" s="385">
        <f>Roles!$D$6</f>
        <v>0.1</v>
      </c>
      <c r="AR13" s="385"/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 t="shared" si="1"/>
        <v>1</v>
      </c>
      <c r="F14" s="185">
        <v>1.0</v>
      </c>
      <c r="G14" s="105">
        <f t="shared" si="2"/>
        <v>0.0008613264427</v>
      </c>
      <c r="H14" s="186">
        <f t="shared" si="19"/>
        <v>0.01119724376</v>
      </c>
      <c r="I14" s="187">
        <f t="shared" si="17"/>
        <v>0</v>
      </c>
      <c r="J14" s="187">
        <f t="shared" si="20"/>
        <v>3</v>
      </c>
      <c r="K14" s="115">
        <f t="shared" si="3"/>
        <v>0.004411764706</v>
      </c>
      <c r="L14" s="336">
        <f t="shared" si="18"/>
        <v>0</v>
      </c>
      <c r="M14" s="191">
        <f t="shared" si="21"/>
        <v>1.32</v>
      </c>
      <c r="N14" s="47" t="str">
        <f t="shared" si="6"/>
        <v>#REF!</v>
      </c>
      <c r="O14" s="205">
        <f t="shared" si="7"/>
        <v>0</v>
      </c>
      <c r="P14" s="391">
        <v>0.0</v>
      </c>
      <c r="Q14" s="385"/>
      <c r="R14" s="385">
        <f>Roles!$D$5</f>
        <v>0.44</v>
      </c>
      <c r="S14" s="385">
        <f t="shared" si="8"/>
        <v>0</v>
      </c>
      <c r="T14" s="205">
        <f t="shared" si="9"/>
        <v>0</v>
      </c>
      <c r="U14" s="392"/>
      <c r="V14" s="385"/>
      <c r="W14" s="385">
        <f>Roles!$D$6</f>
        <v>0.1</v>
      </c>
      <c r="X14" s="385"/>
      <c r="Y14" s="205">
        <f t="shared" si="10"/>
        <v>0</v>
      </c>
      <c r="Z14" s="392"/>
      <c r="AA14" s="385"/>
      <c r="AB14" s="385">
        <f>Roles!$D$6</f>
        <v>0.1</v>
      </c>
      <c r="AC14" s="385"/>
      <c r="AD14" s="205">
        <f t="shared" si="11"/>
        <v>0</v>
      </c>
      <c r="AE14" s="392"/>
      <c r="AF14" s="385"/>
      <c r="AG14" s="385">
        <f>Roles!$D$6</f>
        <v>0.1</v>
      </c>
      <c r="AH14" s="385"/>
      <c r="AI14" s="205">
        <f t="shared" si="12"/>
        <v>0</v>
      </c>
      <c r="AJ14" s="392"/>
      <c r="AK14" s="385"/>
      <c r="AL14" s="385">
        <f>Roles!$D$6</f>
        <v>0.1</v>
      </c>
      <c r="AM14" s="385"/>
      <c r="AN14" s="205">
        <f t="shared" si="13"/>
        <v>0</v>
      </c>
      <c r="AO14" s="392"/>
      <c r="AP14" s="385"/>
      <c r="AQ14" s="385">
        <f>Roles!$D$6</f>
        <v>0.1</v>
      </c>
      <c r="AR14" s="385"/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 t="shared" si="1"/>
        <v>1</v>
      </c>
      <c r="F15" s="185">
        <v>1.0</v>
      </c>
      <c r="G15" s="105">
        <f t="shared" si="2"/>
        <v>0.0008613264427</v>
      </c>
      <c r="H15" s="186">
        <f t="shared" si="19"/>
        <v>0.0120585702</v>
      </c>
      <c r="I15" s="187">
        <f t="shared" si="17"/>
        <v>0</v>
      </c>
      <c r="J15" s="187">
        <f t="shared" si="20"/>
        <v>3</v>
      </c>
      <c r="K15" s="115">
        <f t="shared" si="3"/>
        <v>0.004411764706</v>
      </c>
      <c r="L15" s="336">
        <f t="shared" si="18"/>
        <v>0</v>
      </c>
      <c r="M15" s="191">
        <f t="shared" si="21"/>
        <v>1.32</v>
      </c>
      <c r="N15" s="47" t="str">
        <f t="shared" si="6"/>
        <v>#REF!</v>
      </c>
      <c r="O15" s="205">
        <f t="shared" si="7"/>
        <v>0</v>
      </c>
      <c r="P15" s="391">
        <v>0.0</v>
      </c>
      <c r="Q15" s="385"/>
      <c r="R15" s="385">
        <f>Roles!$D$5</f>
        <v>0.44</v>
      </c>
      <c r="S15" s="385">
        <f t="shared" si="8"/>
        <v>0</v>
      </c>
      <c r="T15" s="205">
        <f t="shared" si="9"/>
        <v>0</v>
      </c>
      <c r="U15" s="392"/>
      <c r="V15" s="385"/>
      <c r="W15" s="385">
        <f>Roles!$D$6</f>
        <v>0.1</v>
      </c>
      <c r="X15" s="385"/>
      <c r="Y15" s="205">
        <f t="shared" si="10"/>
        <v>0</v>
      </c>
      <c r="Z15" s="392"/>
      <c r="AA15" s="385"/>
      <c r="AB15" s="385">
        <f>Roles!$D$6</f>
        <v>0.1</v>
      </c>
      <c r="AC15" s="385"/>
      <c r="AD15" s="205">
        <f t="shared" si="11"/>
        <v>0</v>
      </c>
      <c r="AE15" s="392"/>
      <c r="AF15" s="385"/>
      <c r="AG15" s="385">
        <f>Roles!$D$6</f>
        <v>0.1</v>
      </c>
      <c r="AH15" s="385"/>
      <c r="AI15" s="205">
        <f t="shared" si="12"/>
        <v>0</v>
      </c>
      <c r="AJ15" s="392"/>
      <c r="AK15" s="385"/>
      <c r="AL15" s="385">
        <f>Roles!$D$6</f>
        <v>0.1</v>
      </c>
      <c r="AM15" s="385"/>
      <c r="AN15" s="205">
        <f t="shared" si="13"/>
        <v>0</v>
      </c>
      <c r="AO15" s="392"/>
      <c r="AP15" s="385"/>
      <c r="AQ15" s="385">
        <f>Roles!$D$6</f>
        <v>0.1</v>
      </c>
      <c r="AR15" s="385"/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 t="shared" si="1"/>
        <v>2</v>
      </c>
      <c r="F16" s="185">
        <v>2.0</v>
      </c>
      <c r="G16" s="105">
        <f t="shared" si="2"/>
        <v>0.001722652885</v>
      </c>
      <c r="H16" s="186">
        <f t="shared" si="19"/>
        <v>0.01378122308</v>
      </c>
      <c r="I16" s="187">
        <f t="shared" si="17"/>
        <v>0</v>
      </c>
      <c r="J16" s="187">
        <f t="shared" si="20"/>
        <v>3</v>
      </c>
      <c r="K16" s="115">
        <f t="shared" si="3"/>
        <v>0.004411764706</v>
      </c>
      <c r="L16" s="336">
        <f t="shared" si="18"/>
        <v>0</v>
      </c>
      <c r="M16" s="191">
        <f t="shared" si="21"/>
        <v>1.32</v>
      </c>
      <c r="N16" s="47" t="str">
        <f t="shared" si="6"/>
        <v>#REF!</v>
      </c>
      <c r="O16" s="205">
        <f t="shared" si="7"/>
        <v>0</v>
      </c>
      <c r="P16" s="391">
        <v>0.0</v>
      </c>
      <c r="Q16" s="385"/>
      <c r="R16" s="385">
        <f>Roles!$D$5</f>
        <v>0.44</v>
      </c>
      <c r="S16" s="385">
        <f t="shared" si="8"/>
        <v>0</v>
      </c>
      <c r="T16" s="205">
        <f t="shared" si="9"/>
        <v>0</v>
      </c>
      <c r="U16" s="392"/>
      <c r="V16" s="385"/>
      <c r="W16" s="385">
        <f>Roles!$D$6</f>
        <v>0.1</v>
      </c>
      <c r="X16" s="385"/>
      <c r="Y16" s="205">
        <f t="shared" si="10"/>
        <v>0</v>
      </c>
      <c r="Z16" s="392"/>
      <c r="AA16" s="385"/>
      <c r="AB16" s="385">
        <f>Roles!$D$6</f>
        <v>0.1</v>
      </c>
      <c r="AC16" s="385"/>
      <c r="AD16" s="205">
        <f t="shared" si="11"/>
        <v>0</v>
      </c>
      <c r="AE16" s="392"/>
      <c r="AF16" s="385"/>
      <c r="AG16" s="385">
        <f>Roles!$D$6</f>
        <v>0.1</v>
      </c>
      <c r="AH16" s="385"/>
      <c r="AI16" s="205">
        <f t="shared" si="12"/>
        <v>0</v>
      </c>
      <c r="AJ16" s="392"/>
      <c r="AK16" s="385"/>
      <c r="AL16" s="385">
        <f>Roles!$D$6</f>
        <v>0.1</v>
      </c>
      <c r="AM16" s="385"/>
      <c r="AN16" s="205">
        <f t="shared" si="13"/>
        <v>0</v>
      </c>
      <c r="AO16" s="392"/>
      <c r="AP16" s="385"/>
      <c r="AQ16" s="385">
        <f>Roles!$D$6</f>
        <v>0.1</v>
      </c>
      <c r="AR16" s="385"/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 t="shared" si="1"/>
        <v>2</v>
      </c>
      <c r="F17" s="185">
        <v>2.0</v>
      </c>
      <c r="G17" s="105">
        <f t="shared" si="2"/>
        <v>0.001722652885</v>
      </c>
      <c r="H17" s="186">
        <f t="shared" si="19"/>
        <v>0.01550387597</v>
      </c>
      <c r="I17" s="187">
        <f t="shared" si="17"/>
        <v>0</v>
      </c>
      <c r="J17" s="187">
        <f t="shared" si="20"/>
        <v>3</v>
      </c>
      <c r="K17" s="115">
        <f t="shared" si="3"/>
        <v>0.004411764706</v>
      </c>
      <c r="L17" s="336">
        <f t="shared" si="18"/>
        <v>0</v>
      </c>
      <c r="M17" s="191">
        <f t="shared" si="21"/>
        <v>1.32</v>
      </c>
      <c r="N17" s="323" t="str">
        <f t="shared" si="6"/>
        <v>#REF!</v>
      </c>
      <c r="O17" s="205">
        <f t="shared" si="7"/>
        <v>0</v>
      </c>
      <c r="P17" s="391">
        <v>0.0</v>
      </c>
      <c r="Q17" s="385"/>
      <c r="R17" s="385">
        <f>Roles!$D$5</f>
        <v>0.44</v>
      </c>
      <c r="S17" s="385">
        <f t="shared" si="8"/>
        <v>0</v>
      </c>
      <c r="T17" s="205">
        <f t="shared" si="9"/>
        <v>0</v>
      </c>
      <c r="U17" s="392"/>
      <c r="V17" s="385"/>
      <c r="W17" s="385">
        <f>Roles!$D$6</f>
        <v>0.1</v>
      </c>
      <c r="X17" s="385"/>
      <c r="Y17" s="205">
        <f t="shared" si="10"/>
        <v>0</v>
      </c>
      <c r="Z17" s="392"/>
      <c r="AA17" s="385"/>
      <c r="AB17" s="385">
        <f>Roles!$D$6</f>
        <v>0.1</v>
      </c>
      <c r="AC17" s="385"/>
      <c r="AD17" s="205">
        <f t="shared" si="11"/>
        <v>0</v>
      </c>
      <c r="AE17" s="392"/>
      <c r="AF17" s="385"/>
      <c r="AG17" s="385">
        <f>Roles!$D$6</f>
        <v>0.1</v>
      </c>
      <c r="AH17" s="385"/>
      <c r="AI17" s="205">
        <f t="shared" si="12"/>
        <v>0</v>
      </c>
      <c r="AJ17" s="392"/>
      <c r="AK17" s="385"/>
      <c r="AL17" s="385">
        <f>Roles!$D$6</f>
        <v>0.1</v>
      </c>
      <c r="AM17" s="385"/>
      <c r="AN17" s="205">
        <f t="shared" si="13"/>
        <v>0</v>
      </c>
      <c r="AO17" s="392"/>
      <c r="AP17" s="385"/>
      <c r="AQ17" s="385">
        <f>Roles!$D$6</f>
        <v>0.1</v>
      </c>
      <c r="AR17" s="385"/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 t="shared" si="1"/>
        <v>4</v>
      </c>
      <c r="F18" s="185">
        <v>5.0</v>
      </c>
      <c r="G18" s="105">
        <f t="shared" si="2"/>
        <v>0.004306632214</v>
      </c>
      <c r="H18" s="186">
        <f t="shared" si="19"/>
        <v>0.01981050818</v>
      </c>
      <c r="I18" s="187">
        <f t="shared" si="17"/>
        <v>0</v>
      </c>
      <c r="J18" s="187">
        <f t="shared" si="20"/>
        <v>3</v>
      </c>
      <c r="K18" s="115">
        <f t="shared" si="3"/>
        <v>0.004411764706</v>
      </c>
      <c r="L18" s="336">
        <f t="shared" si="18"/>
        <v>0</v>
      </c>
      <c r="M18" s="191">
        <f t="shared" si="21"/>
        <v>1.32</v>
      </c>
      <c r="N18" s="138" t="str">
        <f t="shared" si="6"/>
        <v>#REF!</v>
      </c>
      <c r="O18" s="205">
        <f t="shared" si="7"/>
        <v>0</v>
      </c>
      <c r="P18" s="391">
        <v>0.0</v>
      </c>
      <c r="Q18" s="385"/>
      <c r="R18" s="385">
        <f>Roles!$D$5</f>
        <v>0.44</v>
      </c>
      <c r="S18" s="385">
        <f t="shared" si="8"/>
        <v>0</v>
      </c>
      <c r="T18" s="205">
        <f t="shared" si="9"/>
        <v>0</v>
      </c>
      <c r="U18" s="392"/>
      <c r="V18" s="385"/>
      <c r="W18" s="385">
        <f>Roles!$D$6</f>
        <v>0.1</v>
      </c>
      <c r="X18" s="385"/>
      <c r="Y18" s="205">
        <f t="shared" si="10"/>
        <v>0</v>
      </c>
      <c r="Z18" s="392"/>
      <c r="AA18" s="385"/>
      <c r="AB18" s="385">
        <f>Roles!$D$6</f>
        <v>0.1</v>
      </c>
      <c r="AC18" s="385"/>
      <c r="AD18" s="205">
        <f t="shared" si="11"/>
        <v>0</v>
      </c>
      <c r="AE18" s="392"/>
      <c r="AF18" s="385"/>
      <c r="AG18" s="385">
        <f>Roles!$D$6</f>
        <v>0.1</v>
      </c>
      <c r="AH18" s="385"/>
      <c r="AI18" s="205">
        <f t="shared" si="12"/>
        <v>0</v>
      </c>
      <c r="AJ18" s="392"/>
      <c r="AK18" s="385"/>
      <c r="AL18" s="385">
        <f>Roles!$D$6</f>
        <v>0.1</v>
      </c>
      <c r="AM18" s="385"/>
      <c r="AN18" s="205">
        <f t="shared" si="13"/>
        <v>0</v>
      </c>
      <c r="AO18" s="392"/>
      <c r="AP18" s="385"/>
      <c r="AQ18" s="385">
        <f>Roles!$D$6</f>
        <v>0.1</v>
      </c>
      <c r="AR18" s="385"/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 t="shared" si="1"/>
        <v>5</v>
      </c>
      <c r="F19" s="185">
        <v>5.0</v>
      </c>
      <c r="G19" s="105">
        <f t="shared" si="2"/>
        <v>0.004306632214</v>
      </c>
      <c r="H19" s="186">
        <f t="shared" si="19"/>
        <v>0.0241171404</v>
      </c>
      <c r="I19" s="187">
        <f t="shared" si="17"/>
        <v>0</v>
      </c>
      <c r="J19" s="187">
        <f t="shared" si="20"/>
        <v>3</v>
      </c>
      <c r="K19" s="115">
        <f t="shared" si="3"/>
        <v>0.004411764706</v>
      </c>
      <c r="L19" s="336">
        <f t="shared" si="18"/>
        <v>0</v>
      </c>
      <c r="M19" s="191">
        <f t="shared" si="21"/>
        <v>1.32</v>
      </c>
      <c r="N19" s="226" t="str">
        <f t="shared" si="6"/>
        <v>#REF!</v>
      </c>
      <c r="O19" s="205">
        <f t="shared" si="7"/>
        <v>0</v>
      </c>
      <c r="P19" s="391">
        <v>0.0</v>
      </c>
      <c r="Q19" s="385"/>
      <c r="R19" s="385">
        <f>Roles!$D$5</f>
        <v>0.44</v>
      </c>
      <c r="S19" s="385">
        <f t="shared" si="8"/>
        <v>0</v>
      </c>
      <c r="T19" s="205">
        <f t="shared" si="9"/>
        <v>0</v>
      </c>
      <c r="U19" s="392"/>
      <c r="V19" s="385"/>
      <c r="W19" s="385">
        <f>Roles!$D$6</f>
        <v>0.1</v>
      </c>
      <c r="X19" s="385"/>
      <c r="Y19" s="205">
        <f t="shared" si="10"/>
        <v>0</v>
      </c>
      <c r="Z19" s="392"/>
      <c r="AA19" s="385"/>
      <c r="AB19" s="385">
        <f>Roles!$D$6</f>
        <v>0.1</v>
      </c>
      <c r="AC19" s="385"/>
      <c r="AD19" s="205">
        <f t="shared" si="11"/>
        <v>0</v>
      </c>
      <c r="AE19" s="392"/>
      <c r="AF19" s="385"/>
      <c r="AG19" s="385">
        <f>Roles!$D$6</f>
        <v>0.1</v>
      </c>
      <c r="AH19" s="385"/>
      <c r="AI19" s="205">
        <f t="shared" si="12"/>
        <v>0</v>
      </c>
      <c r="AJ19" s="392"/>
      <c r="AK19" s="385"/>
      <c r="AL19" s="385">
        <f>Roles!$D$6</f>
        <v>0.1</v>
      </c>
      <c r="AM19" s="385"/>
      <c r="AN19" s="205">
        <f t="shared" si="13"/>
        <v>0</v>
      </c>
      <c r="AO19" s="392"/>
      <c r="AP19" s="385"/>
      <c r="AQ19" s="385">
        <f>Roles!$D$6</f>
        <v>0.1</v>
      </c>
      <c r="AR19" s="385"/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 t="shared" si="1"/>
        <v>2</v>
      </c>
      <c r="F20" s="185">
        <v>4.0</v>
      </c>
      <c r="G20" s="105">
        <f t="shared" si="2"/>
        <v>0.003445305771</v>
      </c>
      <c r="H20" s="186">
        <f t="shared" si="19"/>
        <v>0.02756244617</v>
      </c>
      <c r="I20" s="187">
        <f t="shared" si="17"/>
        <v>0</v>
      </c>
      <c r="J20" s="187">
        <f t="shared" si="20"/>
        <v>3</v>
      </c>
      <c r="K20" s="115">
        <f t="shared" si="3"/>
        <v>0.004411764706</v>
      </c>
      <c r="L20" s="336">
        <f t="shared" si="18"/>
        <v>0</v>
      </c>
      <c r="M20" s="191">
        <f t="shared" si="21"/>
        <v>1.32</v>
      </c>
      <c r="N20" s="138" t="str">
        <f t="shared" si="6"/>
        <v>#REF!</v>
      </c>
      <c r="O20" s="205">
        <f t="shared" si="7"/>
        <v>0</v>
      </c>
      <c r="P20" s="391">
        <v>0.0</v>
      </c>
      <c r="Q20" s="385"/>
      <c r="R20" s="385">
        <f>Roles!$D$5</f>
        <v>0.44</v>
      </c>
      <c r="S20" s="385">
        <f t="shared" si="8"/>
        <v>0</v>
      </c>
      <c r="T20" s="205">
        <f t="shared" si="9"/>
        <v>0</v>
      </c>
      <c r="U20" s="392"/>
      <c r="V20" s="385"/>
      <c r="W20" s="385">
        <f>Roles!$D$6</f>
        <v>0.1</v>
      </c>
      <c r="X20" s="385"/>
      <c r="Y20" s="205">
        <f t="shared" si="10"/>
        <v>0</v>
      </c>
      <c r="Z20" s="392"/>
      <c r="AA20" s="385"/>
      <c r="AB20" s="385">
        <f>Roles!$D$6</f>
        <v>0.1</v>
      </c>
      <c r="AC20" s="385"/>
      <c r="AD20" s="205">
        <f t="shared" si="11"/>
        <v>0</v>
      </c>
      <c r="AE20" s="392"/>
      <c r="AF20" s="385"/>
      <c r="AG20" s="385">
        <f>Roles!$D$6</f>
        <v>0.1</v>
      </c>
      <c r="AH20" s="385"/>
      <c r="AI20" s="205">
        <f t="shared" si="12"/>
        <v>0</v>
      </c>
      <c r="AJ20" s="392"/>
      <c r="AK20" s="385"/>
      <c r="AL20" s="385">
        <f>Roles!$D$6</f>
        <v>0.1</v>
      </c>
      <c r="AM20" s="385"/>
      <c r="AN20" s="205">
        <f t="shared" si="13"/>
        <v>0</v>
      </c>
      <c r="AO20" s="392"/>
      <c r="AP20" s="385"/>
      <c r="AQ20" s="385">
        <f>Roles!$D$6</f>
        <v>0.1</v>
      </c>
      <c r="AR20" s="385"/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 t="shared" si="1"/>
        <v>2</v>
      </c>
      <c r="F21" s="80">
        <v>3.0</v>
      </c>
      <c r="G21" s="105">
        <f t="shared" si="2"/>
        <v>0.002583979328</v>
      </c>
      <c r="H21" s="186">
        <f t="shared" si="19"/>
        <v>0.0301464255</v>
      </c>
      <c r="I21" s="187">
        <f t="shared" si="17"/>
        <v>0</v>
      </c>
      <c r="J21" s="172">
        <f t="shared" si="20"/>
        <v>3</v>
      </c>
      <c r="K21" s="115">
        <f t="shared" si="3"/>
        <v>0.004411764706</v>
      </c>
      <c r="L21" s="336">
        <f t="shared" si="18"/>
        <v>0</v>
      </c>
      <c r="M21" s="172">
        <f t="shared" si="21"/>
        <v>1.32</v>
      </c>
      <c r="N21" s="111" t="str">
        <f t="shared" si="6"/>
        <v>#REF!</v>
      </c>
      <c r="O21" s="205">
        <f t="shared" si="7"/>
        <v>0</v>
      </c>
      <c r="P21" s="391">
        <v>0.0</v>
      </c>
      <c r="Q21" s="385"/>
      <c r="R21" s="385">
        <f>Roles!$D$5</f>
        <v>0.44</v>
      </c>
      <c r="S21" s="385">
        <f t="shared" si="8"/>
        <v>0</v>
      </c>
      <c r="T21" s="205">
        <f t="shared" si="9"/>
        <v>0</v>
      </c>
      <c r="U21" s="392"/>
      <c r="V21" s="385"/>
      <c r="W21" s="385">
        <f>Roles!$D$6</f>
        <v>0.1</v>
      </c>
      <c r="X21" s="385"/>
      <c r="Y21" s="205">
        <f t="shared" si="10"/>
        <v>0</v>
      </c>
      <c r="Z21" s="392"/>
      <c r="AA21" s="385"/>
      <c r="AB21" s="385">
        <f>Roles!$D$6</f>
        <v>0.1</v>
      </c>
      <c r="AC21" s="385"/>
      <c r="AD21" s="205">
        <f t="shared" si="11"/>
        <v>0</v>
      </c>
      <c r="AE21" s="392"/>
      <c r="AF21" s="385"/>
      <c r="AG21" s="385">
        <f>Roles!$D$6</f>
        <v>0.1</v>
      </c>
      <c r="AH21" s="385"/>
      <c r="AI21" s="205">
        <f t="shared" si="12"/>
        <v>0</v>
      </c>
      <c r="AJ21" s="392"/>
      <c r="AK21" s="385"/>
      <c r="AL21" s="385">
        <f>Roles!$D$6</f>
        <v>0.1</v>
      </c>
      <c r="AM21" s="385"/>
      <c r="AN21" s="205">
        <f t="shared" si="13"/>
        <v>0</v>
      </c>
      <c r="AO21" s="392"/>
      <c r="AP21" s="385"/>
      <c r="AQ21" s="385">
        <f>Roles!$D$6</f>
        <v>0.1</v>
      </c>
      <c r="AR21" s="385"/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 t="shared" si="1"/>
        <v>2</v>
      </c>
      <c r="F22" s="80">
        <v>3.0</v>
      </c>
      <c r="G22" s="105">
        <f t="shared" si="2"/>
        <v>0.002583979328</v>
      </c>
      <c r="H22" s="186">
        <f t="shared" si="19"/>
        <v>0.03273040482</v>
      </c>
      <c r="I22" s="187">
        <f t="shared" si="17"/>
        <v>0</v>
      </c>
      <c r="J22" s="172">
        <f t="shared" si="20"/>
        <v>3</v>
      </c>
      <c r="K22" s="115">
        <f t="shared" si="3"/>
        <v>0.004411764706</v>
      </c>
      <c r="L22" s="336">
        <f t="shared" si="18"/>
        <v>0</v>
      </c>
      <c r="M22" s="172">
        <f t="shared" si="21"/>
        <v>1.32</v>
      </c>
      <c r="N22" s="115" t="str">
        <f t="shared" si="6"/>
        <v>#REF!</v>
      </c>
      <c r="O22" s="205">
        <f t="shared" si="7"/>
        <v>0</v>
      </c>
      <c r="P22" s="391">
        <v>0.0</v>
      </c>
      <c r="Q22" s="385"/>
      <c r="R22" s="385">
        <f>Roles!$D$5</f>
        <v>0.44</v>
      </c>
      <c r="S22" s="385">
        <f t="shared" si="8"/>
        <v>0</v>
      </c>
      <c r="T22" s="205">
        <f t="shared" si="9"/>
        <v>0</v>
      </c>
      <c r="U22" s="392"/>
      <c r="V22" s="385"/>
      <c r="W22" s="385">
        <f>Roles!$D$6</f>
        <v>0.1</v>
      </c>
      <c r="X22" s="385"/>
      <c r="Y22" s="205">
        <f t="shared" si="10"/>
        <v>0</v>
      </c>
      <c r="Z22" s="392"/>
      <c r="AA22" s="385"/>
      <c r="AB22" s="385">
        <f>Roles!$D$6</f>
        <v>0.1</v>
      </c>
      <c r="AC22" s="385"/>
      <c r="AD22" s="205">
        <f t="shared" si="11"/>
        <v>0</v>
      </c>
      <c r="AE22" s="392"/>
      <c r="AF22" s="385"/>
      <c r="AG22" s="385">
        <f>Roles!$D$6</f>
        <v>0.1</v>
      </c>
      <c r="AH22" s="385"/>
      <c r="AI22" s="205">
        <f t="shared" si="12"/>
        <v>0</v>
      </c>
      <c r="AJ22" s="392"/>
      <c r="AK22" s="385"/>
      <c r="AL22" s="385">
        <f>Roles!$D$6</f>
        <v>0.1</v>
      </c>
      <c r="AM22" s="385"/>
      <c r="AN22" s="205">
        <f t="shared" si="13"/>
        <v>0</v>
      </c>
      <c r="AO22" s="392"/>
      <c r="AP22" s="385"/>
      <c r="AQ22" s="385">
        <f>Roles!$D$6</f>
        <v>0.1</v>
      </c>
      <c r="AR22" s="385"/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 t="shared" si="1"/>
        <v>7</v>
      </c>
      <c r="F23" s="161">
        <f>SUM(F24:F28)</f>
        <v>20</v>
      </c>
      <c r="G23" s="105">
        <f t="shared" si="2"/>
        <v>0.01722652885</v>
      </c>
      <c r="H23" s="163">
        <f>H28</f>
        <v>0.04995693368</v>
      </c>
      <c r="I23" s="213">
        <f>SUM(I24:I28)</f>
        <v>9</v>
      </c>
      <c r="J23" s="165">
        <f>J28</f>
        <v>12</v>
      </c>
      <c r="K23" s="167">
        <f t="shared" si="3"/>
        <v>0.01764705882</v>
      </c>
      <c r="L23" s="228">
        <f>SUM(L24:L28)</f>
        <v>3.96</v>
      </c>
      <c r="M23" s="215">
        <f>M28</f>
        <v>5.28</v>
      </c>
      <c r="N23" s="226" t="str">
        <f t="shared" si="6"/>
        <v>#REF!</v>
      </c>
      <c r="O23" s="205">
        <f t="shared" si="7"/>
        <v>0</v>
      </c>
      <c r="P23" s="89"/>
      <c r="Q23" s="385"/>
      <c r="R23" s="385">
        <f>Roles!$D$5</f>
        <v>0.44</v>
      </c>
      <c r="S23" s="385">
        <f t="shared" si="8"/>
        <v>0</v>
      </c>
      <c r="T23" s="205">
        <f t="shared" si="9"/>
        <v>0</v>
      </c>
      <c r="U23" s="392"/>
      <c r="V23" s="385"/>
      <c r="W23" s="385">
        <f>Roles!$D$6</f>
        <v>0.1</v>
      </c>
      <c r="X23" s="385"/>
      <c r="Y23" s="205">
        <f t="shared" si="10"/>
        <v>0</v>
      </c>
      <c r="Z23" s="392"/>
      <c r="AA23" s="385"/>
      <c r="AB23" s="385">
        <f>Roles!$D$6</f>
        <v>0.1</v>
      </c>
      <c r="AC23" s="385"/>
      <c r="AD23" s="205">
        <f t="shared" si="11"/>
        <v>0</v>
      </c>
      <c r="AE23" s="392"/>
      <c r="AF23" s="385"/>
      <c r="AG23" s="385">
        <f>Roles!$D$6</f>
        <v>0.1</v>
      </c>
      <c r="AH23" s="385"/>
      <c r="AI23" s="205">
        <f t="shared" si="12"/>
        <v>0</v>
      </c>
      <c r="AJ23" s="392"/>
      <c r="AK23" s="385"/>
      <c r="AL23" s="385">
        <f>Roles!$D$6</f>
        <v>0.1</v>
      </c>
      <c r="AM23" s="385"/>
      <c r="AN23" s="205">
        <f t="shared" si="13"/>
        <v>0</v>
      </c>
      <c r="AO23" s="392"/>
      <c r="AP23" s="385"/>
      <c r="AQ23" s="385">
        <f>Roles!$D$6</f>
        <v>0.1</v>
      </c>
      <c r="AR23" s="385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 t="shared" si="1"/>
        <v>7</v>
      </c>
      <c r="F24" s="185">
        <v>8.0</v>
      </c>
      <c r="G24" s="105">
        <f t="shared" si="2"/>
        <v>0.006890611542</v>
      </c>
      <c r="H24" s="186">
        <f>H22+G24</f>
        <v>0.03962101637</v>
      </c>
      <c r="I24" s="187">
        <f t="shared" ref="I24:I28" si="22">P24+U24+Z24+AE24+AJ24+AO24</f>
        <v>0</v>
      </c>
      <c r="J24" s="187">
        <f>J22+I24</f>
        <v>3</v>
      </c>
      <c r="K24" s="115">
        <f t="shared" si="3"/>
        <v>0.004411764706</v>
      </c>
      <c r="L24" s="336">
        <f t="shared" ref="L24:L28" si="23">S24+X24+AC24+AH24+AM24+AR24</f>
        <v>0</v>
      </c>
      <c r="M24" s="172">
        <f>M22+L24</f>
        <v>1.32</v>
      </c>
      <c r="N24" s="47" t="str">
        <f t="shared" si="6"/>
        <v>#REF!</v>
      </c>
      <c r="O24" s="205">
        <f t="shared" si="7"/>
        <v>0</v>
      </c>
      <c r="P24" s="391">
        <v>0.0</v>
      </c>
      <c r="Q24" s="385"/>
      <c r="R24" s="385">
        <f>Roles!$D$5</f>
        <v>0.44</v>
      </c>
      <c r="S24" s="385">
        <f t="shared" si="8"/>
        <v>0</v>
      </c>
      <c r="T24" s="205">
        <f t="shared" si="9"/>
        <v>0</v>
      </c>
      <c r="U24" s="392"/>
      <c r="V24" s="385"/>
      <c r="W24" s="385">
        <f>Roles!$D$6</f>
        <v>0.1</v>
      </c>
      <c r="X24" s="385"/>
      <c r="Y24" s="205">
        <f t="shared" si="10"/>
        <v>0</v>
      </c>
      <c r="Z24" s="392"/>
      <c r="AA24" s="385"/>
      <c r="AB24" s="385">
        <f>Roles!$D$6</f>
        <v>0.1</v>
      </c>
      <c r="AC24" s="385"/>
      <c r="AD24" s="205">
        <f t="shared" si="11"/>
        <v>0</v>
      </c>
      <c r="AE24" s="392"/>
      <c r="AF24" s="385"/>
      <c r="AG24" s="385">
        <f>Roles!$D$6</f>
        <v>0.1</v>
      </c>
      <c r="AH24" s="385"/>
      <c r="AI24" s="205">
        <f t="shared" si="12"/>
        <v>0</v>
      </c>
      <c r="AJ24" s="392"/>
      <c r="AK24" s="385"/>
      <c r="AL24" s="385">
        <f>Roles!$D$6</f>
        <v>0.1</v>
      </c>
      <c r="AM24" s="385"/>
      <c r="AN24" s="205">
        <f t="shared" si="13"/>
        <v>0</v>
      </c>
      <c r="AO24" s="392"/>
      <c r="AP24" s="385"/>
      <c r="AQ24" s="385">
        <f>Roles!$D$6</f>
        <v>0.1</v>
      </c>
      <c r="AR24" s="385"/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 t="shared" si="1"/>
        <v>3</v>
      </c>
      <c r="F25" s="80">
        <v>4.0</v>
      </c>
      <c r="G25" s="105">
        <f t="shared" si="2"/>
        <v>0.003445305771</v>
      </c>
      <c r="H25" s="47">
        <f t="shared" ref="H25:H29" si="24">H24+G25</f>
        <v>0.04306632214</v>
      </c>
      <c r="I25" s="187">
        <f t="shared" si="22"/>
        <v>0</v>
      </c>
      <c r="J25" s="172">
        <f t="shared" ref="J25:J29" si="25">J24+I25</f>
        <v>3</v>
      </c>
      <c r="K25" s="115">
        <f t="shared" si="3"/>
        <v>0.004411764706</v>
      </c>
      <c r="L25" s="336">
        <f t="shared" si="23"/>
        <v>0</v>
      </c>
      <c r="M25" s="172">
        <f t="shared" ref="M25:M29" si="26">M24+L25</f>
        <v>1.32</v>
      </c>
      <c r="N25" s="47" t="str">
        <f t="shared" si="6"/>
        <v>#REF!</v>
      </c>
      <c r="O25" s="205">
        <f t="shared" si="7"/>
        <v>0</v>
      </c>
      <c r="P25" s="391">
        <v>0.0</v>
      </c>
      <c r="Q25" s="385"/>
      <c r="R25" s="385">
        <f>Roles!$D$5</f>
        <v>0.44</v>
      </c>
      <c r="S25" s="385">
        <f t="shared" si="8"/>
        <v>0</v>
      </c>
      <c r="T25" s="205">
        <f t="shared" si="9"/>
        <v>0</v>
      </c>
      <c r="U25" s="392"/>
      <c r="V25" s="385"/>
      <c r="W25" s="385">
        <f>Roles!$D$6</f>
        <v>0.1</v>
      </c>
      <c r="X25" s="385"/>
      <c r="Y25" s="205">
        <f t="shared" si="10"/>
        <v>0</v>
      </c>
      <c r="Z25" s="392"/>
      <c r="AA25" s="385"/>
      <c r="AB25" s="385">
        <f>Roles!$D$6</f>
        <v>0.1</v>
      </c>
      <c r="AC25" s="385"/>
      <c r="AD25" s="205">
        <f t="shared" si="11"/>
        <v>0</v>
      </c>
      <c r="AE25" s="392"/>
      <c r="AF25" s="385"/>
      <c r="AG25" s="385">
        <f>Roles!$D$6</f>
        <v>0.1</v>
      </c>
      <c r="AH25" s="385"/>
      <c r="AI25" s="205">
        <f t="shared" si="12"/>
        <v>0</v>
      </c>
      <c r="AJ25" s="392"/>
      <c r="AK25" s="385"/>
      <c r="AL25" s="385">
        <f>Roles!$D$6</f>
        <v>0.1</v>
      </c>
      <c r="AM25" s="385"/>
      <c r="AN25" s="205">
        <f t="shared" si="13"/>
        <v>0</v>
      </c>
      <c r="AO25" s="392"/>
      <c r="AP25" s="385"/>
      <c r="AQ25" s="385">
        <f>Roles!$D$6</f>
        <v>0.1</v>
      </c>
      <c r="AR25" s="385"/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 t="shared" si="1"/>
        <v>3</v>
      </c>
      <c r="F26" s="80">
        <v>4.0</v>
      </c>
      <c r="G26" s="105">
        <f t="shared" si="2"/>
        <v>0.003445305771</v>
      </c>
      <c r="H26" s="47">
        <f t="shared" si="24"/>
        <v>0.04651162791</v>
      </c>
      <c r="I26" s="187">
        <f t="shared" si="22"/>
        <v>8</v>
      </c>
      <c r="J26" s="172">
        <f t="shared" si="25"/>
        <v>11</v>
      </c>
      <c r="K26" s="115">
        <f t="shared" si="3"/>
        <v>0.01617647059</v>
      </c>
      <c r="L26" s="336">
        <f t="shared" si="23"/>
        <v>3.52</v>
      </c>
      <c r="M26" s="172">
        <f t="shared" si="26"/>
        <v>4.84</v>
      </c>
      <c r="N26" s="47" t="str">
        <f t="shared" si="6"/>
        <v>#REF!</v>
      </c>
      <c r="O26" s="205">
        <f t="shared" si="7"/>
        <v>2</v>
      </c>
      <c r="P26" s="391">
        <v>8.0</v>
      </c>
      <c r="Q26" s="385"/>
      <c r="R26" s="385">
        <f>Roles!$D$5</f>
        <v>0.44</v>
      </c>
      <c r="S26" s="385">
        <f t="shared" si="8"/>
        <v>3.52</v>
      </c>
      <c r="T26" s="205">
        <f t="shared" si="9"/>
        <v>0</v>
      </c>
      <c r="U26" s="392"/>
      <c r="V26" s="385"/>
      <c r="W26" s="385">
        <f>Roles!$D$6</f>
        <v>0.1</v>
      </c>
      <c r="X26" s="385"/>
      <c r="Y26" s="205">
        <f t="shared" si="10"/>
        <v>0</v>
      </c>
      <c r="Z26" s="392"/>
      <c r="AA26" s="385"/>
      <c r="AB26" s="385">
        <f>Roles!$D$6</f>
        <v>0.1</v>
      </c>
      <c r="AC26" s="385"/>
      <c r="AD26" s="205">
        <f t="shared" si="11"/>
        <v>0</v>
      </c>
      <c r="AE26" s="392"/>
      <c r="AF26" s="385"/>
      <c r="AG26" s="385">
        <f>Roles!$D$6</f>
        <v>0.1</v>
      </c>
      <c r="AH26" s="385"/>
      <c r="AI26" s="205">
        <f t="shared" si="12"/>
        <v>0</v>
      </c>
      <c r="AJ26" s="392"/>
      <c r="AK26" s="385"/>
      <c r="AL26" s="385">
        <f>Roles!$D$6</f>
        <v>0.1</v>
      </c>
      <c r="AM26" s="385"/>
      <c r="AN26" s="205">
        <f t="shared" si="13"/>
        <v>0</v>
      </c>
      <c r="AO26" s="392"/>
      <c r="AP26" s="385"/>
      <c r="AQ26" s="385">
        <f>Roles!$D$6</f>
        <v>0.1</v>
      </c>
      <c r="AR26" s="385"/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 t="shared" si="1"/>
        <v>1</v>
      </c>
      <c r="F27" s="185">
        <v>1.0</v>
      </c>
      <c r="G27" s="105">
        <f t="shared" si="2"/>
        <v>0.0008613264427</v>
      </c>
      <c r="H27" s="47">
        <f t="shared" si="24"/>
        <v>0.04737295435</v>
      </c>
      <c r="I27" s="187">
        <f t="shared" si="22"/>
        <v>1</v>
      </c>
      <c r="J27" s="233">
        <f t="shared" si="25"/>
        <v>12</v>
      </c>
      <c r="K27" s="115">
        <f t="shared" si="3"/>
        <v>0.01764705882</v>
      </c>
      <c r="L27" s="336">
        <f t="shared" si="23"/>
        <v>0.44</v>
      </c>
      <c r="M27" s="191">
        <f t="shared" si="26"/>
        <v>5.28</v>
      </c>
      <c r="N27" s="226" t="str">
        <f t="shared" si="6"/>
        <v>#REF!</v>
      </c>
      <c r="O27" s="205">
        <f t="shared" si="7"/>
        <v>1</v>
      </c>
      <c r="P27" s="391">
        <v>1.0</v>
      </c>
      <c r="Q27" s="385"/>
      <c r="R27" s="385">
        <f>Roles!$D$5</f>
        <v>0.44</v>
      </c>
      <c r="S27" s="385">
        <f t="shared" si="8"/>
        <v>0.44</v>
      </c>
      <c r="T27" s="205">
        <f t="shared" si="9"/>
        <v>0</v>
      </c>
      <c r="U27" s="392"/>
      <c r="V27" s="385"/>
      <c r="W27" s="385">
        <f>Roles!$D$6</f>
        <v>0.1</v>
      </c>
      <c r="X27" s="385"/>
      <c r="Y27" s="205">
        <f t="shared" si="10"/>
        <v>0</v>
      </c>
      <c r="Z27" s="392"/>
      <c r="AA27" s="385"/>
      <c r="AB27" s="385">
        <f>Roles!$D$6</f>
        <v>0.1</v>
      </c>
      <c r="AC27" s="385"/>
      <c r="AD27" s="205">
        <f t="shared" si="11"/>
        <v>0</v>
      </c>
      <c r="AE27" s="392"/>
      <c r="AF27" s="385"/>
      <c r="AG27" s="385">
        <f>Roles!$D$6</f>
        <v>0.1</v>
      </c>
      <c r="AH27" s="385"/>
      <c r="AI27" s="205">
        <f t="shared" si="12"/>
        <v>0</v>
      </c>
      <c r="AJ27" s="392"/>
      <c r="AK27" s="385"/>
      <c r="AL27" s="385">
        <f>Roles!$D$6</f>
        <v>0.1</v>
      </c>
      <c r="AM27" s="385"/>
      <c r="AN27" s="205">
        <f t="shared" si="13"/>
        <v>0</v>
      </c>
      <c r="AO27" s="392"/>
      <c r="AP27" s="385"/>
      <c r="AQ27" s="385">
        <f>Roles!$D$6</f>
        <v>0.1</v>
      </c>
      <c r="AR27" s="385"/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 t="shared" si="1"/>
        <v>2</v>
      </c>
      <c r="F28" s="80">
        <v>3.0</v>
      </c>
      <c r="G28" s="105">
        <f t="shared" si="2"/>
        <v>0.002583979328</v>
      </c>
      <c r="H28" s="47">
        <f t="shared" si="24"/>
        <v>0.04995693368</v>
      </c>
      <c r="I28" s="187">
        <f t="shared" si="22"/>
        <v>0</v>
      </c>
      <c r="J28" s="172">
        <f t="shared" si="25"/>
        <v>12</v>
      </c>
      <c r="K28" s="115">
        <f t="shared" si="3"/>
        <v>0.01764705882</v>
      </c>
      <c r="L28" s="336">
        <f t="shared" si="23"/>
        <v>0</v>
      </c>
      <c r="M28" s="172">
        <f t="shared" si="26"/>
        <v>5.28</v>
      </c>
      <c r="N28" s="282" t="str">
        <f t="shared" si="6"/>
        <v>#REF!</v>
      </c>
      <c r="O28" s="205">
        <f t="shared" si="7"/>
        <v>0</v>
      </c>
      <c r="P28" s="391">
        <v>0.0</v>
      </c>
      <c r="Q28" s="385"/>
      <c r="R28" s="385">
        <f>Roles!$D$5</f>
        <v>0.44</v>
      </c>
      <c r="S28" s="385">
        <f t="shared" si="8"/>
        <v>0</v>
      </c>
      <c r="T28" s="205">
        <f t="shared" si="9"/>
        <v>0</v>
      </c>
      <c r="U28" s="392"/>
      <c r="V28" s="385"/>
      <c r="W28" s="385">
        <f>Roles!$D$6</f>
        <v>0.1</v>
      </c>
      <c r="X28" s="385"/>
      <c r="Y28" s="205">
        <f t="shared" si="10"/>
        <v>0</v>
      </c>
      <c r="Z28" s="392"/>
      <c r="AA28" s="385"/>
      <c r="AB28" s="385">
        <f>Roles!$D$6</f>
        <v>0.1</v>
      </c>
      <c r="AC28" s="385"/>
      <c r="AD28" s="205">
        <f t="shared" si="11"/>
        <v>0</v>
      </c>
      <c r="AE28" s="392"/>
      <c r="AF28" s="385"/>
      <c r="AG28" s="385">
        <f>Roles!$D$6</f>
        <v>0.1</v>
      </c>
      <c r="AH28" s="385"/>
      <c r="AI28" s="205">
        <f t="shared" si="12"/>
        <v>0</v>
      </c>
      <c r="AJ28" s="392"/>
      <c r="AK28" s="385"/>
      <c r="AL28" s="385">
        <f>Roles!$D$6</f>
        <v>0.1</v>
      </c>
      <c r="AM28" s="385"/>
      <c r="AN28" s="205">
        <f t="shared" si="13"/>
        <v>0</v>
      </c>
      <c r="AO28" s="392"/>
      <c r="AP28" s="385"/>
      <c r="AQ28" s="385">
        <f>Roles!$D$6</f>
        <v>0.1</v>
      </c>
      <c r="AR28" s="385"/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 t="shared" si="1"/>
        <v>1</v>
      </c>
      <c r="F29" s="136">
        <v>0.0</v>
      </c>
      <c r="G29" s="105">
        <f t="shared" si="2"/>
        <v>0</v>
      </c>
      <c r="H29" s="115">
        <f t="shared" si="24"/>
        <v>0.04995693368</v>
      </c>
      <c r="I29" s="110">
        <f>F29</f>
        <v>0</v>
      </c>
      <c r="J29" s="110">
        <f t="shared" si="25"/>
        <v>12</v>
      </c>
      <c r="K29" s="115">
        <f t="shared" si="3"/>
        <v>0.01764705882</v>
      </c>
      <c r="L29" s="110">
        <v>0.0</v>
      </c>
      <c r="M29" s="110">
        <f t="shared" si="26"/>
        <v>5.28</v>
      </c>
      <c r="N29" s="47" t="str">
        <f t="shared" si="6"/>
        <v>#REF!</v>
      </c>
      <c r="O29" s="205" t="str">
        <f t="shared" si="7"/>
        <v>#DIV/0!</v>
      </c>
      <c r="P29" s="89"/>
      <c r="Q29" s="385"/>
      <c r="R29" s="385">
        <f>Roles!$D$5</f>
        <v>0.44</v>
      </c>
      <c r="S29" s="385">
        <f t="shared" si="8"/>
        <v>0</v>
      </c>
      <c r="T29" s="205" t="str">
        <f t="shared" si="9"/>
        <v>#DIV/0!</v>
      </c>
      <c r="U29" s="392"/>
      <c r="V29" s="385"/>
      <c r="W29" s="385">
        <f>Roles!$D$6</f>
        <v>0.1</v>
      </c>
      <c r="X29" s="385"/>
      <c r="Y29" s="205" t="str">
        <f t="shared" si="10"/>
        <v>#DIV/0!</v>
      </c>
      <c r="Z29" s="392"/>
      <c r="AA29" s="385"/>
      <c r="AB29" s="385">
        <f>Roles!$D$6</f>
        <v>0.1</v>
      </c>
      <c r="AC29" s="385"/>
      <c r="AD29" s="205" t="str">
        <f t="shared" si="11"/>
        <v>#DIV/0!</v>
      </c>
      <c r="AE29" s="392"/>
      <c r="AF29" s="385"/>
      <c r="AG29" s="385">
        <f>Roles!$D$6</f>
        <v>0.1</v>
      </c>
      <c r="AH29" s="385"/>
      <c r="AI29" s="205" t="str">
        <f t="shared" si="12"/>
        <v>#DIV/0!</v>
      </c>
      <c r="AJ29" s="392"/>
      <c r="AK29" s="385"/>
      <c r="AL29" s="385">
        <f>Roles!$D$6</f>
        <v>0.1</v>
      </c>
      <c r="AM29" s="385"/>
      <c r="AN29" s="205" t="str">
        <f t="shared" si="13"/>
        <v>#DIV/0!</v>
      </c>
      <c r="AO29" s="392"/>
      <c r="AP29" s="385"/>
      <c r="AQ29" s="385">
        <f>Roles!$D$6</f>
        <v>0.1</v>
      </c>
      <c r="AR29" s="385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 t="shared" si="1"/>
        <v>15</v>
      </c>
      <c r="F30" s="240">
        <f>F31+F39+F47+F52+F58+F62+F66+F70+F74</f>
        <v>243</v>
      </c>
      <c r="G30" s="105">
        <f t="shared" si="2"/>
        <v>0.2093023256</v>
      </c>
      <c r="H30" s="224">
        <f>H78</f>
        <v>0.2592592593</v>
      </c>
      <c r="I30" s="241">
        <f>I31+I39+I47+I52+I58+I62+I66+I70+I74</f>
        <v>81</v>
      </c>
      <c r="J30" s="241">
        <f>J78</f>
        <v>93</v>
      </c>
      <c r="K30" s="138">
        <f t="shared" si="3"/>
        <v>0.1367647059</v>
      </c>
      <c r="L30" s="241">
        <f>L31+L39+L47+L52+L58+L62+L66+L70+L74</f>
        <v>35.64</v>
      </c>
      <c r="M30" s="241">
        <f>M78</f>
        <v>40.92</v>
      </c>
      <c r="N30" s="323" t="str">
        <f t="shared" si="6"/>
        <v>#REF!</v>
      </c>
      <c r="O30" s="205">
        <f t="shared" si="7"/>
        <v>0</v>
      </c>
      <c r="P30" s="89"/>
      <c r="Q30" s="385"/>
      <c r="R30" s="385">
        <f>Roles!$D$5</f>
        <v>0.44</v>
      </c>
      <c r="S30" s="385">
        <f t="shared" si="8"/>
        <v>0</v>
      </c>
      <c r="T30" s="205">
        <f t="shared" si="9"/>
        <v>0</v>
      </c>
      <c r="U30" s="392"/>
      <c r="V30" s="385"/>
      <c r="W30" s="385">
        <f>Roles!$D$6</f>
        <v>0.1</v>
      </c>
      <c r="X30" s="385"/>
      <c r="Y30" s="205">
        <f t="shared" si="10"/>
        <v>0</v>
      </c>
      <c r="Z30" s="392"/>
      <c r="AA30" s="385"/>
      <c r="AB30" s="385">
        <f>Roles!$D$6</f>
        <v>0.1</v>
      </c>
      <c r="AC30" s="385"/>
      <c r="AD30" s="205">
        <f t="shared" si="11"/>
        <v>0</v>
      </c>
      <c r="AE30" s="392"/>
      <c r="AF30" s="385"/>
      <c r="AG30" s="385">
        <f>Roles!$D$6</f>
        <v>0.1</v>
      </c>
      <c r="AH30" s="385"/>
      <c r="AI30" s="205">
        <f t="shared" si="12"/>
        <v>0</v>
      </c>
      <c r="AJ30" s="392"/>
      <c r="AK30" s="385"/>
      <c r="AL30" s="385">
        <f>Roles!$D$6</f>
        <v>0.1</v>
      </c>
      <c r="AM30" s="385"/>
      <c r="AN30" s="205">
        <f t="shared" si="13"/>
        <v>0</v>
      </c>
      <c r="AO30" s="392"/>
      <c r="AP30" s="385"/>
      <c r="AQ30" s="385">
        <f>Roles!$D$6</f>
        <v>0.1</v>
      </c>
      <c r="AR30" s="385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 t="shared" si="1"/>
        <v>3</v>
      </c>
      <c r="F31" s="246">
        <f>SUM(F32:F38)</f>
        <v>18</v>
      </c>
      <c r="G31" s="105">
        <f t="shared" si="2"/>
        <v>0.01550387597</v>
      </c>
      <c r="H31" s="226">
        <f>H38</f>
        <v>0.06546080965</v>
      </c>
      <c r="I31" s="247">
        <f>SUM(I32:I38)</f>
        <v>1</v>
      </c>
      <c r="J31" s="247">
        <f>J38</f>
        <v>13</v>
      </c>
      <c r="K31" s="167">
        <f t="shared" si="3"/>
        <v>0.01911764706</v>
      </c>
      <c r="L31" s="247">
        <f>SUM(L32:L38)</f>
        <v>0.44</v>
      </c>
      <c r="M31" s="247">
        <f>M38</f>
        <v>5.72</v>
      </c>
      <c r="N31" s="224" t="str">
        <f t="shared" si="6"/>
        <v>#REF!</v>
      </c>
      <c r="O31" s="205">
        <f t="shared" si="7"/>
        <v>0</v>
      </c>
      <c r="P31" s="89"/>
      <c r="Q31" s="385"/>
      <c r="R31" s="385">
        <f>Roles!$D$5</f>
        <v>0.44</v>
      </c>
      <c r="S31" s="385">
        <f t="shared" si="8"/>
        <v>0</v>
      </c>
      <c r="T31" s="205">
        <f t="shared" si="9"/>
        <v>0</v>
      </c>
      <c r="U31" s="392"/>
      <c r="V31" s="385"/>
      <c r="W31" s="385">
        <f>Roles!$D$6</f>
        <v>0.1</v>
      </c>
      <c r="X31" s="385"/>
      <c r="Y31" s="205">
        <f t="shared" si="10"/>
        <v>0</v>
      </c>
      <c r="Z31" s="392"/>
      <c r="AA31" s="385"/>
      <c r="AB31" s="385">
        <f>Roles!$D$6</f>
        <v>0.1</v>
      </c>
      <c r="AC31" s="385"/>
      <c r="AD31" s="205">
        <f t="shared" si="11"/>
        <v>0</v>
      </c>
      <c r="AE31" s="392"/>
      <c r="AF31" s="385"/>
      <c r="AG31" s="385">
        <f>Roles!$D$6</f>
        <v>0.1</v>
      </c>
      <c r="AH31" s="385"/>
      <c r="AI31" s="205">
        <f t="shared" si="12"/>
        <v>0</v>
      </c>
      <c r="AJ31" s="392"/>
      <c r="AK31" s="385"/>
      <c r="AL31" s="385">
        <f>Roles!$D$6</f>
        <v>0.1</v>
      </c>
      <c r="AM31" s="385"/>
      <c r="AN31" s="205">
        <f t="shared" si="13"/>
        <v>0</v>
      </c>
      <c r="AO31" s="392"/>
      <c r="AP31" s="385"/>
      <c r="AQ31" s="385">
        <f>Roles!$D$6</f>
        <v>0.1</v>
      </c>
      <c r="AR31" s="385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 t="shared" si="1"/>
        <v>1</v>
      </c>
      <c r="F32" s="80">
        <v>3.0</v>
      </c>
      <c r="G32" s="105">
        <f t="shared" si="2"/>
        <v>0.002583979328</v>
      </c>
      <c r="H32" s="47">
        <f>H29+G32</f>
        <v>0.05254091301</v>
      </c>
      <c r="I32" s="187">
        <f t="shared" ref="I32:I38" si="27">P32+U32+Z32+AE32+AJ32+AO32</f>
        <v>0</v>
      </c>
      <c r="J32" s="172">
        <f>J29+I32</f>
        <v>12</v>
      </c>
      <c r="K32" s="115">
        <f t="shared" si="3"/>
        <v>0.01764705882</v>
      </c>
      <c r="L32" s="336">
        <f t="shared" ref="L32:L38" si="28">S32+X32+AC32+AH32+AM32+AR32</f>
        <v>0</v>
      </c>
      <c r="M32" s="172">
        <f>M29+L32</f>
        <v>5.28</v>
      </c>
      <c r="N32" s="226" t="str">
        <f t="shared" si="6"/>
        <v>#REF!</v>
      </c>
      <c r="O32" s="205">
        <f t="shared" si="7"/>
        <v>0</v>
      </c>
      <c r="P32" s="391">
        <v>0.0</v>
      </c>
      <c r="Q32" s="385"/>
      <c r="R32" s="385">
        <f>Roles!$D$5</f>
        <v>0.44</v>
      </c>
      <c r="S32" s="385">
        <f t="shared" si="8"/>
        <v>0</v>
      </c>
      <c r="T32" s="205">
        <f t="shared" si="9"/>
        <v>0</v>
      </c>
      <c r="U32" s="392"/>
      <c r="V32" s="385"/>
      <c r="W32" s="385">
        <f>Roles!$D$6</f>
        <v>0.1</v>
      </c>
      <c r="X32" s="385"/>
      <c r="Y32" s="205">
        <f t="shared" si="10"/>
        <v>0</v>
      </c>
      <c r="Z32" s="392"/>
      <c r="AA32" s="385"/>
      <c r="AB32" s="385">
        <f>Roles!$D$6</f>
        <v>0.1</v>
      </c>
      <c r="AC32" s="385"/>
      <c r="AD32" s="205">
        <f t="shared" si="11"/>
        <v>0</v>
      </c>
      <c r="AE32" s="392"/>
      <c r="AF32" s="385"/>
      <c r="AG32" s="385">
        <f>Roles!$D$6</f>
        <v>0.1</v>
      </c>
      <c r="AH32" s="385"/>
      <c r="AI32" s="205">
        <f t="shared" si="12"/>
        <v>0</v>
      </c>
      <c r="AJ32" s="392"/>
      <c r="AK32" s="385"/>
      <c r="AL32" s="385">
        <f>Roles!$D$6</f>
        <v>0.1</v>
      </c>
      <c r="AM32" s="385"/>
      <c r="AN32" s="205">
        <f t="shared" si="13"/>
        <v>0</v>
      </c>
      <c r="AO32" s="392"/>
      <c r="AP32" s="385"/>
      <c r="AQ32" s="385">
        <f>Roles!$D$6</f>
        <v>0.1</v>
      </c>
      <c r="AR32" s="385"/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 t="shared" si="1"/>
        <v>2</v>
      </c>
      <c r="F33" s="80">
        <v>3.0</v>
      </c>
      <c r="G33" s="105">
        <f t="shared" si="2"/>
        <v>0.002583979328</v>
      </c>
      <c r="H33" s="47">
        <f t="shared" ref="H33:H38" si="29">H32+G33</f>
        <v>0.05512489233</v>
      </c>
      <c r="I33" s="187">
        <f t="shared" si="27"/>
        <v>0</v>
      </c>
      <c r="J33" s="172">
        <f t="shared" ref="J33:J38" si="30">J32+I33</f>
        <v>12</v>
      </c>
      <c r="K33" s="115">
        <f t="shared" si="3"/>
        <v>0.01764705882</v>
      </c>
      <c r="L33" s="336">
        <f t="shared" si="28"/>
        <v>0</v>
      </c>
      <c r="M33" s="172">
        <f t="shared" ref="M33:M38" si="31">M32+L33</f>
        <v>5.28</v>
      </c>
      <c r="N33" s="47" t="str">
        <f t="shared" si="6"/>
        <v>#REF!</v>
      </c>
      <c r="O33" s="205">
        <f t="shared" si="7"/>
        <v>0</v>
      </c>
      <c r="P33" s="391">
        <v>0.0</v>
      </c>
      <c r="Q33" s="385"/>
      <c r="R33" s="385">
        <f>Roles!$D$5</f>
        <v>0.44</v>
      </c>
      <c r="S33" s="385">
        <f t="shared" si="8"/>
        <v>0</v>
      </c>
      <c r="T33" s="205">
        <f t="shared" si="9"/>
        <v>0</v>
      </c>
      <c r="U33" s="392"/>
      <c r="V33" s="385"/>
      <c r="W33" s="385">
        <f>Roles!$D$6</f>
        <v>0.1</v>
      </c>
      <c r="X33" s="385"/>
      <c r="Y33" s="205">
        <f t="shared" si="10"/>
        <v>0</v>
      </c>
      <c r="Z33" s="392"/>
      <c r="AA33" s="385"/>
      <c r="AB33" s="385">
        <f>Roles!$D$6</f>
        <v>0.1</v>
      </c>
      <c r="AC33" s="385"/>
      <c r="AD33" s="205">
        <f t="shared" si="11"/>
        <v>0</v>
      </c>
      <c r="AE33" s="392"/>
      <c r="AF33" s="385"/>
      <c r="AG33" s="385">
        <f>Roles!$D$6</f>
        <v>0.1</v>
      </c>
      <c r="AH33" s="385"/>
      <c r="AI33" s="205">
        <f t="shared" si="12"/>
        <v>0</v>
      </c>
      <c r="AJ33" s="392"/>
      <c r="AK33" s="385"/>
      <c r="AL33" s="385">
        <f>Roles!$D$6</f>
        <v>0.1</v>
      </c>
      <c r="AM33" s="385"/>
      <c r="AN33" s="205">
        <f t="shared" si="13"/>
        <v>0</v>
      </c>
      <c r="AO33" s="392"/>
      <c r="AP33" s="385"/>
      <c r="AQ33" s="385">
        <f>Roles!$D$6</f>
        <v>0.1</v>
      </c>
      <c r="AR33" s="385"/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 t="shared" si="1"/>
        <v>2</v>
      </c>
      <c r="F34" s="80">
        <v>3.0</v>
      </c>
      <c r="G34" s="105">
        <f t="shared" si="2"/>
        <v>0.002583979328</v>
      </c>
      <c r="H34" s="47">
        <f t="shared" si="29"/>
        <v>0.05770887166</v>
      </c>
      <c r="I34" s="187">
        <f t="shared" si="27"/>
        <v>0</v>
      </c>
      <c r="J34" s="172">
        <f t="shared" si="30"/>
        <v>12</v>
      </c>
      <c r="K34" s="115">
        <f t="shared" si="3"/>
        <v>0.01764705882</v>
      </c>
      <c r="L34" s="336">
        <f t="shared" si="28"/>
        <v>0</v>
      </c>
      <c r="M34" s="172">
        <f t="shared" si="31"/>
        <v>5.28</v>
      </c>
      <c r="N34" s="47" t="str">
        <f t="shared" si="6"/>
        <v>#REF!</v>
      </c>
      <c r="O34" s="205">
        <f t="shared" si="7"/>
        <v>0</v>
      </c>
      <c r="P34" s="391">
        <v>0.0</v>
      </c>
      <c r="Q34" s="385"/>
      <c r="R34" s="385">
        <f>Roles!$D$5</f>
        <v>0.44</v>
      </c>
      <c r="S34" s="385">
        <f t="shared" si="8"/>
        <v>0</v>
      </c>
      <c r="T34" s="205">
        <f t="shared" si="9"/>
        <v>0</v>
      </c>
      <c r="U34" s="392"/>
      <c r="V34" s="385"/>
      <c r="W34" s="385">
        <f>Roles!$D$6</f>
        <v>0.1</v>
      </c>
      <c r="X34" s="385"/>
      <c r="Y34" s="205">
        <f t="shared" si="10"/>
        <v>0</v>
      </c>
      <c r="Z34" s="392"/>
      <c r="AA34" s="385"/>
      <c r="AB34" s="385">
        <f>Roles!$D$6</f>
        <v>0.1</v>
      </c>
      <c r="AC34" s="385"/>
      <c r="AD34" s="205">
        <f t="shared" si="11"/>
        <v>0</v>
      </c>
      <c r="AE34" s="392"/>
      <c r="AF34" s="385"/>
      <c r="AG34" s="385">
        <f>Roles!$D$6</f>
        <v>0.1</v>
      </c>
      <c r="AH34" s="385"/>
      <c r="AI34" s="205">
        <f t="shared" si="12"/>
        <v>0</v>
      </c>
      <c r="AJ34" s="392"/>
      <c r="AK34" s="385"/>
      <c r="AL34" s="385">
        <f>Roles!$D$6</f>
        <v>0.1</v>
      </c>
      <c r="AM34" s="385"/>
      <c r="AN34" s="205">
        <f t="shared" si="13"/>
        <v>0</v>
      </c>
      <c r="AO34" s="392"/>
      <c r="AP34" s="385"/>
      <c r="AQ34" s="385">
        <f>Roles!$D$6</f>
        <v>0.1</v>
      </c>
      <c r="AR34" s="385"/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 t="shared" si="1"/>
        <v>1</v>
      </c>
      <c r="F35" s="80">
        <v>2.0</v>
      </c>
      <c r="G35" s="105">
        <f t="shared" si="2"/>
        <v>0.001722652885</v>
      </c>
      <c r="H35" s="47">
        <f t="shared" si="29"/>
        <v>0.05943152455</v>
      </c>
      <c r="I35" s="187">
        <f t="shared" si="27"/>
        <v>0</v>
      </c>
      <c r="J35" s="172">
        <f t="shared" si="30"/>
        <v>12</v>
      </c>
      <c r="K35" s="115">
        <f t="shared" si="3"/>
        <v>0.01764705882</v>
      </c>
      <c r="L35" s="336">
        <f t="shared" si="28"/>
        <v>0</v>
      </c>
      <c r="M35" s="172">
        <f t="shared" si="31"/>
        <v>5.28</v>
      </c>
      <c r="N35" s="226" t="str">
        <f t="shared" si="6"/>
        <v>#REF!</v>
      </c>
      <c r="O35" s="205">
        <f t="shared" si="7"/>
        <v>0</v>
      </c>
      <c r="P35" s="391">
        <v>0.0</v>
      </c>
      <c r="Q35" s="385"/>
      <c r="R35" s="385">
        <f>Roles!$D$5</f>
        <v>0.44</v>
      </c>
      <c r="S35" s="385">
        <f t="shared" si="8"/>
        <v>0</v>
      </c>
      <c r="T35" s="205">
        <f t="shared" si="9"/>
        <v>0</v>
      </c>
      <c r="U35" s="392"/>
      <c r="V35" s="385"/>
      <c r="W35" s="385">
        <f>Roles!$D$6</f>
        <v>0.1</v>
      </c>
      <c r="X35" s="385"/>
      <c r="Y35" s="205">
        <f t="shared" si="10"/>
        <v>0</v>
      </c>
      <c r="Z35" s="392"/>
      <c r="AA35" s="385"/>
      <c r="AB35" s="385">
        <f>Roles!$D$6</f>
        <v>0.1</v>
      </c>
      <c r="AC35" s="385"/>
      <c r="AD35" s="205">
        <f t="shared" si="11"/>
        <v>0</v>
      </c>
      <c r="AE35" s="392"/>
      <c r="AF35" s="385"/>
      <c r="AG35" s="385">
        <f>Roles!$D$6</f>
        <v>0.1</v>
      </c>
      <c r="AH35" s="385"/>
      <c r="AI35" s="205">
        <f t="shared" si="12"/>
        <v>0</v>
      </c>
      <c r="AJ35" s="392"/>
      <c r="AK35" s="385"/>
      <c r="AL35" s="385">
        <f>Roles!$D$6</f>
        <v>0.1</v>
      </c>
      <c r="AM35" s="385"/>
      <c r="AN35" s="205">
        <f t="shared" si="13"/>
        <v>0</v>
      </c>
      <c r="AO35" s="392"/>
      <c r="AP35" s="385"/>
      <c r="AQ35" s="385">
        <f>Roles!$D$6</f>
        <v>0.1</v>
      </c>
      <c r="AR35" s="385"/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 t="shared" si="1"/>
        <v>2</v>
      </c>
      <c r="F36" s="80">
        <v>4.0</v>
      </c>
      <c r="G36" s="105">
        <f t="shared" si="2"/>
        <v>0.003445305771</v>
      </c>
      <c r="H36" s="47">
        <f t="shared" si="29"/>
        <v>0.06287683032</v>
      </c>
      <c r="I36" s="187">
        <f t="shared" si="27"/>
        <v>0</v>
      </c>
      <c r="J36" s="172">
        <f t="shared" si="30"/>
        <v>12</v>
      </c>
      <c r="K36" s="115">
        <f t="shared" si="3"/>
        <v>0.01764705882</v>
      </c>
      <c r="L36" s="336">
        <f t="shared" si="28"/>
        <v>0</v>
      </c>
      <c r="M36" s="172">
        <f t="shared" si="31"/>
        <v>5.28</v>
      </c>
      <c r="N36" s="47" t="str">
        <f t="shared" si="6"/>
        <v>#REF!</v>
      </c>
      <c r="O36" s="205">
        <f t="shared" si="7"/>
        <v>0</v>
      </c>
      <c r="P36" s="391">
        <v>0.0</v>
      </c>
      <c r="Q36" s="385"/>
      <c r="R36" s="385">
        <f>Roles!$D$5</f>
        <v>0.44</v>
      </c>
      <c r="S36" s="385">
        <f t="shared" si="8"/>
        <v>0</v>
      </c>
      <c r="T36" s="205">
        <f t="shared" si="9"/>
        <v>0</v>
      </c>
      <c r="U36" s="392"/>
      <c r="V36" s="385"/>
      <c r="W36" s="385">
        <f>Roles!$D$6</f>
        <v>0.1</v>
      </c>
      <c r="X36" s="385"/>
      <c r="Y36" s="205">
        <f t="shared" si="10"/>
        <v>0</v>
      </c>
      <c r="Z36" s="392"/>
      <c r="AA36" s="385"/>
      <c r="AB36" s="385">
        <f>Roles!$D$6</f>
        <v>0.1</v>
      </c>
      <c r="AC36" s="385"/>
      <c r="AD36" s="205">
        <f t="shared" si="11"/>
        <v>0</v>
      </c>
      <c r="AE36" s="392"/>
      <c r="AF36" s="385"/>
      <c r="AG36" s="385">
        <f>Roles!$D$6</f>
        <v>0.1</v>
      </c>
      <c r="AH36" s="385"/>
      <c r="AI36" s="205">
        <f t="shared" si="12"/>
        <v>0</v>
      </c>
      <c r="AJ36" s="392"/>
      <c r="AK36" s="385"/>
      <c r="AL36" s="385">
        <f>Roles!$D$6</f>
        <v>0.1</v>
      </c>
      <c r="AM36" s="385"/>
      <c r="AN36" s="205">
        <f t="shared" si="13"/>
        <v>0</v>
      </c>
      <c r="AO36" s="392"/>
      <c r="AP36" s="385"/>
      <c r="AQ36" s="385">
        <f>Roles!$D$6</f>
        <v>0.1</v>
      </c>
      <c r="AR36" s="385"/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 t="shared" si="1"/>
        <v>1</v>
      </c>
      <c r="F37" s="80">
        <v>2.0</v>
      </c>
      <c r="G37" s="105">
        <f t="shared" si="2"/>
        <v>0.001722652885</v>
      </c>
      <c r="H37" s="47">
        <f t="shared" si="29"/>
        <v>0.0645994832</v>
      </c>
      <c r="I37" s="187">
        <f t="shared" si="27"/>
        <v>0</v>
      </c>
      <c r="J37" s="172">
        <f t="shared" si="30"/>
        <v>12</v>
      </c>
      <c r="K37" s="115">
        <f t="shared" si="3"/>
        <v>0.01764705882</v>
      </c>
      <c r="L37" s="336">
        <f t="shared" si="28"/>
        <v>0</v>
      </c>
      <c r="M37" s="172">
        <f t="shared" si="31"/>
        <v>5.28</v>
      </c>
      <c r="N37" s="47" t="str">
        <f t="shared" si="6"/>
        <v>#REF!</v>
      </c>
      <c r="O37" s="205">
        <f t="shared" si="7"/>
        <v>0</v>
      </c>
      <c r="P37" s="391">
        <v>0.0</v>
      </c>
      <c r="Q37" s="385"/>
      <c r="R37" s="385">
        <f>Roles!$D$5</f>
        <v>0.44</v>
      </c>
      <c r="S37" s="385">
        <f t="shared" si="8"/>
        <v>0</v>
      </c>
      <c r="T37" s="205">
        <f t="shared" si="9"/>
        <v>0</v>
      </c>
      <c r="U37" s="392"/>
      <c r="V37" s="385"/>
      <c r="W37" s="385">
        <f>Roles!$D$6</f>
        <v>0.1</v>
      </c>
      <c r="X37" s="385"/>
      <c r="Y37" s="205">
        <f t="shared" si="10"/>
        <v>0</v>
      </c>
      <c r="Z37" s="392"/>
      <c r="AA37" s="385"/>
      <c r="AB37" s="385">
        <f>Roles!$D$6</f>
        <v>0.1</v>
      </c>
      <c r="AC37" s="385"/>
      <c r="AD37" s="205">
        <f t="shared" si="11"/>
        <v>0</v>
      </c>
      <c r="AE37" s="392"/>
      <c r="AF37" s="385"/>
      <c r="AG37" s="385">
        <f>Roles!$D$6</f>
        <v>0.1</v>
      </c>
      <c r="AH37" s="385"/>
      <c r="AI37" s="205">
        <f t="shared" si="12"/>
        <v>0</v>
      </c>
      <c r="AJ37" s="392"/>
      <c r="AK37" s="385"/>
      <c r="AL37" s="385">
        <f>Roles!$D$6</f>
        <v>0.1</v>
      </c>
      <c r="AM37" s="385"/>
      <c r="AN37" s="205">
        <f t="shared" si="13"/>
        <v>0</v>
      </c>
      <c r="AO37" s="392"/>
      <c r="AP37" s="385"/>
      <c r="AQ37" s="385">
        <f>Roles!$D$6</f>
        <v>0.1</v>
      </c>
      <c r="AR37" s="385"/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 t="shared" si="1"/>
        <v>1</v>
      </c>
      <c r="F38" s="80">
        <v>1.0</v>
      </c>
      <c r="G38" s="105">
        <f t="shared" si="2"/>
        <v>0.0008613264427</v>
      </c>
      <c r="H38" s="47">
        <f t="shared" si="29"/>
        <v>0.06546080965</v>
      </c>
      <c r="I38" s="187">
        <f t="shared" si="27"/>
        <v>1</v>
      </c>
      <c r="J38" s="172">
        <f t="shared" si="30"/>
        <v>13</v>
      </c>
      <c r="K38" s="248">
        <f t="shared" si="3"/>
        <v>0.01911764706</v>
      </c>
      <c r="L38" s="336">
        <f t="shared" si="28"/>
        <v>0.44</v>
      </c>
      <c r="M38" s="172">
        <f t="shared" si="31"/>
        <v>5.72</v>
      </c>
      <c r="N38" s="226" t="str">
        <f t="shared" si="6"/>
        <v>#REF!</v>
      </c>
      <c r="O38" s="205">
        <f t="shared" si="7"/>
        <v>1</v>
      </c>
      <c r="P38" s="391">
        <v>1.0</v>
      </c>
      <c r="Q38" s="385"/>
      <c r="R38" s="385">
        <f>Roles!$D$5</f>
        <v>0.44</v>
      </c>
      <c r="S38" s="385">
        <f t="shared" si="8"/>
        <v>0.44</v>
      </c>
      <c r="T38" s="205">
        <f t="shared" si="9"/>
        <v>0</v>
      </c>
      <c r="U38" s="392"/>
      <c r="V38" s="385"/>
      <c r="W38" s="385">
        <f>Roles!$D$6</f>
        <v>0.1</v>
      </c>
      <c r="X38" s="385"/>
      <c r="Y38" s="205">
        <f t="shared" si="10"/>
        <v>0</v>
      </c>
      <c r="Z38" s="392"/>
      <c r="AA38" s="385"/>
      <c r="AB38" s="385">
        <f>Roles!$D$6</f>
        <v>0.1</v>
      </c>
      <c r="AC38" s="385"/>
      <c r="AD38" s="205">
        <f t="shared" si="11"/>
        <v>0</v>
      </c>
      <c r="AE38" s="392"/>
      <c r="AF38" s="385"/>
      <c r="AG38" s="385">
        <f>Roles!$D$6</f>
        <v>0.1</v>
      </c>
      <c r="AH38" s="385"/>
      <c r="AI38" s="205">
        <f t="shared" si="12"/>
        <v>0</v>
      </c>
      <c r="AJ38" s="392"/>
      <c r="AK38" s="385"/>
      <c r="AL38" s="385">
        <f>Roles!$D$6</f>
        <v>0.1</v>
      </c>
      <c r="AM38" s="385"/>
      <c r="AN38" s="205">
        <f t="shared" si="13"/>
        <v>0</v>
      </c>
      <c r="AO38" s="392"/>
      <c r="AP38" s="385"/>
      <c r="AQ38" s="385">
        <f>Roles!$D$6</f>
        <v>0.1</v>
      </c>
      <c r="AR38" s="385"/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 t="shared" si="1"/>
        <v>6</v>
      </c>
      <c r="F39" s="246">
        <f>SUM(F40:F46)</f>
        <v>36</v>
      </c>
      <c r="G39" s="105">
        <f t="shared" si="2"/>
        <v>0.03100775194</v>
      </c>
      <c r="H39" s="226">
        <f>H46</f>
        <v>0.09646856158</v>
      </c>
      <c r="I39" s="247">
        <f>SUM(I40:I46)</f>
        <v>0</v>
      </c>
      <c r="J39" s="247">
        <f>J46</f>
        <v>13</v>
      </c>
      <c r="K39" s="167">
        <f t="shared" si="3"/>
        <v>0.01911764706</v>
      </c>
      <c r="L39" s="247">
        <f>SUM(L40:L46)</f>
        <v>0</v>
      </c>
      <c r="M39" s="247">
        <f>M46</f>
        <v>5.72</v>
      </c>
      <c r="N39" s="47" t="str">
        <f t="shared" si="6"/>
        <v>#REF!</v>
      </c>
      <c r="O39" s="205">
        <f t="shared" si="7"/>
        <v>0</v>
      </c>
      <c r="P39" s="89"/>
      <c r="Q39" s="385"/>
      <c r="R39" s="385">
        <f>Roles!$D$5</f>
        <v>0.44</v>
      </c>
      <c r="S39" s="385">
        <f t="shared" si="8"/>
        <v>0</v>
      </c>
      <c r="T39" s="205">
        <f t="shared" si="9"/>
        <v>0</v>
      </c>
      <c r="U39" s="392"/>
      <c r="V39" s="385"/>
      <c r="W39" s="385">
        <f>Roles!$D$6</f>
        <v>0.1</v>
      </c>
      <c r="X39" s="385"/>
      <c r="Y39" s="205">
        <f t="shared" si="10"/>
        <v>0</v>
      </c>
      <c r="Z39" s="392"/>
      <c r="AA39" s="385"/>
      <c r="AB39" s="385">
        <f>Roles!$D$6</f>
        <v>0.1</v>
      </c>
      <c r="AC39" s="385"/>
      <c r="AD39" s="205">
        <f t="shared" si="11"/>
        <v>0</v>
      </c>
      <c r="AE39" s="392"/>
      <c r="AF39" s="385"/>
      <c r="AG39" s="385">
        <f>Roles!$D$6</f>
        <v>0.1</v>
      </c>
      <c r="AH39" s="385"/>
      <c r="AI39" s="205">
        <f t="shared" si="12"/>
        <v>0</v>
      </c>
      <c r="AJ39" s="392"/>
      <c r="AK39" s="385"/>
      <c r="AL39" s="385">
        <f>Roles!$D$6</f>
        <v>0.1</v>
      </c>
      <c r="AM39" s="385"/>
      <c r="AN39" s="205">
        <f t="shared" si="13"/>
        <v>0</v>
      </c>
      <c r="AO39" s="392"/>
      <c r="AP39" s="385"/>
      <c r="AQ39" s="385">
        <f>Roles!$D$6</f>
        <v>0.1</v>
      </c>
      <c r="AR39" s="385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 t="shared" si="1"/>
        <v>3</v>
      </c>
      <c r="F40" s="80">
        <v>10.0</v>
      </c>
      <c r="G40" s="105">
        <f t="shared" si="2"/>
        <v>0.008613264427</v>
      </c>
      <c r="H40" s="47">
        <f>H38+G40</f>
        <v>0.07407407407</v>
      </c>
      <c r="I40" s="187">
        <f t="shared" ref="I40:I46" si="32">P40+U40+Z40+AE40+AJ40+AO40</f>
        <v>0</v>
      </c>
      <c r="J40" s="172">
        <f>J38+I40</f>
        <v>13</v>
      </c>
      <c r="K40" s="115">
        <f t="shared" si="3"/>
        <v>0.01911764706</v>
      </c>
      <c r="L40" s="336">
        <f t="shared" ref="L40:L46" si="33">S40+X40+AC40+AH40+AM40+AR40</f>
        <v>0</v>
      </c>
      <c r="M40" s="172">
        <f>M38+L40</f>
        <v>5.72</v>
      </c>
      <c r="N40" s="47" t="str">
        <f t="shared" si="6"/>
        <v>#REF!</v>
      </c>
      <c r="O40" s="205">
        <f t="shared" si="7"/>
        <v>0</v>
      </c>
      <c r="P40" s="391">
        <v>0.0</v>
      </c>
      <c r="Q40" s="385"/>
      <c r="R40" s="385">
        <f>Roles!$D$5</f>
        <v>0.44</v>
      </c>
      <c r="S40" s="385">
        <f t="shared" si="8"/>
        <v>0</v>
      </c>
      <c r="T40" s="205">
        <f t="shared" si="9"/>
        <v>0</v>
      </c>
      <c r="U40" s="392"/>
      <c r="V40" s="385"/>
      <c r="W40" s="385">
        <f>Roles!$D$6</f>
        <v>0.1</v>
      </c>
      <c r="X40" s="385"/>
      <c r="Y40" s="205">
        <f t="shared" si="10"/>
        <v>0</v>
      </c>
      <c r="Z40" s="392"/>
      <c r="AA40" s="385"/>
      <c r="AB40" s="385">
        <f>Roles!$D$6</f>
        <v>0.1</v>
      </c>
      <c r="AC40" s="385"/>
      <c r="AD40" s="205">
        <f t="shared" si="11"/>
        <v>0</v>
      </c>
      <c r="AE40" s="392"/>
      <c r="AF40" s="385"/>
      <c r="AG40" s="385">
        <f>Roles!$D$6</f>
        <v>0.1</v>
      </c>
      <c r="AH40" s="385"/>
      <c r="AI40" s="205">
        <f t="shared" si="12"/>
        <v>0</v>
      </c>
      <c r="AJ40" s="392"/>
      <c r="AK40" s="385"/>
      <c r="AL40" s="385">
        <f>Roles!$D$6</f>
        <v>0.1</v>
      </c>
      <c r="AM40" s="385"/>
      <c r="AN40" s="205">
        <f t="shared" si="13"/>
        <v>0</v>
      </c>
      <c r="AO40" s="392"/>
      <c r="AP40" s="385"/>
      <c r="AQ40" s="385">
        <f>Roles!$D$6</f>
        <v>0.1</v>
      </c>
      <c r="AR40" s="385"/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 t="shared" si="1"/>
        <v>5</v>
      </c>
      <c r="F41" s="80">
        <v>5.0</v>
      </c>
      <c r="G41" s="105">
        <f t="shared" si="2"/>
        <v>0.004306632214</v>
      </c>
      <c r="H41" s="47">
        <f t="shared" ref="H41:H46" si="34">H40+G41</f>
        <v>0.07838070629</v>
      </c>
      <c r="I41" s="187">
        <f t="shared" si="32"/>
        <v>0</v>
      </c>
      <c r="J41" s="172">
        <f t="shared" ref="J41:J46" si="35">J40+I41</f>
        <v>13</v>
      </c>
      <c r="K41" s="115">
        <f t="shared" si="3"/>
        <v>0.01911764706</v>
      </c>
      <c r="L41" s="336">
        <f t="shared" si="33"/>
        <v>0</v>
      </c>
      <c r="M41" s="172">
        <f t="shared" ref="M41:M46" si="36">M40+L41</f>
        <v>5.72</v>
      </c>
      <c r="N41" s="226" t="str">
        <f t="shared" si="6"/>
        <v>#REF!</v>
      </c>
      <c r="O41" s="205">
        <f t="shared" si="7"/>
        <v>0</v>
      </c>
      <c r="P41" s="391">
        <v>0.0</v>
      </c>
      <c r="Q41" s="385"/>
      <c r="R41" s="385">
        <f>Roles!$D$5</f>
        <v>0.44</v>
      </c>
      <c r="S41" s="385">
        <f t="shared" si="8"/>
        <v>0</v>
      </c>
      <c r="T41" s="205">
        <f t="shared" si="9"/>
        <v>0</v>
      </c>
      <c r="U41" s="392"/>
      <c r="V41" s="385"/>
      <c r="W41" s="385">
        <f>Roles!$D$6</f>
        <v>0.1</v>
      </c>
      <c r="X41" s="385"/>
      <c r="Y41" s="205">
        <f t="shared" si="10"/>
        <v>0</v>
      </c>
      <c r="Z41" s="392"/>
      <c r="AA41" s="385"/>
      <c r="AB41" s="385">
        <f>Roles!$D$6</f>
        <v>0.1</v>
      </c>
      <c r="AC41" s="385"/>
      <c r="AD41" s="205">
        <f t="shared" si="11"/>
        <v>0</v>
      </c>
      <c r="AE41" s="392"/>
      <c r="AF41" s="385"/>
      <c r="AG41" s="385">
        <f>Roles!$D$6</f>
        <v>0.1</v>
      </c>
      <c r="AH41" s="385"/>
      <c r="AI41" s="205">
        <f t="shared" si="12"/>
        <v>0</v>
      </c>
      <c r="AJ41" s="392"/>
      <c r="AK41" s="385"/>
      <c r="AL41" s="385">
        <f>Roles!$D$6</f>
        <v>0.1</v>
      </c>
      <c r="AM41" s="385"/>
      <c r="AN41" s="205">
        <f t="shared" si="13"/>
        <v>0</v>
      </c>
      <c r="AO41" s="392"/>
      <c r="AP41" s="385"/>
      <c r="AQ41" s="385">
        <f>Roles!$D$6</f>
        <v>0.1</v>
      </c>
      <c r="AR41" s="385"/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 t="shared" si="1"/>
        <v>5</v>
      </c>
      <c r="F42" s="80">
        <v>5.0</v>
      </c>
      <c r="G42" s="105">
        <f t="shared" si="2"/>
        <v>0.004306632214</v>
      </c>
      <c r="H42" s="47">
        <f t="shared" si="34"/>
        <v>0.0826873385</v>
      </c>
      <c r="I42" s="187">
        <f t="shared" si="32"/>
        <v>0</v>
      </c>
      <c r="J42" s="172">
        <f t="shared" si="35"/>
        <v>13</v>
      </c>
      <c r="K42" s="115">
        <f t="shared" si="3"/>
        <v>0.01911764706</v>
      </c>
      <c r="L42" s="336">
        <f t="shared" si="33"/>
        <v>0</v>
      </c>
      <c r="M42" s="172">
        <f t="shared" si="36"/>
        <v>5.72</v>
      </c>
      <c r="N42" s="138" t="str">
        <f t="shared" si="6"/>
        <v>#REF!</v>
      </c>
      <c r="O42" s="205">
        <f t="shared" si="7"/>
        <v>0</v>
      </c>
      <c r="P42" s="391">
        <v>0.0</v>
      </c>
      <c r="Q42" s="385"/>
      <c r="R42" s="385">
        <f>Roles!$D$5</f>
        <v>0.44</v>
      </c>
      <c r="S42" s="385">
        <f t="shared" si="8"/>
        <v>0</v>
      </c>
      <c r="T42" s="205">
        <f t="shared" si="9"/>
        <v>0</v>
      </c>
      <c r="U42" s="392"/>
      <c r="V42" s="385"/>
      <c r="W42" s="385">
        <f>Roles!$D$6</f>
        <v>0.1</v>
      </c>
      <c r="X42" s="385"/>
      <c r="Y42" s="205">
        <f t="shared" si="10"/>
        <v>0</v>
      </c>
      <c r="Z42" s="392"/>
      <c r="AA42" s="385"/>
      <c r="AB42" s="385">
        <f>Roles!$D$6</f>
        <v>0.1</v>
      </c>
      <c r="AC42" s="385"/>
      <c r="AD42" s="205">
        <f t="shared" si="11"/>
        <v>0</v>
      </c>
      <c r="AE42" s="392"/>
      <c r="AF42" s="385"/>
      <c r="AG42" s="385">
        <f>Roles!$D$6</f>
        <v>0.1</v>
      </c>
      <c r="AH42" s="385"/>
      <c r="AI42" s="205">
        <f t="shared" si="12"/>
        <v>0</v>
      </c>
      <c r="AJ42" s="392"/>
      <c r="AK42" s="385"/>
      <c r="AL42" s="385">
        <f>Roles!$D$6</f>
        <v>0.1</v>
      </c>
      <c r="AM42" s="385"/>
      <c r="AN42" s="205">
        <f t="shared" si="13"/>
        <v>0</v>
      </c>
      <c r="AO42" s="392"/>
      <c r="AP42" s="385"/>
      <c r="AQ42" s="385">
        <f>Roles!$D$6</f>
        <v>0.1</v>
      </c>
      <c r="AR42" s="385"/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 t="shared" si="1"/>
        <v>2</v>
      </c>
      <c r="F43" s="80">
        <v>5.0</v>
      </c>
      <c r="G43" s="105">
        <f t="shared" si="2"/>
        <v>0.004306632214</v>
      </c>
      <c r="H43" s="47">
        <f t="shared" si="34"/>
        <v>0.08699397071</v>
      </c>
      <c r="I43" s="187">
        <f t="shared" si="32"/>
        <v>0</v>
      </c>
      <c r="J43" s="172">
        <f t="shared" si="35"/>
        <v>13</v>
      </c>
      <c r="K43" s="115">
        <f t="shared" si="3"/>
        <v>0.01911764706</v>
      </c>
      <c r="L43" s="336">
        <f t="shared" si="33"/>
        <v>0</v>
      </c>
      <c r="M43" s="172">
        <f t="shared" si="36"/>
        <v>5.72</v>
      </c>
      <c r="N43" s="282" t="str">
        <f t="shared" si="6"/>
        <v>#REF!</v>
      </c>
      <c r="O43" s="205">
        <f t="shared" si="7"/>
        <v>0</v>
      </c>
      <c r="P43" s="391">
        <v>0.0</v>
      </c>
      <c r="Q43" s="385"/>
      <c r="R43" s="385">
        <f>Roles!$D$5</f>
        <v>0.44</v>
      </c>
      <c r="S43" s="385">
        <f t="shared" si="8"/>
        <v>0</v>
      </c>
      <c r="T43" s="205">
        <f t="shared" si="9"/>
        <v>0</v>
      </c>
      <c r="U43" s="392"/>
      <c r="V43" s="385"/>
      <c r="W43" s="385">
        <f>Roles!$D$6</f>
        <v>0.1</v>
      </c>
      <c r="X43" s="385"/>
      <c r="Y43" s="205">
        <f t="shared" si="10"/>
        <v>0</v>
      </c>
      <c r="Z43" s="392"/>
      <c r="AA43" s="385"/>
      <c r="AB43" s="385">
        <f>Roles!$D$6</f>
        <v>0.1</v>
      </c>
      <c r="AC43" s="385"/>
      <c r="AD43" s="205">
        <f t="shared" si="11"/>
        <v>0</v>
      </c>
      <c r="AE43" s="392"/>
      <c r="AF43" s="385"/>
      <c r="AG43" s="385">
        <f>Roles!$D$6</f>
        <v>0.1</v>
      </c>
      <c r="AH43" s="385"/>
      <c r="AI43" s="205">
        <f t="shared" si="12"/>
        <v>0</v>
      </c>
      <c r="AJ43" s="392"/>
      <c r="AK43" s="385"/>
      <c r="AL43" s="385">
        <f>Roles!$D$6</f>
        <v>0.1</v>
      </c>
      <c r="AM43" s="385"/>
      <c r="AN43" s="205">
        <f t="shared" si="13"/>
        <v>0</v>
      </c>
      <c r="AO43" s="392"/>
      <c r="AP43" s="385"/>
      <c r="AQ43" s="385">
        <f>Roles!$D$6</f>
        <v>0.1</v>
      </c>
      <c r="AR43" s="385"/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 t="shared" si="1"/>
        <v>2</v>
      </c>
      <c r="F44" s="80">
        <v>4.0</v>
      </c>
      <c r="G44" s="105">
        <f t="shared" si="2"/>
        <v>0.003445305771</v>
      </c>
      <c r="H44" s="47">
        <f t="shared" si="34"/>
        <v>0.09043927649</v>
      </c>
      <c r="I44" s="187">
        <f t="shared" si="32"/>
        <v>0</v>
      </c>
      <c r="J44" s="172">
        <f t="shared" si="35"/>
        <v>13</v>
      </c>
      <c r="K44" s="115">
        <f t="shared" si="3"/>
        <v>0.01911764706</v>
      </c>
      <c r="L44" s="336">
        <f t="shared" si="33"/>
        <v>0</v>
      </c>
      <c r="M44" s="172">
        <f t="shared" si="36"/>
        <v>5.72</v>
      </c>
      <c r="N44" s="323" t="str">
        <f t="shared" si="6"/>
        <v>#REF!</v>
      </c>
      <c r="O44" s="205">
        <f t="shared" si="7"/>
        <v>0</v>
      </c>
      <c r="P44" s="391">
        <v>0.0</v>
      </c>
      <c r="Q44" s="385"/>
      <c r="R44" s="385">
        <f>Roles!$D$5</f>
        <v>0.44</v>
      </c>
      <c r="S44" s="385">
        <f t="shared" si="8"/>
        <v>0</v>
      </c>
      <c r="T44" s="205">
        <f t="shared" si="9"/>
        <v>0</v>
      </c>
      <c r="U44" s="392"/>
      <c r="V44" s="385"/>
      <c r="W44" s="385">
        <f>Roles!$D$6</f>
        <v>0.1</v>
      </c>
      <c r="X44" s="385"/>
      <c r="Y44" s="205">
        <f t="shared" si="10"/>
        <v>0</v>
      </c>
      <c r="Z44" s="392"/>
      <c r="AA44" s="385"/>
      <c r="AB44" s="385">
        <f>Roles!$D$6</f>
        <v>0.1</v>
      </c>
      <c r="AC44" s="385"/>
      <c r="AD44" s="205">
        <f t="shared" si="11"/>
        <v>0</v>
      </c>
      <c r="AE44" s="392"/>
      <c r="AF44" s="385"/>
      <c r="AG44" s="385">
        <f>Roles!$D$6</f>
        <v>0.1</v>
      </c>
      <c r="AH44" s="385"/>
      <c r="AI44" s="205">
        <f t="shared" si="12"/>
        <v>0</v>
      </c>
      <c r="AJ44" s="392"/>
      <c r="AK44" s="385"/>
      <c r="AL44" s="385">
        <f>Roles!$D$6</f>
        <v>0.1</v>
      </c>
      <c r="AM44" s="385"/>
      <c r="AN44" s="205">
        <f t="shared" si="13"/>
        <v>0</v>
      </c>
      <c r="AO44" s="392"/>
      <c r="AP44" s="385"/>
      <c r="AQ44" s="385">
        <f>Roles!$D$6</f>
        <v>0.1</v>
      </c>
      <c r="AR44" s="385"/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 t="shared" si="1"/>
        <v>1</v>
      </c>
      <c r="F45" s="80">
        <v>3.0</v>
      </c>
      <c r="G45" s="105">
        <f t="shared" si="2"/>
        <v>0.002583979328</v>
      </c>
      <c r="H45" s="47">
        <f t="shared" si="34"/>
        <v>0.09302325581</v>
      </c>
      <c r="I45" s="187">
        <f t="shared" si="32"/>
        <v>0</v>
      </c>
      <c r="J45" s="172">
        <f t="shared" si="35"/>
        <v>13</v>
      </c>
      <c r="K45" s="115">
        <f t="shared" si="3"/>
        <v>0.01911764706</v>
      </c>
      <c r="L45" s="336">
        <f t="shared" si="33"/>
        <v>0</v>
      </c>
      <c r="M45" s="172">
        <f t="shared" si="36"/>
        <v>5.72</v>
      </c>
      <c r="N45" s="224" t="str">
        <f t="shared" si="6"/>
        <v>#REF!</v>
      </c>
      <c r="O45" s="205">
        <f t="shared" si="7"/>
        <v>0</v>
      </c>
      <c r="P45" s="391">
        <v>0.0</v>
      </c>
      <c r="Q45" s="385"/>
      <c r="R45" s="385">
        <f>Roles!$D$5</f>
        <v>0.44</v>
      </c>
      <c r="S45" s="385">
        <f t="shared" si="8"/>
        <v>0</v>
      </c>
      <c r="T45" s="205">
        <f t="shared" si="9"/>
        <v>0</v>
      </c>
      <c r="U45" s="392"/>
      <c r="V45" s="385"/>
      <c r="W45" s="385">
        <f>Roles!$D$6</f>
        <v>0.1</v>
      </c>
      <c r="X45" s="385"/>
      <c r="Y45" s="205">
        <f t="shared" si="10"/>
        <v>0</v>
      </c>
      <c r="Z45" s="392"/>
      <c r="AA45" s="385"/>
      <c r="AB45" s="385">
        <f>Roles!$D$6</f>
        <v>0.1</v>
      </c>
      <c r="AC45" s="385"/>
      <c r="AD45" s="205">
        <f t="shared" si="11"/>
        <v>0</v>
      </c>
      <c r="AE45" s="392"/>
      <c r="AF45" s="385"/>
      <c r="AG45" s="385">
        <f>Roles!$D$6</f>
        <v>0.1</v>
      </c>
      <c r="AH45" s="385"/>
      <c r="AI45" s="205">
        <f t="shared" si="12"/>
        <v>0</v>
      </c>
      <c r="AJ45" s="392"/>
      <c r="AK45" s="385"/>
      <c r="AL45" s="385">
        <f>Roles!$D$6</f>
        <v>0.1</v>
      </c>
      <c r="AM45" s="385"/>
      <c r="AN45" s="205">
        <f t="shared" si="13"/>
        <v>0</v>
      </c>
      <c r="AO45" s="392"/>
      <c r="AP45" s="385"/>
      <c r="AQ45" s="385">
        <f>Roles!$D$6</f>
        <v>0.1</v>
      </c>
      <c r="AR45" s="385"/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 t="shared" si="1"/>
        <v>2</v>
      </c>
      <c r="F46" s="80">
        <v>4.0</v>
      </c>
      <c r="G46" s="105">
        <f t="shared" si="2"/>
        <v>0.003445305771</v>
      </c>
      <c r="H46" s="47">
        <f t="shared" si="34"/>
        <v>0.09646856158</v>
      </c>
      <c r="I46" s="187">
        <f t="shared" si="32"/>
        <v>0</v>
      </c>
      <c r="J46" s="172">
        <f t="shared" si="35"/>
        <v>13</v>
      </c>
      <c r="K46" s="115">
        <f t="shared" si="3"/>
        <v>0.01911764706</v>
      </c>
      <c r="L46" s="336">
        <f t="shared" si="33"/>
        <v>0</v>
      </c>
      <c r="M46" s="172">
        <f t="shared" si="36"/>
        <v>5.72</v>
      </c>
      <c r="N46" s="226" t="str">
        <f t="shared" si="6"/>
        <v>#REF!</v>
      </c>
      <c r="O46" s="205">
        <f t="shared" si="7"/>
        <v>0</v>
      </c>
      <c r="P46" s="391">
        <v>0.0</v>
      </c>
      <c r="Q46" s="385"/>
      <c r="R46" s="385">
        <f>Roles!$D$5</f>
        <v>0.44</v>
      </c>
      <c r="S46" s="385">
        <f t="shared" si="8"/>
        <v>0</v>
      </c>
      <c r="T46" s="205">
        <f t="shared" si="9"/>
        <v>0</v>
      </c>
      <c r="U46" s="392"/>
      <c r="V46" s="385"/>
      <c r="W46" s="385">
        <f>Roles!$D$6</f>
        <v>0.1</v>
      </c>
      <c r="X46" s="385"/>
      <c r="Y46" s="205">
        <f t="shared" si="10"/>
        <v>0</v>
      </c>
      <c r="Z46" s="392"/>
      <c r="AA46" s="385"/>
      <c r="AB46" s="385">
        <f>Roles!$D$6</f>
        <v>0.1</v>
      </c>
      <c r="AC46" s="385"/>
      <c r="AD46" s="205">
        <f t="shared" si="11"/>
        <v>0</v>
      </c>
      <c r="AE46" s="392"/>
      <c r="AF46" s="385"/>
      <c r="AG46" s="385">
        <f>Roles!$D$6</f>
        <v>0.1</v>
      </c>
      <c r="AH46" s="385"/>
      <c r="AI46" s="205">
        <f t="shared" si="12"/>
        <v>0</v>
      </c>
      <c r="AJ46" s="392"/>
      <c r="AK46" s="385"/>
      <c r="AL46" s="385">
        <f>Roles!$D$6</f>
        <v>0.1</v>
      </c>
      <c r="AM46" s="385"/>
      <c r="AN46" s="205">
        <f t="shared" si="13"/>
        <v>0</v>
      </c>
      <c r="AO46" s="392"/>
      <c r="AP46" s="385"/>
      <c r="AQ46" s="385">
        <f>Roles!$D$6</f>
        <v>0.1</v>
      </c>
      <c r="AR46" s="385"/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 t="shared" si="1"/>
        <v>6</v>
      </c>
      <c r="F47" s="246">
        <f>SUM(F48:F51)</f>
        <v>15</v>
      </c>
      <c r="G47" s="105">
        <f t="shared" si="2"/>
        <v>0.01291989664</v>
      </c>
      <c r="H47" s="226">
        <f>H51</f>
        <v>0.1093884582</v>
      </c>
      <c r="I47" s="247">
        <f>SUM(I48:I51)</f>
        <v>0</v>
      </c>
      <c r="J47" s="247">
        <f>J51</f>
        <v>13</v>
      </c>
      <c r="K47" s="167">
        <f t="shared" si="3"/>
        <v>0.01911764706</v>
      </c>
      <c r="L47" s="247">
        <f>SUM(L48:L51)</f>
        <v>0</v>
      </c>
      <c r="M47" s="247">
        <f>M51</f>
        <v>5.72</v>
      </c>
      <c r="N47" s="47" t="str">
        <f t="shared" si="6"/>
        <v>#REF!</v>
      </c>
      <c r="O47" s="205">
        <f t="shared" si="7"/>
        <v>0</v>
      </c>
      <c r="P47" s="89"/>
      <c r="Q47" s="385"/>
      <c r="R47" s="385">
        <f>Roles!$D$5</f>
        <v>0.44</v>
      </c>
      <c r="S47" s="385">
        <f t="shared" si="8"/>
        <v>0</v>
      </c>
      <c r="T47" s="205">
        <f t="shared" si="9"/>
        <v>0</v>
      </c>
      <c r="U47" s="392"/>
      <c r="V47" s="385"/>
      <c r="W47" s="385">
        <f>Roles!$D$6</f>
        <v>0.1</v>
      </c>
      <c r="X47" s="385"/>
      <c r="Y47" s="205">
        <f t="shared" si="10"/>
        <v>0</v>
      </c>
      <c r="Z47" s="392"/>
      <c r="AA47" s="385"/>
      <c r="AB47" s="385">
        <f>Roles!$D$6</f>
        <v>0.1</v>
      </c>
      <c r="AC47" s="385"/>
      <c r="AD47" s="205">
        <f t="shared" si="11"/>
        <v>0</v>
      </c>
      <c r="AE47" s="392"/>
      <c r="AF47" s="385"/>
      <c r="AG47" s="385">
        <f>Roles!$D$6</f>
        <v>0.1</v>
      </c>
      <c r="AH47" s="385"/>
      <c r="AI47" s="205">
        <f t="shared" si="12"/>
        <v>0</v>
      </c>
      <c r="AJ47" s="392"/>
      <c r="AK47" s="385"/>
      <c r="AL47" s="385">
        <f>Roles!$D$6</f>
        <v>0.1</v>
      </c>
      <c r="AM47" s="385"/>
      <c r="AN47" s="205">
        <f t="shared" si="13"/>
        <v>0</v>
      </c>
      <c r="AO47" s="392"/>
      <c r="AP47" s="385"/>
      <c r="AQ47" s="385">
        <f>Roles!$D$6</f>
        <v>0.1</v>
      </c>
      <c r="AR47" s="385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 t="shared" si="1"/>
        <v>2</v>
      </c>
      <c r="F48" s="80">
        <v>4.0</v>
      </c>
      <c r="G48" s="105">
        <f t="shared" si="2"/>
        <v>0.003445305771</v>
      </c>
      <c r="H48" s="47">
        <f>H46+G48</f>
        <v>0.09991386736</v>
      </c>
      <c r="I48" s="187">
        <f t="shared" ref="I48:I51" si="37">P48+U48+Z48+AE48+AJ48+AO48</f>
        <v>0</v>
      </c>
      <c r="J48" s="172">
        <f>J46+I48</f>
        <v>13</v>
      </c>
      <c r="K48" s="115">
        <f t="shared" si="3"/>
        <v>0.01911764706</v>
      </c>
      <c r="L48" s="336">
        <f t="shared" ref="L48:L51" si="38">S48+X48+AC48+AH48+AM48+AR48</f>
        <v>0</v>
      </c>
      <c r="M48" s="172">
        <f>M46+L48</f>
        <v>5.72</v>
      </c>
      <c r="N48" s="47" t="str">
        <f t="shared" si="6"/>
        <v>#REF!</v>
      </c>
      <c r="O48" s="205">
        <f t="shared" si="7"/>
        <v>0</v>
      </c>
      <c r="P48" s="391">
        <v>0.0</v>
      </c>
      <c r="Q48" s="385"/>
      <c r="R48" s="385">
        <f>Roles!$D$5</f>
        <v>0.44</v>
      </c>
      <c r="S48" s="385">
        <f t="shared" si="8"/>
        <v>0</v>
      </c>
      <c r="T48" s="205">
        <f t="shared" si="9"/>
        <v>0</v>
      </c>
      <c r="U48" s="392"/>
      <c r="V48" s="385"/>
      <c r="W48" s="385">
        <f>Roles!$D$6</f>
        <v>0.1</v>
      </c>
      <c r="X48" s="385"/>
      <c r="Y48" s="205">
        <f t="shared" si="10"/>
        <v>0</v>
      </c>
      <c r="Z48" s="392"/>
      <c r="AA48" s="385"/>
      <c r="AB48" s="385">
        <f>Roles!$D$6</f>
        <v>0.1</v>
      </c>
      <c r="AC48" s="385"/>
      <c r="AD48" s="205">
        <f t="shared" si="11"/>
        <v>0</v>
      </c>
      <c r="AE48" s="392"/>
      <c r="AF48" s="385"/>
      <c r="AG48" s="385">
        <f>Roles!$D$6</f>
        <v>0.1</v>
      </c>
      <c r="AH48" s="385"/>
      <c r="AI48" s="205">
        <f t="shared" si="12"/>
        <v>0</v>
      </c>
      <c r="AJ48" s="392"/>
      <c r="AK48" s="385"/>
      <c r="AL48" s="385">
        <f>Roles!$D$6</f>
        <v>0.1</v>
      </c>
      <c r="AM48" s="385"/>
      <c r="AN48" s="205">
        <f t="shared" si="13"/>
        <v>0</v>
      </c>
      <c r="AO48" s="392"/>
      <c r="AP48" s="385"/>
      <c r="AQ48" s="385">
        <f>Roles!$D$6</f>
        <v>0.1</v>
      </c>
      <c r="AR48" s="385"/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 t="shared" si="1"/>
        <v>1</v>
      </c>
      <c r="F49" s="80">
        <v>3.0</v>
      </c>
      <c r="G49" s="105">
        <f t="shared" si="2"/>
        <v>0.002583979328</v>
      </c>
      <c r="H49" s="47">
        <f t="shared" ref="H49:H51" si="39">H48+G49</f>
        <v>0.1024978467</v>
      </c>
      <c r="I49" s="187">
        <f t="shared" si="37"/>
        <v>0</v>
      </c>
      <c r="J49" s="172">
        <f t="shared" ref="J49:J51" si="40">J48+I49</f>
        <v>13</v>
      </c>
      <c r="K49" s="115">
        <f t="shared" si="3"/>
        <v>0.01911764706</v>
      </c>
      <c r="L49" s="336">
        <f t="shared" si="38"/>
        <v>0</v>
      </c>
      <c r="M49" s="172">
        <f t="shared" ref="M49:M51" si="41">M48+L49</f>
        <v>5.72</v>
      </c>
      <c r="N49" s="226" t="str">
        <f t="shared" si="6"/>
        <v>#REF!</v>
      </c>
      <c r="O49" s="205">
        <f t="shared" si="7"/>
        <v>0</v>
      </c>
      <c r="P49" s="391">
        <v>0.0</v>
      </c>
      <c r="Q49" s="385"/>
      <c r="R49" s="385">
        <f>Roles!$D$5</f>
        <v>0.44</v>
      </c>
      <c r="S49" s="385">
        <f t="shared" si="8"/>
        <v>0</v>
      </c>
      <c r="T49" s="205">
        <f t="shared" si="9"/>
        <v>0</v>
      </c>
      <c r="U49" s="392"/>
      <c r="V49" s="385"/>
      <c r="W49" s="385">
        <f>Roles!$D$6</f>
        <v>0.1</v>
      </c>
      <c r="X49" s="385"/>
      <c r="Y49" s="205">
        <f t="shared" si="10"/>
        <v>0</v>
      </c>
      <c r="Z49" s="392"/>
      <c r="AA49" s="385"/>
      <c r="AB49" s="385">
        <f>Roles!$D$6</f>
        <v>0.1</v>
      </c>
      <c r="AC49" s="385"/>
      <c r="AD49" s="205">
        <f t="shared" si="11"/>
        <v>0</v>
      </c>
      <c r="AE49" s="392"/>
      <c r="AF49" s="385"/>
      <c r="AG49" s="385">
        <f>Roles!$D$6</f>
        <v>0.1</v>
      </c>
      <c r="AH49" s="385"/>
      <c r="AI49" s="205">
        <f t="shared" si="12"/>
        <v>0</v>
      </c>
      <c r="AJ49" s="392"/>
      <c r="AK49" s="385"/>
      <c r="AL49" s="385">
        <f>Roles!$D$6</f>
        <v>0.1</v>
      </c>
      <c r="AM49" s="385"/>
      <c r="AN49" s="205">
        <f t="shared" si="13"/>
        <v>0</v>
      </c>
      <c r="AO49" s="392"/>
      <c r="AP49" s="385"/>
      <c r="AQ49" s="385">
        <f>Roles!$D$6</f>
        <v>0.1</v>
      </c>
      <c r="AR49" s="385"/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 t="shared" si="1"/>
        <v>3</v>
      </c>
      <c r="F50" s="80">
        <v>5.0</v>
      </c>
      <c r="G50" s="105">
        <f t="shared" si="2"/>
        <v>0.004306632214</v>
      </c>
      <c r="H50" s="47">
        <f t="shared" si="39"/>
        <v>0.1068044789</v>
      </c>
      <c r="I50" s="187">
        <f t="shared" si="37"/>
        <v>0</v>
      </c>
      <c r="J50" s="172">
        <f t="shared" si="40"/>
        <v>13</v>
      </c>
      <c r="K50" s="115">
        <f t="shared" si="3"/>
        <v>0.01911764706</v>
      </c>
      <c r="L50" s="336">
        <f t="shared" si="38"/>
        <v>0</v>
      </c>
      <c r="M50" s="172">
        <f t="shared" si="41"/>
        <v>5.72</v>
      </c>
      <c r="N50" s="323" t="str">
        <f t="shared" si="6"/>
        <v>#REF!</v>
      </c>
      <c r="O50" s="205">
        <f t="shared" si="7"/>
        <v>0</v>
      </c>
      <c r="P50" s="391">
        <v>0.0</v>
      </c>
      <c r="Q50" s="385"/>
      <c r="R50" s="385">
        <f>Roles!$D$5</f>
        <v>0.44</v>
      </c>
      <c r="S50" s="385">
        <f t="shared" si="8"/>
        <v>0</v>
      </c>
      <c r="T50" s="205">
        <f t="shared" si="9"/>
        <v>0</v>
      </c>
      <c r="U50" s="392"/>
      <c r="V50" s="385"/>
      <c r="W50" s="385">
        <f>Roles!$D$6</f>
        <v>0.1</v>
      </c>
      <c r="X50" s="385"/>
      <c r="Y50" s="205">
        <f t="shared" si="10"/>
        <v>0</v>
      </c>
      <c r="Z50" s="392"/>
      <c r="AA50" s="385"/>
      <c r="AB50" s="385">
        <f>Roles!$D$6</f>
        <v>0.1</v>
      </c>
      <c r="AC50" s="385"/>
      <c r="AD50" s="205">
        <f t="shared" si="11"/>
        <v>0</v>
      </c>
      <c r="AE50" s="392"/>
      <c r="AF50" s="385"/>
      <c r="AG50" s="385">
        <f>Roles!$D$6</f>
        <v>0.1</v>
      </c>
      <c r="AH50" s="385"/>
      <c r="AI50" s="205">
        <f t="shared" si="12"/>
        <v>0</v>
      </c>
      <c r="AJ50" s="392"/>
      <c r="AK50" s="385"/>
      <c r="AL50" s="385">
        <f>Roles!$D$6</f>
        <v>0.1</v>
      </c>
      <c r="AM50" s="385"/>
      <c r="AN50" s="205">
        <f t="shared" si="13"/>
        <v>0</v>
      </c>
      <c r="AO50" s="392"/>
      <c r="AP50" s="385"/>
      <c r="AQ50" s="385">
        <f>Roles!$D$6</f>
        <v>0.1</v>
      </c>
      <c r="AR50" s="385"/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 t="shared" si="1"/>
        <v>2</v>
      </c>
      <c r="F51" s="80">
        <v>3.0</v>
      </c>
      <c r="G51" s="105">
        <f t="shared" si="2"/>
        <v>0.002583979328</v>
      </c>
      <c r="H51" s="47">
        <f t="shared" si="39"/>
        <v>0.1093884582</v>
      </c>
      <c r="I51" s="187">
        <f t="shared" si="37"/>
        <v>0</v>
      </c>
      <c r="J51" s="172">
        <f t="shared" si="40"/>
        <v>13</v>
      </c>
      <c r="K51" s="115">
        <f t="shared" si="3"/>
        <v>0.01911764706</v>
      </c>
      <c r="L51" s="336">
        <f t="shared" si="38"/>
        <v>0</v>
      </c>
      <c r="M51" s="172">
        <f t="shared" si="41"/>
        <v>5.72</v>
      </c>
      <c r="N51" s="111" t="str">
        <f t="shared" si="6"/>
        <v>#REF!</v>
      </c>
      <c r="O51" s="205">
        <f t="shared" si="7"/>
        <v>0</v>
      </c>
      <c r="P51" s="391">
        <v>0.0</v>
      </c>
      <c r="Q51" s="385"/>
      <c r="R51" s="385">
        <f>Roles!$D$5</f>
        <v>0.44</v>
      </c>
      <c r="S51" s="385">
        <f t="shared" si="8"/>
        <v>0</v>
      </c>
      <c r="T51" s="205">
        <f t="shared" si="9"/>
        <v>0</v>
      </c>
      <c r="U51" s="392"/>
      <c r="V51" s="385"/>
      <c r="W51" s="385">
        <f>Roles!$D$6</f>
        <v>0.1</v>
      </c>
      <c r="X51" s="385"/>
      <c r="Y51" s="205">
        <f t="shared" si="10"/>
        <v>0</v>
      </c>
      <c r="Z51" s="392"/>
      <c r="AA51" s="385"/>
      <c r="AB51" s="385">
        <f>Roles!$D$6</f>
        <v>0.1</v>
      </c>
      <c r="AC51" s="385"/>
      <c r="AD51" s="205">
        <f t="shared" si="11"/>
        <v>0</v>
      </c>
      <c r="AE51" s="392"/>
      <c r="AF51" s="385"/>
      <c r="AG51" s="385">
        <f>Roles!$D$6</f>
        <v>0.1</v>
      </c>
      <c r="AH51" s="385"/>
      <c r="AI51" s="205">
        <f t="shared" si="12"/>
        <v>0</v>
      </c>
      <c r="AJ51" s="392"/>
      <c r="AK51" s="385"/>
      <c r="AL51" s="385">
        <f>Roles!$D$6</f>
        <v>0.1</v>
      </c>
      <c r="AM51" s="385"/>
      <c r="AN51" s="205">
        <f t="shared" si="13"/>
        <v>0</v>
      </c>
      <c r="AO51" s="392"/>
      <c r="AP51" s="385"/>
      <c r="AQ51" s="385">
        <f>Roles!$D$6</f>
        <v>0.1</v>
      </c>
      <c r="AR51" s="385"/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 t="shared" si="1"/>
        <v>4</v>
      </c>
      <c r="F52" s="246">
        <f>SUM(F53:F57)</f>
        <v>19</v>
      </c>
      <c r="G52" s="105">
        <f t="shared" si="2"/>
        <v>0.01636520241</v>
      </c>
      <c r="H52" s="226">
        <f>H57</f>
        <v>0.1257536606</v>
      </c>
      <c r="I52" s="247">
        <f>SUM(I53:I57)</f>
        <v>0</v>
      </c>
      <c r="J52" s="247">
        <f>J57</f>
        <v>13</v>
      </c>
      <c r="K52" s="167">
        <f t="shared" si="3"/>
        <v>0.01911764706</v>
      </c>
      <c r="L52" s="247">
        <f>SUM(L53:L57)</f>
        <v>0</v>
      </c>
      <c r="M52" s="247">
        <f>M57</f>
        <v>5.72</v>
      </c>
      <c r="N52" s="167" t="str">
        <f t="shared" si="6"/>
        <v>#REF!</v>
      </c>
      <c r="O52" s="205">
        <f t="shared" si="7"/>
        <v>0</v>
      </c>
      <c r="P52" s="89"/>
      <c r="Q52" s="385"/>
      <c r="R52" s="385">
        <f>Roles!$D$5</f>
        <v>0.44</v>
      </c>
      <c r="S52" s="385">
        <f t="shared" si="8"/>
        <v>0</v>
      </c>
      <c r="T52" s="205">
        <f t="shared" si="9"/>
        <v>0</v>
      </c>
      <c r="U52" s="392"/>
      <c r="V52" s="385"/>
      <c r="W52" s="385">
        <f>Roles!$D$6</f>
        <v>0.1</v>
      </c>
      <c r="X52" s="385"/>
      <c r="Y52" s="205">
        <f t="shared" si="10"/>
        <v>0</v>
      </c>
      <c r="Z52" s="392"/>
      <c r="AA52" s="385"/>
      <c r="AB52" s="385">
        <f>Roles!$D$6</f>
        <v>0.1</v>
      </c>
      <c r="AC52" s="385"/>
      <c r="AD52" s="205">
        <f t="shared" si="11"/>
        <v>0</v>
      </c>
      <c r="AE52" s="392"/>
      <c r="AF52" s="385"/>
      <c r="AG52" s="385">
        <f>Roles!$D$6</f>
        <v>0.1</v>
      </c>
      <c r="AH52" s="385"/>
      <c r="AI52" s="205">
        <f t="shared" si="12"/>
        <v>0</v>
      </c>
      <c r="AJ52" s="392"/>
      <c r="AK52" s="385"/>
      <c r="AL52" s="385">
        <f>Roles!$D$6</f>
        <v>0.1</v>
      </c>
      <c r="AM52" s="385"/>
      <c r="AN52" s="205">
        <f t="shared" si="13"/>
        <v>0</v>
      </c>
      <c r="AO52" s="392"/>
      <c r="AP52" s="385"/>
      <c r="AQ52" s="385">
        <f>Roles!$D$6</f>
        <v>0.1</v>
      </c>
      <c r="AR52" s="385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 t="shared" si="1"/>
        <v>1</v>
      </c>
      <c r="F53" s="80">
        <v>3.0</v>
      </c>
      <c r="G53" s="105">
        <f t="shared" si="2"/>
        <v>0.002583979328</v>
      </c>
      <c r="H53" s="47">
        <f>H51+G53</f>
        <v>0.1119724376</v>
      </c>
      <c r="I53" s="187">
        <f t="shared" ref="I53:I57" si="42">P53+U53+Z53+AE53+AJ53+AO53</f>
        <v>0</v>
      </c>
      <c r="J53" s="172">
        <f>J51+I53</f>
        <v>13</v>
      </c>
      <c r="K53" s="115">
        <f t="shared" si="3"/>
        <v>0.01911764706</v>
      </c>
      <c r="L53" s="336">
        <f t="shared" ref="L53:L57" si="43">S53+X53+AC53+AH53+AM53+AR53</f>
        <v>0</v>
      </c>
      <c r="M53" s="172">
        <f>M51+L53</f>
        <v>5.72</v>
      </c>
      <c r="N53" s="323" t="str">
        <f t="shared" si="6"/>
        <v>#REF!</v>
      </c>
      <c r="O53" s="205">
        <f t="shared" si="7"/>
        <v>0</v>
      </c>
      <c r="P53" s="391">
        <v>0.0</v>
      </c>
      <c r="Q53" s="385"/>
      <c r="R53" s="385">
        <f>Roles!$D$5</f>
        <v>0.44</v>
      </c>
      <c r="S53" s="385">
        <f t="shared" si="8"/>
        <v>0</v>
      </c>
      <c r="T53" s="205">
        <f t="shared" si="9"/>
        <v>0</v>
      </c>
      <c r="U53" s="392"/>
      <c r="V53" s="385"/>
      <c r="W53" s="385">
        <f>Roles!$D$6</f>
        <v>0.1</v>
      </c>
      <c r="X53" s="385"/>
      <c r="Y53" s="205">
        <f t="shared" si="10"/>
        <v>0</v>
      </c>
      <c r="Z53" s="392"/>
      <c r="AA53" s="385"/>
      <c r="AB53" s="385">
        <f>Roles!$D$6</f>
        <v>0.1</v>
      </c>
      <c r="AC53" s="385"/>
      <c r="AD53" s="205">
        <f t="shared" si="11"/>
        <v>0</v>
      </c>
      <c r="AE53" s="392"/>
      <c r="AF53" s="385"/>
      <c r="AG53" s="385">
        <f>Roles!$D$6</f>
        <v>0.1</v>
      </c>
      <c r="AH53" s="385"/>
      <c r="AI53" s="205">
        <f t="shared" si="12"/>
        <v>0</v>
      </c>
      <c r="AJ53" s="392"/>
      <c r="AK53" s="385"/>
      <c r="AL53" s="385">
        <f>Roles!$D$6</f>
        <v>0.1</v>
      </c>
      <c r="AM53" s="385"/>
      <c r="AN53" s="205">
        <f t="shared" si="13"/>
        <v>0</v>
      </c>
      <c r="AO53" s="392"/>
      <c r="AP53" s="385"/>
      <c r="AQ53" s="385">
        <f>Roles!$D$6</f>
        <v>0.1</v>
      </c>
      <c r="AR53" s="385"/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 t="shared" si="1"/>
        <v>3</v>
      </c>
      <c r="F54" s="80">
        <v>6.0</v>
      </c>
      <c r="G54" s="105">
        <f t="shared" si="2"/>
        <v>0.005167958656</v>
      </c>
      <c r="H54" s="47">
        <f t="shared" ref="H54:H57" si="44">H53+G54</f>
        <v>0.1171403962</v>
      </c>
      <c r="I54" s="187">
        <f t="shared" si="42"/>
        <v>0</v>
      </c>
      <c r="J54" s="172">
        <f t="shared" ref="J54:J57" si="45">J53+I54</f>
        <v>13</v>
      </c>
      <c r="K54" s="115">
        <f t="shared" si="3"/>
        <v>0.01911764706</v>
      </c>
      <c r="L54" s="336">
        <f t="shared" si="43"/>
        <v>0</v>
      </c>
      <c r="M54" s="172">
        <f t="shared" ref="M54:M57" si="46">M53+L54</f>
        <v>5.72</v>
      </c>
      <c r="N54" s="47" t="str">
        <f t="shared" si="6"/>
        <v>#REF!</v>
      </c>
      <c r="O54" s="205">
        <f t="shared" si="7"/>
        <v>0</v>
      </c>
      <c r="P54" s="391">
        <v>0.0</v>
      </c>
      <c r="Q54" s="385"/>
      <c r="R54" s="385">
        <f>Roles!$D$5</f>
        <v>0.44</v>
      </c>
      <c r="S54" s="385">
        <f t="shared" si="8"/>
        <v>0</v>
      </c>
      <c r="T54" s="205">
        <f t="shared" si="9"/>
        <v>0</v>
      </c>
      <c r="U54" s="392"/>
      <c r="V54" s="385"/>
      <c r="W54" s="385">
        <f>Roles!$D$6</f>
        <v>0.1</v>
      </c>
      <c r="X54" s="385"/>
      <c r="Y54" s="205">
        <f t="shared" si="10"/>
        <v>0</v>
      </c>
      <c r="Z54" s="392"/>
      <c r="AA54" s="385"/>
      <c r="AB54" s="385">
        <f>Roles!$D$6</f>
        <v>0.1</v>
      </c>
      <c r="AC54" s="385"/>
      <c r="AD54" s="205">
        <f t="shared" si="11"/>
        <v>0</v>
      </c>
      <c r="AE54" s="392"/>
      <c r="AF54" s="385"/>
      <c r="AG54" s="385">
        <f>Roles!$D$6</f>
        <v>0.1</v>
      </c>
      <c r="AH54" s="385"/>
      <c r="AI54" s="205">
        <f t="shared" si="12"/>
        <v>0</v>
      </c>
      <c r="AJ54" s="392"/>
      <c r="AK54" s="385"/>
      <c r="AL54" s="385">
        <f>Roles!$D$6</f>
        <v>0.1</v>
      </c>
      <c r="AM54" s="385"/>
      <c r="AN54" s="205">
        <f t="shared" si="13"/>
        <v>0</v>
      </c>
      <c r="AO54" s="392"/>
      <c r="AP54" s="385"/>
      <c r="AQ54" s="385">
        <f>Roles!$D$6</f>
        <v>0.1</v>
      </c>
      <c r="AR54" s="385"/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 t="shared" si="1"/>
        <v>3</v>
      </c>
      <c r="F55" s="80">
        <v>6.0</v>
      </c>
      <c r="G55" s="105">
        <f t="shared" si="2"/>
        <v>0.005167958656</v>
      </c>
      <c r="H55" s="47">
        <f t="shared" si="44"/>
        <v>0.1223083549</v>
      </c>
      <c r="I55" s="187">
        <f t="shared" si="42"/>
        <v>0</v>
      </c>
      <c r="J55" s="172">
        <f t="shared" si="45"/>
        <v>13</v>
      </c>
      <c r="K55" s="115">
        <f t="shared" si="3"/>
        <v>0.01911764706</v>
      </c>
      <c r="L55" s="336">
        <f t="shared" si="43"/>
        <v>0</v>
      </c>
      <c r="M55" s="172">
        <f t="shared" si="46"/>
        <v>5.72</v>
      </c>
      <c r="N55" s="167" t="str">
        <f t="shared" si="6"/>
        <v>#REF!</v>
      </c>
      <c r="O55" s="205">
        <f t="shared" si="7"/>
        <v>0</v>
      </c>
      <c r="P55" s="391">
        <v>0.0</v>
      </c>
      <c r="Q55" s="385"/>
      <c r="R55" s="385">
        <f>Roles!$D$5</f>
        <v>0.44</v>
      </c>
      <c r="S55" s="385">
        <f t="shared" si="8"/>
        <v>0</v>
      </c>
      <c r="T55" s="205">
        <f t="shared" si="9"/>
        <v>0</v>
      </c>
      <c r="U55" s="392"/>
      <c r="V55" s="385"/>
      <c r="W55" s="385">
        <f>Roles!$D$6</f>
        <v>0.1</v>
      </c>
      <c r="X55" s="385"/>
      <c r="Y55" s="205">
        <f t="shared" si="10"/>
        <v>0</v>
      </c>
      <c r="Z55" s="392"/>
      <c r="AA55" s="385"/>
      <c r="AB55" s="385">
        <f>Roles!$D$6</f>
        <v>0.1</v>
      </c>
      <c r="AC55" s="385"/>
      <c r="AD55" s="205">
        <f t="shared" si="11"/>
        <v>0</v>
      </c>
      <c r="AE55" s="392"/>
      <c r="AF55" s="385"/>
      <c r="AG55" s="385">
        <f>Roles!$D$6</f>
        <v>0.1</v>
      </c>
      <c r="AH55" s="385"/>
      <c r="AI55" s="205">
        <f t="shared" si="12"/>
        <v>0</v>
      </c>
      <c r="AJ55" s="392"/>
      <c r="AK55" s="385"/>
      <c r="AL55" s="385">
        <f>Roles!$D$6</f>
        <v>0.1</v>
      </c>
      <c r="AM55" s="385"/>
      <c r="AN55" s="205">
        <f t="shared" si="13"/>
        <v>0</v>
      </c>
      <c r="AO55" s="392"/>
      <c r="AP55" s="385"/>
      <c r="AQ55" s="385">
        <f>Roles!$D$6</f>
        <v>0.1</v>
      </c>
      <c r="AR55" s="385"/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 t="shared" si="1"/>
        <v>2</v>
      </c>
      <c r="F56" s="80">
        <v>3.0</v>
      </c>
      <c r="G56" s="105">
        <f t="shared" si="2"/>
        <v>0.002583979328</v>
      </c>
      <c r="H56" s="47">
        <f t="shared" si="44"/>
        <v>0.1248923342</v>
      </c>
      <c r="I56" s="187">
        <f t="shared" si="42"/>
        <v>0</v>
      </c>
      <c r="J56" s="172">
        <f t="shared" si="45"/>
        <v>13</v>
      </c>
      <c r="K56" s="115">
        <f t="shared" si="3"/>
        <v>0.01911764706</v>
      </c>
      <c r="L56" s="336">
        <f t="shared" si="43"/>
        <v>0</v>
      </c>
      <c r="M56" s="172">
        <f t="shared" si="46"/>
        <v>5.72</v>
      </c>
      <c r="N56" s="47" t="str">
        <f t="shared" si="6"/>
        <v>#REF!</v>
      </c>
      <c r="O56" s="205">
        <f t="shared" si="7"/>
        <v>0</v>
      </c>
      <c r="P56" s="391">
        <v>0.0</v>
      </c>
      <c r="Q56" s="385"/>
      <c r="R56" s="385">
        <f>Roles!$D$5</f>
        <v>0.44</v>
      </c>
      <c r="S56" s="385">
        <f t="shared" si="8"/>
        <v>0</v>
      </c>
      <c r="T56" s="205">
        <f t="shared" si="9"/>
        <v>0</v>
      </c>
      <c r="U56" s="392"/>
      <c r="V56" s="385"/>
      <c r="W56" s="385">
        <f>Roles!$D$6</f>
        <v>0.1</v>
      </c>
      <c r="X56" s="385"/>
      <c r="Y56" s="205">
        <f t="shared" si="10"/>
        <v>0</v>
      </c>
      <c r="Z56" s="392"/>
      <c r="AA56" s="385"/>
      <c r="AB56" s="385">
        <f>Roles!$D$6</f>
        <v>0.1</v>
      </c>
      <c r="AC56" s="385"/>
      <c r="AD56" s="205">
        <f t="shared" si="11"/>
        <v>0</v>
      </c>
      <c r="AE56" s="392"/>
      <c r="AF56" s="385"/>
      <c r="AG56" s="385">
        <f>Roles!$D$6</f>
        <v>0.1</v>
      </c>
      <c r="AH56" s="385"/>
      <c r="AI56" s="205">
        <f t="shared" si="12"/>
        <v>0</v>
      </c>
      <c r="AJ56" s="392"/>
      <c r="AK56" s="385"/>
      <c r="AL56" s="385">
        <f>Roles!$D$6</f>
        <v>0.1</v>
      </c>
      <c r="AM56" s="385"/>
      <c r="AN56" s="205">
        <f t="shared" si="13"/>
        <v>0</v>
      </c>
      <c r="AO56" s="392"/>
      <c r="AP56" s="385"/>
      <c r="AQ56" s="385">
        <f>Roles!$D$6</f>
        <v>0.1</v>
      </c>
      <c r="AR56" s="385"/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 t="shared" si="1"/>
        <v>1</v>
      </c>
      <c r="F57" s="80">
        <v>1.0</v>
      </c>
      <c r="G57" s="105">
        <f t="shared" si="2"/>
        <v>0.0008613264427</v>
      </c>
      <c r="H57" s="47">
        <f t="shared" si="44"/>
        <v>0.1257536606</v>
      </c>
      <c r="I57" s="187">
        <f t="shared" si="42"/>
        <v>0</v>
      </c>
      <c r="J57" s="172">
        <f t="shared" si="45"/>
        <v>13</v>
      </c>
      <c r="K57" s="115">
        <f t="shared" si="3"/>
        <v>0.01911764706</v>
      </c>
      <c r="L57" s="336">
        <f t="shared" si="43"/>
        <v>0</v>
      </c>
      <c r="M57" s="172">
        <f t="shared" si="46"/>
        <v>5.72</v>
      </c>
      <c r="N57" s="323" t="str">
        <f t="shared" si="6"/>
        <v>#REF!</v>
      </c>
      <c r="O57" s="205">
        <f t="shared" si="7"/>
        <v>0</v>
      </c>
      <c r="P57" s="391">
        <v>0.0</v>
      </c>
      <c r="Q57" s="385"/>
      <c r="R57" s="385">
        <f>Roles!$D$5</f>
        <v>0.44</v>
      </c>
      <c r="S57" s="385">
        <f t="shared" si="8"/>
        <v>0</v>
      </c>
      <c r="T57" s="205">
        <f t="shared" si="9"/>
        <v>0</v>
      </c>
      <c r="U57" s="392"/>
      <c r="V57" s="385"/>
      <c r="W57" s="385">
        <f>Roles!$D$6</f>
        <v>0.1</v>
      </c>
      <c r="X57" s="385"/>
      <c r="Y57" s="205">
        <f t="shared" si="10"/>
        <v>0</v>
      </c>
      <c r="Z57" s="392"/>
      <c r="AA57" s="385"/>
      <c r="AB57" s="385">
        <f>Roles!$D$6</f>
        <v>0.1</v>
      </c>
      <c r="AC57" s="385"/>
      <c r="AD57" s="205">
        <f t="shared" si="11"/>
        <v>0</v>
      </c>
      <c r="AE57" s="392"/>
      <c r="AF57" s="385"/>
      <c r="AG57" s="385">
        <f>Roles!$D$6</f>
        <v>0.1</v>
      </c>
      <c r="AH57" s="385"/>
      <c r="AI57" s="205">
        <f t="shared" si="12"/>
        <v>0</v>
      </c>
      <c r="AJ57" s="392"/>
      <c r="AK57" s="385"/>
      <c r="AL57" s="385">
        <f>Roles!$D$6</f>
        <v>0.1</v>
      </c>
      <c r="AM57" s="385"/>
      <c r="AN57" s="205">
        <f t="shared" si="13"/>
        <v>0</v>
      </c>
      <c r="AO57" s="392"/>
      <c r="AP57" s="385"/>
      <c r="AQ57" s="385">
        <f>Roles!$D$6</f>
        <v>0.1</v>
      </c>
      <c r="AR57" s="385"/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 t="shared" si="1"/>
        <v>3</v>
      </c>
      <c r="F58" s="246">
        <f>SUM(F59:F61)</f>
        <v>22</v>
      </c>
      <c r="G58" s="105">
        <f t="shared" si="2"/>
        <v>0.01894918174</v>
      </c>
      <c r="H58" s="226">
        <f>H61</f>
        <v>0.1447028424</v>
      </c>
      <c r="I58" s="247">
        <f>SUM(I59:I61)</f>
        <v>0</v>
      </c>
      <c r="J58" s="247">
        <f>J61</f>
        <v>13</v>
      </c>
      <c r="K58" s="167">
        <f t="shared" si="3"/>
        <v>0.01911764706</v>
      </c>
      <c r="L58" s="247">
        <f>SUM(L59:L61)</f>
        <v>0</v>
      </c>
      <c r="M58" s="247">
        <f>M61</f>
        <v>5.72</v>
      </c>
      <c r="N58" s="115" t="str">
        <f t="shared" si="6"/>
        <v>#REF!</v>
      </c>
      <c r="O58" s="205">
        <f t="shared" si="7"/>
        <v>0</v>
      </c>
      <c r="P58" s="89"/>
      <c r="Q58" s="385"/>
      <c r="R58" s="385">
        <f>Roles!$D$5</f>
        <v>0.44</v>
      </c>
      <c r="S58" s="385">
        <f t="shared" si="8"/>
        <v>0</v>
      </c>
      <c r="T58" s="205">
        <f t="shared" si="9"/>
        <v>0</v>
      </c>
      <c r="U58" s="392"/>
      <c r="V58" s="385"/>
      <c r="W58" s="385">
        <f>Roles!$D$6</f>
        <v>0.1</v>
      </c>
      <c r="X58" s="385"/>
      <c r="Y58" s="205">
        <f t="shared" si="10"/>
        <v>0</v>
      </c>
      <c r="Z58" s="392"/>
      <c r="AA58" s="385"/>
      <c r="AB58" s="385">
        <f>Roles!$D$6</f>
        <v>0.1</v>
      </c>
      <c r="AC58" s="385"/>
      <c r="AD58" s="205">
        <f t="shared" si="11"/>
        <v>0</v>
      </c>
      <c r="AE58" s="392"/>
      <c r="AF58" s="385"/>
      <c r="AG58" s="385">
        <f>Roles!$D$6</f>
        <v>0.1</v>
      </c>
      <c r="AH58" s="385"/>
      <c r="AI58" s="205">
        <f t="shared" si="12"/>
        <v>0</v>
      </c>
      <c r="AJ58" s="392"/>
      <c r="AK58" s="385"/>
      <c r="AL58" s="385">
        <f>Roles!$D$6</f>
        <v>0.1</v>
      </c>
      <c r="AM58" s="385"/>
      <c r="AN58" s="205">
        <f t="shared" si="13"/>
        <v>0</v>
      </c>
      <c r="AO58" s="392"/>
      <c r="AP58" s="385"/>
      <c r="AQ58" s="385">
        <f>Roles!$D$6</f>
        <v>0.1</v>
      </c>
      <c r="AR58" s="385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 t="shared" si="1"/>
        <v>3</v>
      </c>
      <c r="F59" s="80">
        <v>10.0</v>
      </c>
      <c r="G59" s="105">
        <f t="shared" si="2"/>
        <v>0.008613264427</v>
      </c>
      <c r="H59" s="47">
        <f>H57+G59</f>
        <v>0.1343669251</v>
      </c>
      <c r="I59" s="187">
        <f t="shared" ref="I59:I61" si="47">P59+U59+Z59+AE59+AJ59+AO59</f>
        <v>0</v>
      </c>
      <c r="J59" s="172">
        <f>J57+I59</f>
        <v>13</v>
      </c>
      <c r="K59" s="115">
        <f t="shared" si="3"/>
        <v>0.01911764706</v>
      </c>
      <c r="L59" s="336">
        <f t="shared" ref="L59:L61" si="48">S59+X59+AC59+AH59+AM59+AR59</f>
        <v>0</v>
      </c>
      <c r="M59" s="172">
        <f>M57+L59</f>
        <v>5.72</v>
      </c>
      <c r="N59" s="224" t="str">
        <f t="shared" si="6"/>
        <v>#REF!</v>
      </c>
      <c r="O59" s="205">
        <f t="shared" si="7"/>
        <v>0</v>
      </c>
      <c r="P59" s="391">
        <v>0.0</v>
      </c>
      <c r="Q59" s="385"/>
      <c r="R59" s="385">
        <f>Roles!$D$5</f>
        <v>0.44</v>
      </c>
      <c r="S59" s="385">
        <f t="shared" si="8"/>
        <v>0</v>
      </c>
      <c r="T59" s="205">
        <f t="shared" si="9"/>
        <v>0</v>
      </c>
      <c r="U59" s="392"/>
      <c r="V59" s="385"/>
      <c r="W59" s="385">
        <f>Roles!$D$6</f>
        <v>0.1</v>
      </c>
      <c r="X59" s="385"/>
      <c r="Y59" s="205">
        <f t="shared" si="10"/>
        <v>0</v>
      </c>
      <c r="Z59" s="392"/>
      <c r="AA59" s="385"/>
      <c r="AB59" s="385">
        <f>Roles!$D$6</f>
        <v>0.1</v>
      </c>
      <c r="AC59" s="385"/>
      <c r="AD59" s="205">
        <f t="shared" si="11"/>
        <v>0</v>
      </c>
      <c r="AE59" s="392"/>
      <c r="AF59" s="385"/>
      <c r="AG59" s="385">
        <f>Roles!$D$6</f>
        <v>0.1</v>
      </c>
      <c r="AH59" s="385"/>
      <c r="AI59" s="205">
        <f t="shared" si="12"/>
        <v>0</v>
      </c>
      <c r="AJ59" s="392"/>
      <c r="AK59" s="385"/>
      <c r="AL59" s="385">
        <f>Roles!$D$6</f>
        <v>0.1</v>
      </c>
      <c r="AM59" s="385"/>
      <c r="AN59" s="205">
        <f t="shared" si="13"/>
        <v>0</v>
      </c>
      <c r="AO59" s="392"/>
      <c r="AP59" s="385"/>
      <c r="AQ59" s="385">
        <f>Roles!$D$6</f>
        <v>0.1</v>
      </c>
      <c r="AR59" s="385"/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 t="shared" si="1"/>
        <v>2</v>
      </c>
      <c r="F60" s="80">
        <v>10.0</v>
      </c>
      <c r="G60" s="105">
        <f t="shared" si="2"/>
        <v>0.008613264427</v>
      </c>
      <c r="H60" s="47">
        <f t="shared" ref="H60:H61" si="49">H59+G60</f>
        <v>0.1429801895</v>
      </c>
      <c r="I60" s="187">
        <f t="shared" si="47"/>
        <v>0</v>
      </c>
      <c r="J60" s="172">
        <f t="shared" ref="J60:J61" si="50">J59+I60</f>
        <v>13</v>
      </c>
      <c r="K60" s="115">
        <f t="shared" si="3"/>
        <v>0.01911764706</v>
      </c>
      <c r="L60" s="336">
        <f t="shared" si="48"/>
        <v>0</v>
      </c>
      <c r="M60" s="172">
        <f t="shared" ref="M60:M61" si="51">M59+L60</f>
        <v>5.72</v>
      </c>
      <c r="N60" s="226" t="str">
        <f t="shared" si="6"/>
        <v>#REF!</v>
      </c>
      <c r="O60" s="205">
        <f t="shared" si="7"/>
        <v>0</v>
      </c>
      <c r="P60" s="391">
        <v>0.0</v>
      </c>
      <c r="Q60" s="385"/>
      <c r="R60" s="385">
        <f>Roles!$D$5</f>
        <v>0.44</v>
      </c>
      <c r="S60" s="385">
        <f t="shared" si="8"/>
        <v>0</v>
      </c>
      <c r="T60" s="205">
        <f t="shared" si="9"/>
        <v>0</v>
      </c>
      <c r="U60" s="392"/>
      <c r="V60" s="385"/>
      <c r="W60" s="385">
        <f>Roles!$D$6</f>
        <v>0.1</v>
      </c>
      <c r="X60" s="385"/>
      <c r="Y60" s="205">
        <f t="shared" si="10"/>
        <v>0</v>
      </c>
      <c r="Z60" s="392"/>
      <c r="AA60" s="385"/>
      <c r="AB60" s="385">
        <f>Roles!$D$6</f>
        <v>0.1</v>
      </c>
      <c r="AC60" s="385"/>
      <c r="AD60" s="205">
        <f t="shared" si="11"/>
        <v>0</v>
      </c>
      <c r="AE60" s="392"/>
      <c r="AF60" s="385"/>
      <c r="AG60" s="385">
        <f>Roles!$D$6</f>
        <v>0.1</v>
      </c>
      <c r="AH60" s="385"/>
      <c r="AI60" s="205">
        <f t="shared" si="12"/>
        <v>0</v>
      </c>
      <c r="AJ60" s="392"/>
      <c r="AK60" s="385"/>
      <c r="AL60" s="385">
        <f>Roles!$D$6</f>
        <v>0.1</v>
      </c>
      <c r="AM60" s="385"/>
      <c r="AN60" s="205">
        <f t="shared" si="13"/>
        <v>0</v>
      </c>
      <c r="AO60" s="392"/>
      <c r="AP60" s="385"/>
      <c r="AQ60" s="385">
        <f>Roles!$D$6</f>
        <v>0.1</v>
      </c>
      <c r="AR60" s="385"/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 t="shared" si="1"/>
        <v>1</v>
      </c>
      <c r="F61" s="80">
        <v>2.0</v>
      </c>
      <c r="G61" s="105">
        <f t="shared" si="2"/>
        <v>0.001722652885</v>
      </c>
      <c r="H61" s="47">
        <f t="shared" si="49"/>
        <v>0.1447028424</v>
      </c>
      <c r="I61" s="187">
        <f t="shared" si="47"/>
        <v>0</v>
      </c>
      <c r="J61" s="172">
        <f t="shared" si="50"/>
        <v>13</v>
      </c>
      <c r="K61" s="115">
        <f t="shared" si="3"/>
        <v>0.01911764706</v>
      </c>
      <c r="L61" s="336">
        <f t="shared" si="48"/>
        <v>0</v>
      </c>
      <c r="M61" s="172">
        <f t="shared" si="51"/>
        <v>5.72</v>
      </c>
      <c r="N61" s="323" t="str">
        <f t="shared" si="6"/>
        <v>#REF!</v>
      </c>
      <c r="O61" s="205">
        <f t="shared" si="7"/>
        <v>0</v>
      </c>
      <c r="P61" s="391">
        <v>0.0</v>
      </c>
      <c r="Q61" s="385"/>
      <c r="R61" s="385">
        <f>Roles!$D$5</f>
        <v>0.44</v>
      </c>
      <c r="S61" s="385">
        <f t="shared" si="8"/>
        <v>0</v>
      </c>
      <c r="T61" s="205">
        <f t="shared" si="9"/>
        <v>0</v>
      </c>
      <c r="U61" s="392"/>
      <c r="V61" s="385"/>
      <c r="W61" s="385">
        <f>Roles!$D$6</f>
        <v>0.1</v>
      </c>
      <c r="X61" s="385"/>
      <c r="Y61" s="205">
        <f t="shared" si="10"/>
        <v>0</v>
      </c>
      <c r="Z61" s="392"/>
      <c r="AA61" s="385"/>
      <c r="AB61" s="385">
        <f>Roles!$D$6</f>
        <v>0.1</v>
      </c>
      <c r="AC61" s="385"/>
      <c r="AD61" s="205">
        <f t="shared" si="11"/>
        <v>0</v>
      </c>
      <c r="AE61" s="392"/>
      <c r="AF61" s="385"/>
      <c r="AG61" s="385">
        <f>Roles!$D$6</f>
        <v>0.1</v>
      </c>
      <c r="AH61" s="385"/>
      <c r="AI61" s="205">
        <f t="shared" si="12"/>
        <v>0</v>
      </c>
      <c r="AJ61" s="392"/>
      <c r="AK61" s="385"/>
      <c r="AL61" s="385">
        <f>Roles!$D$6</f>
        <v>0.1</v>
      </c>
      <c r="AM61" s="385"/>
      <c r="AN61" s="205">
        <f t="shared" si="13"/>
        <v>0</v>
      </c>
      <c r="AO61" s="392"/>
      <c r="AP61" s="385"/>
      <c r="AQ61" s="385">
        <f>Roles!$D$6</f>
        <v>0.1</v>
      </c>
      <c r="AR61" s="385"/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 t="shared" si="1"/>
        <v>3</v>
      </c>
      <c r="F62" s="246">
        <f>SUM(F63:F65)</f>
        <v>25</v>
      </c>
      <c r="G62" s="105">
        <f t="shared" si="2"/>
        <v>0.02153316107</v>
      </c>
      <c r="H62" s="226">
        <f>H65</f>
        <v>0.1662360034</v>
      </c>
      <c r="I62" s="247">
        <f>SUM(I63:I65)</f>
        <v>0</v>
      </c>
      <c r="J62" s="247">
        <f>J65</f>
        <v>13</v>
      </c>
      <c r="K62" s="167">
        <f t="shared" si="3"/>
        <v>0.01911764706</v>
      </c>
      <c r="L62" s="247">
        <f>SUM(L63:L65)</f>
        <v>0</v>
      </c>
      <c r="M62" s="247">
        <f>M65</f>
        <v>5.72</v>
      </c>
      <c r="N62" s="354" t="str">
        <f t="shared" si="6"/>
        <v>#REF!</v>
      </c>
      <c r="O62" s="205">
        <f t="shared" si="7"/>
        <v>0</v>
      </c>
      <c r="P62" s="89"/>
      <c r="Q62" s="385"/>
      <c r="R62" s="385">
        <f>Roles!$D$5</f>
        <v>0.44</v>
      </c>
      <c r="S62" s="385">
        <f t="shared" si="8"/>
        <v>0</v>
      </c>
      <c r="T62" s="205">
        <f t="shared" si="9"/>
        <v>0</v>
      </c>
      <c r="U62" s="392"/>
      <c r="V62" s="385"/>
      <c r="W62" s="385">
        <f>Roles!$D$6</f>
        <v>0.1</v>
      </c>
      <c r="X62" s="385"/>
      <c r="Y62" s="205">
        <f t="shared" si="10"/>
        <v>0</v>
      </c>
      <c r="Z62" s="392"/>
      <c r="AA62" s="385"/>
      <c r="AB62" s="385">
        <f>Roles!$D$6</f>
        <v>0.1</v>
      </c>
      <c r="AC62" s="385"/>
      <c r="AD62" s="205">
        <f t="shared" si="11"/>
        <v>0</v>
      </c>
      <c r="AE62" s="392"/>
      <c r="AF62" s="385"/>
      <c r="AG62" s="385">
        <f>Roles!$D$6</f>
        <v>0.1</v>
      </c>
      <c r="AH62" s="385"/>
      <c r="AI62" s="205">
        <f t="shared" si="12"/>
        <v>0</v>
      </c>
      <c r="AJ62" s="392"/>
      <c r="AK62" s="385"/>
      <c r="AL62" s="385">
        <f>Roles!$D$6</f>
        <v>0.1</v>
      </c>
      <c r="AM62" s="385"/>
      <c r="AN62" s="205">
        <f t="shared" si="13"/>
        <v>0</v>
      </c>
      <c r="AO62" s="392"/>
      <c r="AP62" s="385"/>
      <c r="AQ62" s="385">
        <f>Roles!$D$6</f>
        <v>0.1</v>
      </c>
      <c r="AR62" s="385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 t="shared" si="1"/>
        <v>2</v>
      </c>
      <c r="F63" s="80">
        <v>10.0</v>
      </c>
      <c r="G63" s="105">
        <f t="shared" si="2"/>
        <v>0.008613264427</v>
      </c>
      <c r="H63" s="47">
        <f>H61+G63</f>
        <v>0.1533161068</v>
      </c>
      <c r="I63" s="187">
        <f t="shared" ref="I63:I65" si="52">P63+U63+Z63+AE63+AJ63+AO63</f>
        <v>0</v>
      </c>
      <c r="J63" s="172">
        <f>J61+I63</f>
        <v>13</v>
      </c>
      <c r="K63" s="115">
        <f t="shared" si="3"/>
        <v>0.01911764706</v>
      </c>
      <c r="L63" s="336">
        <f t="shared" ref="L63:L65" si="53">S63+X63+AC63+AH63+AM63+AR63</f>
        <v>0</v>
      </c>
      <c r="M63" s="172">
        <f>M61+L63</f>
        <v>5.72</v>
      </c>
      <c r="N63" s="167" t="str">
        <f t="shared" si="6"/>
        <v>#REF!</v>
      </c>
      <c r="O63" s="205">
        <f t="shared" si="7"/>
        <v>0</v>
      </c>
      <c r="P63" s="391">
        <v>0.0</v>
      </c>
      <c r="Q63" s="385"/>
      <c r="R63" s="385">
        <f>Roles!$D$5</f>
        <v>0.44</v>
      </c>
      <c r="S63" s="385">
        <f t="shared" si="8"/>
        <v>0</v>
      </c>
      <c r="T63" s="205">
        <f t="shared" si="9"/>
        <v>0</v>
      </c>
      <c r="U63" s="392"/>
      <c r="V63" s="385"/>
      <c r="W63" s="385">
        <f>Roles!$D$6</f>
        <v>0.1</v>
      </c>
      <c r="X63" s="385"/>
      <c r="Y63" s="205">
        <f t="shared" si="10"/>
        <v>0</v>
      </c>
      <c r="Z63" s="392"/>
      <c r="AA63" s="385"/>
      <c r="AB63" s="385">
        <f>Roles!$D$6</f>
        <v>0.1</v>
      </c>
      <c r="AC63" s="385"/>
      <c r="AD63" s="205">
        <f t="shared" si="11"/>
        <v>0</v>
      </c>
      <c r="AE63" s="392"/>
      <c r="AF63" s="385"/>
      <c r="AG63" s="385">
        <f>Roles!$D$6</f>
        <v>0.1</v>
      </c>
      <c r="AH63" s="385"/>
      <c r="AI63" s="205">
        <f t="shared" si="12"/>
        <v>0</v>
      </c>
      <c r="AJ63" s="392"/>
      <c r="AK63" s="385"/>
      <c r="AL63" s="385">
        <f>Roles!$D$6</f>
        <v>0.1</v>
      </c>
      <c r="AM63" s="385"/>
      <c r="AN63" s="205">
        <f t="shared" si="13"/>
        <v>0</v>
      </c>
      <c r="AO63" s="392"/>
      <c r="AP63" s="385"/>
      <c r="AQ63" s="385">
        <f>Roles!$D$6</f>
        <v>0.1</v>
      </c>
      <c r="AR63" s="385"/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 t="shared" si="1"/>
        <v>2</v>
      </c>
      <c r="F64" s="80">
        <v>10.0</v>
      </c>
      <c r="G64" s="105">
        <f t="shared" si="2"/>
        <v>0.008613264427</v>
      </c>
      <c r="H64" s="47">
        <f t="shared" ref="H64:H65" si="54">H63+G64</f>
        <v>0.1619293712</v>
      </c>
      <c r="I64" s="187">
        <f t="shared" si="52"/>
        <v>0</v>
      </c>
      <c r="J64" s="172">
        <f t="shared" ref="J64:J65" si="55">J63+I64</f>
        <v>13</v>
      </c>
      <c r="K64" s="115">
        <f t="shared" si="3"/>
        <v>0.01911764706</v>
      </c>
      <c r="L64" s="336">
        <f t="shared" si="53"/>
        <v>0</v>
      </c>
      <c r="M64" s="172">
        <f t="shared" ref="M64:M65" si="56">M63+L64</f>
        <v>5.72</v>
      </c>
      <c r="N64" s="282" t="str">
        <f t="shared" si="6"/>
        <v>#REF!</v>
      </c>
      <c r="O64" s="205">
        <f t="shared" si="7"/>
        <v>0</v>
      </c>
      <c r="P64" s="391">
        <v>0.0</v>
      </c>
      <c r="Q64" s="385"/>
      <c r="R64" s="385">
        <f>Roles!$D$5</f>
        <v>0.44</v>
      </c>
      <c r="S64" s="385">
        <f t="shared" si="8"/>
        <v>0</v>
      </c>
      <c r="T64" s="205">
        <f t="shared" si="9"/>
        <v>0</v>
      </c>
      <c r="U64" s="392"/>
      <c r="V64" s="385"/>
      <c r="W64" s="385">
        <f>Roles!$D$6</f>
        <v>0.1</v>
      </c>
      <c r="X64" s="385"/>
      <c r="Y64" s="205">
        <f t="shared" si="10"/>
        <v>0</v>
      </c>
      <c r="Z64" s="392"/>
      <c r="AA64" s="385"/>
      <c r="AB64" s="385">
        <f>Roles!$D$6</f>
        <v>0.1</v>
      </c>
      <c r="AC64" s="385"/>
      <c r="AD64" s="205">
        <f t="shared" si="11"/>
        <v>0</v>
      </c>
      <c r="AE64" s="392"/>
      <c r="AF64" s="385"/>
      <c r="AG64" s="385">
        <f>Roles!$D$6</f>
        <v>0.1</v>
      </c>
      <c r="AH64" s="385"/>
      <c r="AI64" s="205">
        <f t="shared" si="12"/>
        <v>0</v>
      </c>
      <c r="AJ64" s="392"/>
      <c r="AK64" s="385"/>
      <c r="AL64" s="385">
        <f>Roles!$D$6</f>
        <v>0.1</v>
      </c>
      <c r="AM64" s="385"/>
      <c r="AN64" s="205">
        <f t="shared" si="13"/>
        <v>0</v>
      </c>
      <c r="AO64" s="392"/>
      <c r="AP64" s="385"/>
      <c r="AQ64" s="385">
        <f>Roles!$D$6</f>
        <v>0.1</v>
      </c>
      <c r="AR64" s="385"/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 t="shared" si="1"/>
        <v>1</v>
      </c>
      <c r="F65" s="80">
        <v>5.0</v>
      </c>
      <c r="G65" s="105">
        <f t="shared" si="2"/>
        <v>0.004306632214</v>
      </c>
      <c r="H65" s="47">
        <f t="shared" si="54"/>
        <v>0.1662360034</v>
      </c>
      <c r="I65" s="187">
        <f t="shared" si="52"/>
        <v>0</v>
      </c>
      <c r="J65" s="172">
        <f t="shared" si="55"/>
        <v>13</v>
      </c>
      <c r="K65" s="115">
        <f t="shared" si="3"/>
        <v>0.01911764706</v>
      </c>
      <c r="L65" s="336">
        <f t="shared" si="53"/>
        <v>0</v>
      </c>
      <c r="M65" s="172">
        <f t="shared" si="56"/>
        <v>5.72</v>
      </c>
      <c r="N65" s="115" t="str">
        <f t="shared" si="6"/>
        <v>#REF!</v>
      </c>
      <c r="O65" s="205">
        <f t="shared" si="7"/>
        <v>0</v>
      </c>
      <c r="P65" s="391">
        <v>0.0</v>
      </c>
      <c r="Q65" s="385"/>
      <c r="R65" s="385">
        <f>Roles!$D$5</f>
        <v>0.44</v>
      </c>
      <c r="S65" s="385">
        <f t="shared" si="8"/>
        <v>0</v>
      </c>
      <c r="T65" s="205">
        <f t="shared" si="9"/>
        <v>0</v>
      </c>
      <c r="U65" s="392"/>
      <c r="V65" s="385"/>
      <c r="W65" s="385">
        <f>Roles!$D$6</f>
        <v>0.1</v>
      </c>
      <c r="X65" s="385"/>
      <c r="Y65" s="205">
        <f t="shared" si="10"/>
        <v>0</v>
      </c>
      <c r="Z65" s="392"/>
      <c r="AA65" s="385"/>
      <c r="AB65" s="385">
        <f>Roles!$D$6</f>
        <v>0.1</v>
      </c>
      <c r="AC65" s="385"/>
      <c r="AD65" s="205">
        <f t="shared" si="11"/>
        <v>0</v>
      </c>
      <c r="AE65" s="392"/>
      <c r="AF65" s="385"/>
      <c r="AG65" s="385">
        <f>Roles!$D$6</f>
        <v>0.1</v>
      </c>
      <c r="AH65" s="385"/>
      <c r="AI65" s="205">
        <f t="shared" si="12"/>
        <v>0</v>
      </c>
      <c r="AJ65" s="392"/>
      <c r="AK65" s="385"/>
      <c r="AL65" s="385">
        <f>Roles!$D$6</f>
        <v>0.1</v>
      </c>
      <c r="AM65" s="385"/>
      <c r="AN65" s="205">
        <f t="shared" si="13"/>
        <v>0</v>
      </c>
      <c r="AO65" s="392"/>
      <c r="AP65" s="385"/>
      <c r="AQ65" s="385">
        <f>Roles!$D$6</f>
        <v>0.1</v>
      </c>
      <c r="AR65" s="385"/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 t="shared" si="1"/>
        <v>4</v>
      </c>
      <c r="F66" s="246">
        <f>SUM(F67:F69)</f>
        <v>36</v>
      </c>
      <c r="G66" s="105">
        <f t="shared" si="2"/>
        <v>0.03100775194</v>
      </c>
      <c r="H66" s="226">
        <f>H69</f>
        <v>0.1972437554</v>
      </c>
      <c r="I66" s="247">
        <f>SUM(I67:I69)</f>
        <v>37</v>
      </c>
      <c r="J66" s="247">
        <f>J69</f>
        <v>50</v>
      </c>
      <c r="K66" s="167">
        <f t="shared" si="3"/>
        <v>0.07352941176</v>
      </c>
      <c r="L66" s="247">
        <f>SUM(L67:L69)</f>
        <v>16.28</v>
      </c>
      <c r="M66" s="247">
        <f>M69</f>
        <v>22</v>
      </c>
      <c r="N66" s="226" t="str">
        <f t="shared" si="6"/>
        <v>#REF!</v>
      </c>
      <c r="O66" s="205">
        <f t="shared" si="7"/>
        <v>0</v>
      </c>
      <c r="P66" s="89"/>
      <c r="Q66" s="385"/>
      <c r="R66" s="385">
        <f>Roles!$D$5</f>
        <v>0.44</v>
      </c>
      <c r="S66" s="385">
        <f t="shared" si="8"/>
        <v>0</v>
      </c>
      <c r="T66" s="205">
        <f t="shared" si="9"/>
        <v>0</v>
      </c>
      <c r="U66" s="392"/>
      <c r="V66" s="385"/>
      <c r="W66" s="385">
        <f>Roles!$D$6</f>
        <v>0.1</v>
      </c>
      <c r="X66" s="385"/>
      <c r="Y66" s="205">
        <f t="shared" si="10"/>
        <v>0</v>
      </c>
      <c r="Z66" s="392"/>
      <c r="AA66" s="385"/>
      <c r="AB66" s="385">
        <f>Roles!$D$6</f>
        <v>0.1</v>
      </c>
      <c r="AC66" s="385"/>
      <c r="AD66" s="205">
        <f t="shared" si="11"/>
        <v>0</v>
      </c>
      <c r="AE66" s="392"/>
      <c r="AF66" s="385"/>
      <c r="AG66" s="385">
        <f>Roles!$D$6</f>
        <v>0.1</v>
      </c>
      <c r="AH66" s="385"/>
      <c r="AI66" s="205">
        <f t="shared" si="12"/>
        <v>0</v>
      </c>
      <c r="AJ66" s="392"/>
      <c r="AK66" s="385"/>
      <c r="AL66" s="385">
        <f>Roles!$D$6</f>
        <v>0.1</v>
      </c>
      <c r="AM66" s="385"/>
      <c r="AN66" s="205">
        <f t="shared" si="13"/>
        <v>0</v>
      </c>
      <c r="AO66" s="392"/>
      <c r="AP66" s="385"/>
      <c r="AQ66" s="385">
        <f>Roles!$D$6</f>
        <v>0.1</v>
      </c>
      <c r="AR66" s="385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 t="shared" si="1"/>
        <v>2</v>
      </c>
      <c r="F67" s="80">
        <v>15.0</v>
      </c>
      <c r="G67" s="105">
        <f t="shared" si="2"/>
        <v>0.01291989664</v>
      </c>
      <c r="H67" s="47">
        <f>H65+G67</f>
        <v>0.1791559001</v>
      </c>
      <c r="I67" s="187">
        <f t="shared" ref="I67:I69" si="57">P67+U67+Z67+AE67+AJ67+AO67</f>
        <v>15</v>
      </c>
      <c r="J67" s="172">
        <f>J65+I67</f>
        <v>28</v>
      </c>
      <c r="K67" s="115">
        <f t="shared" si="3"/>
        <v>0.04117647059</v>
      </c>
      <c r="L67" s="336">
        <f t="shared" ref="L67:L69" si="58">S67+X67+AC67+AH67+AM67+AR67</f>
        <v>6.6</v>
      </c>
      <c r="M67" s="172">
        <f>M65+L67</f>
        <v>12.32</v>
      </c>
      <c r="N67" s="47" t="str">
        <f t="shared" si="6"/>
        <v>#REF!</v>
      </c>
      <c r="O67" s="205">
        <f t="shared" si="7"/>
        <v>1</v>
      </c>
      <c r="P67" s="391">
        <v>15.0</v>
      </c>
      <c r="Q67" s="385"/>
      <c r="R67" s="385">
        <f>Roles!$D$5</f>
        <v>0.44</v>
      </c>
      <c r="S67" s="385">
        <f t="shared" si="8"/>
        <v>6.6</v>
      </c>
      <c r="T67" s="205">
        <f t="shared" si="9"/>
        <v>0</v>
      </c>
      <c r="U67" s="392"/>
      <c r="V67" s="385"/>
      <c r="W67" s="385">
        <f>Roles!$D$6</f>
        <v>0.1</v>
      </c>
      <c r="X67" s="385"/>
      <c r="Y67" s="205">
        <f t="shared" si="10"/>
        <v>0</v>
      </c>
      <c r="Z67" s="392"/>
      <c r="AA67" s="385"/>
      <c r="AB67" s="385">
        <f>Roles!$D$6</f>
        <v>0.1</v>
      </c>
      <c r="AC67" s="385"/>
      <c r="AD67" s="205">
        <f t="shared" si="11"/>
        <v>0</v>
      </c>
      <c r="AE67" s="392"/>
      <c r="AF67" s="385"/>
      <c r="AG67" s="385">
        <f>Roles!$D$6</f>
        <v>0.1</v>
      </c>
      <c r="AH67" s="385"/>
      <c r="AI67" s="205">
        <f t="shared" si="12"/>
        <v>0</v>
      </c>
      <c r="AJ67" s="392"/>
      <c r="AK67" s="385"/>
      <c r="AL67" s="385">
        <f>Roles!$D$6</f>
        <v>0.1</v>
      </c>
      <c r="AM67" s="385"/>
      <c r="AN67" s="205">
        <f t="shared" si="13"/>
        <v>0</v>
      </c>
      <c r="AO67" s="392"/>
      <c r="AP67" s="385"/>
      <c r="AQ67" s="385">
        <f>Roles!$D$6</f>
        <v>0.1</v>
      </c>
      <c r="AR67" s="385"/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 t="shared" si="1"/>
        <v>2</v>
      </c>
      <c r="F68" s="80">
        <v>10.0</v>
      </c>
      <c r="G68" s="105">
        <f t="shared" si="2"/>
        <v>0.008613264427</v>
      </c>
      <c r="H68" s="47">
        <f t="shared" ref="H68:H69" si="59">H67+G68</f>
        <v>0.1877691645</v>
      </c>
      <c r="I68" s="187">
        <f t="shared" si="57"/>
        <v>12</v>
      </c>
      <c r="J68" s="172">
        <f t="shared" ref="J68:J69" si="60">J67+I68</f>
        <v>40</v>
      </c>
      <c r="K68" s="115">
        <f t="shared" si="3"/>
        <v>0.05882352941</v>
      </c>
      <c r="L68" s="336">
        <f t="shared" si="58"/>
        <v>5.28</v>
      </c>
      <c r="M68" s="172">
        <f t="shared" ref="M68:M69" si="61">M67+L68</f>
        <v>17.6</v>
      </c>
      <c r="N68" s="354" t="str">
        <f t="shared" si="6"/>
        <v>#REF!</v>
      </c>
      <c r="O68" s="205">
        <f t="shared" si="7"/>
        <v>1.2</v>
      </c>
      <c r="P68" s="391">
        <v>12.0</v>
      </c>
      <c r="Q68" s="385"/>
      <c r="R68" s="385">
        <f>Roles!$D$5</f>
        <v>0.44</v>
      </c>
      <c r="S68" s="385">
        <f t="shared" si="8"/>
        <v>5.28</v>
      </c>
      <c r="T68" s="205">
        <f t="shared" si="9"/>
        <v>0</v>
      </c>
      <c r="U68" s="392"/>
      <c r="V68" s="385"/>
      <c r="W68" s="385">
        <f>Roles!$D$6</f>
        <v>0.1</v>
      </c>
      <c r="X68" s="385"/>
      <c r="Y68" s="205">
        <f t="shared" si="10"/>
        <v>0</v>
      </c>
      <c r="Z68" s="392"/>
      <c r="AA68" s="385"/>
      <c r="AB68" s="385">
        <f>Roles!$D$6</f>
        <v>0.1</v>
      </c>
      <c r="AC68" s="385"/>
      <c r="AD68" s="205">
        <f t="shared" si="11"/>
        <v>0</v>
      </c>
      <c r="AE68" s="392"/>
      <c r="AF68" s="385"/>
      <c r="AG68" s="385">
        <f>Roles!$D$6</f>
        <v>0.1</v>
      </c>
      <c r="AH68" s="385"/>
      <c r="AI68" s="205">
        <f t="shared" si="12"/>
        <v>0</v>
      </c>
      <c r="AJ68" s="392"/>
      <c r="AK68" s="385"/>
      <c r="AL68" s="385">
        <f>Roles!$D$6</f>
        <v>0.1</v>
      </c>
      <c r="AM68" s="385"/>
      <c r="AN68" s="205">
        <f t="shared" si="13"/>
        <v>0</v>
      </c>
      <c r="AO68" s="392"/>
      <c r="AP68" s="385"/>
      <c r="AQ68" s="385">
        <f>Roles!$D$6</f>
        <v>0.1</v>
      </c>
      <c r="AR68" s="385"/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 t="shared" si="1"/>
        <v>2</v>
      </c>
      <c r="F69" s="80">
        <v>11.0</v>
      </c>
      <c r="G69" s="105">
        <f t="shared" si="2"/>
        <v>0.00947459087</v>
      </c>
      <c r="H69" s="47">
        <f t="shared" si="59"/>
        <v>0.1972437554</v>
      </c>
      <c r="I69" s="187">
        <f t="shared" si="57"/>
        <v>10</v>
      </c>
      <c r="J69" s="172">
        <f t="shared" si="60"/>
        <v>50</v>
      </c>
      <c r="K69" s="115">
        <f t="shared" si="3"/>
        <v>0.07352941176</v>
      </c>
      <c r="L69" s="336">
        <f t="shared" si="58"/>
        <v>4.4</v>
      </c>
      <c r="M69" s="172">
        <f t="shared" si="61"/>
        <v>22</v>
      </c>
      <c r="N69" s="226" t="str">
        <f t="shared" si="6"/>
        <v>#REF!</v>
      </c>
      <c r="O69" s="205">
        <f t="shared" si="7"/>
        <v>0.9090909091</v>
      </c>
      <c r="P69" s="391">
        <v>10.0</v>
      </c>
      <c r="Q69" s="385"/>
      <c r="R69" s="385">
        <f>Roles!$D$5</f>
        <v>0.44</v>
      </c>
      <c r="S69" s="385">
        <f t="shared" si="8"/>
        <v>4.4</v>
      </c>
      <c r="T69" s="205">
        <f t="shared" si="9"/>
        <v>0</v>
      </c>
      <c r="U69" s="392"/>
      <c r="V69" s="385"/>
      <c r="W69" s="385">
        <f>Roles!$D$6</f>
        <v>0.1</v>
      </c>
      <c r="X69" s="385"/>
      <c r="Y69" s="205">
        <f t="shared" si="10"/>
        <v>0</v>
      </c>
      <c r="Z69" s="392"/>
      <c r="AA69" s="385"/>
      <c r="AB69" s="385">
        <f>Roles!$D$6</f>
        <v>0.1</v>
      </c>
      <c r="AC69" s="385"/>
      <c r="AD69" s="205">
        <f t="shared" si="11"/>
        <v>0</v>
      </c>
      <c r="AE69" s="392"/>
      <c r="AF69" s="385"/>
      <c r="AG69" s="385">
        <f>Roles!$D$6</f>
        <v>0.1</v>
      </c>
      <c r="AH69" s="385"/>
      <c r="AI69" s="205">
        <f t="shared" si="12"/>
        <v>0</v>
      </c>
      <c r="AJ69" s="392"/>
      <c r="AK69" s="385"/>
      <c r="AL69" s="385">
        <f>Roles!$D$6</f>
        <v>0.1</v>
      </c>
      <c r="AM69" s="385"/>
      <c r="AN69" s="205">
        <f t="shared" si="13"/>
        <v>0</v>
      </c>
      <c r="AO69" s="392"/>
      <c r="AP69" s="385"/>
      <c r="AQ69" s="385">
        <f>Roles!$D$6</f>
        <v>0.1</v>
      </c>
      <c r="AR69" s="385"/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 t="shared" si="1"/>
        <v>6</v>
      </c>
      <c r="F70" s="246">
        <f>SUM(F71:F73)</f>
        <v>40</v>
      </c>
      <c r="G70" s="105">
        <f t="shared" si="2"/>
        <v>0.03445305771</v>
      </c>
      <c r="H70" s="226">
        <f>H73</f>
        <v>0.2316968131</v>
      </c>
      <c r="I70" s="247">
        <f>SUM(I71:I73)</f>
        <v>43</v>
      </c>
      <c r="J70" s="247">
        <f>J73</f>
        <v>93</v>
      </c>
      <c r="K70" s="167">
        <f t="shared" si="3"/>
        <v>0.1367647059</v>
      </c>
      <c r="L70" s="247">
        <f>SUM(L71:L73)</f>
        <v>18.92</v>
      </c>
      <c r="M70" s="247">
        <f>M73</f>
        <v>40.92</v>
      </c>
      <c r="N70" s="47" t="str">
        <f t="shared" si="6"/>
        <v>#REF!</v>
      </c>
      <c r="O70" s="205">
        <f t="shared" si="7"/>
        <v>0</v>
      </c>
      <c r="P70" s="89"/>
      <c r="Q70" s="385"/>
      <c r="R70" s="385">
        <f>Roles!$D$5</f>
        <v>0.44</v>
      </c>
      <c r="S70" s="385">
        <f t="shared" si="8"/>
        <v>0</v>
      </c>
      <c r="T70" s="205">
        <f t="shared" si="9"/>
        <v>0</v>
      </c>
      <c r="U70" s="392"/>
      <c r="V70" s="385"/>
      <c r="W70" s="385">
        <f>Roles!$D$6</f>
        <v>0.1</v>
      </c>
      <c r="X70" s="385"/>
      <c r="Y70" s="205">
        <f t="shared" si="10"/>
        <v>0</v>
      </c>
      <c r="Z70" s="392"/>
      <c r="AA70" s="385"/>
      <c r="AB70" s="385">
        <f>Roles!$D$6</f>
        <v>0.1</v>
      </c>
      <c r="AC70" s="385"/>
      <c r="AD70" s="205">
        <f t="shared" si="11"/>
        <v>0</v>
      </c>
      <c r="AE70" s="392"/>
      <c r="AF70" s="385"/>
      <c r="AG70" s="385">
        <f>Roles!$D$6</f>
        <v>0.1</v>
      </c>
      <c r="AH70" s="385"/>
      <c r="AI70" s="205">
        <f t="shared" si="12"/>
        <v>0</v>
      </c>
      <c r="AJ70" s="392"/>
      <c r="AK70" s="385"/>
      <c r="AL70" s="385">
        <f>Roles!$D$6</f>
        <v>0.1</v>
      </c>
      <c r="AM70" s="385"/>
      <c r="AN70" s="205">
        <f t="shared" si="13"/>
        <v>0</v>
      </c>
      <c r="AO70" s="392"/>
      <c r="AP70" s="385"/>
      <c r="AQ70" s="385">
        <f>Roles!$D$6</f>
        <v>0.1</v>
      </c>
      <c r="AR70" s="385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 t="shared" si="1"/>
        <v>3</v>
      </c>
      <c r="F71" s="80">
        <v>15.0</v>
      </c>
      <c r="G71" s="105">
        <f t="shared" si="2"/>
        <v>0.01291989664</v>
      </c>
      <c r="H71" s="47">
        <f>H69+G71</f>
        <v>0.210163652</v>
      </c>
      <c r="I71" s="187">
        <f t="shared" ref="I71:I73" si="62">P71+U71+Z71+AE71+AJ71+AO71</f>
        <v>18</v>
      </c>
      <c r="J71" s="172">
        <f>J69+I71</f>
        <v>68</v>
      </c>
      <c r="K71" s="115">
        <f t="shared" si="3"/>
        <v>0.1</v>
      </c>
      <c r="L71" s="336">
        <f t="shared" ref="L71:L73" si="63">S71+X71+AC71+AH71+AM71+AR71</f>
        <v>7.92</v>
      </c>
      <c r="M71" s="172">
        <f>M69+L71</f>
        <v>29.92</v>
      </c>
      <c r="N71" s="47" t="str">
        <f t="shared" si="6"/>
        <v>#REF!</v>
      </c>
      <c r="O71" s="205">
        <f t="shared" si="7"/>
        <v>1.2</v>
      </c>
      <c r="P71" s="391">
        <v>18.0</v>
      </c>
      <c r="Q71" s="385"/>
      <c r="R71" s="385">
        <f>Roles!$D$5</f>
        <v>0.44</v>
      </c>
      <c r="S71" s="385">
        <f t="shared" si="8"/>
        <v>7.92</v>
      </c>
      <c r="T71" s="205">
        <f t="shared" si="9"/>
        <v>0</v>
      </c>
      <c r="U71" s="392"/>
      <c r="V71" s="385"/>
      <c r="W71" s="385">
        <f>Roles!$D$6</f>
        <v>0.1</v>
      </c>
      <c r="X71" s="385"/>
      <c r="Y71" s="205">
        <f t="shared" si="10"/>
        <v>0</v>
      </c>
      <c r="Z71" s="392"/>
      <c r="AA71" s="385"/>
      <c r="AB71" s="385">
        <f>Roles!$D$6</f>
        <v>0.1</v>
      </c>
      <c r="AC71" s="385"/>
      <c r="AD71" s="205">
        <f t="shared" si="11"/>
        <v>0</v>
      </c>
      <c r="AE71" s="392"/>
      <c r="AF71" s="385"/>
      <c r="AG71" s="385">
        <f>Roles!$D$6</f>
        <v>0.1</v>
      </c>
      <c r="AH71" s="385"/>
      <c r="AI71" s="205">
        <f t="shared" si="12"/>
        <v>0</v>
      </c>
      <c r="AJ71" s="392"/>
      <c r="AK71" s="385"/>
      <c r="AL71" s="385">
        <f>Roles!$D$6</f>
        <v>0.1</v>
      </c>
      <c r="AM71" s="385"/>
      <c r="AN71" s="205">
        <f t="shared" si="13"/>
        <v>0</v>
      </c>
      <c r="AO71" s="392"/>
      <c r="AP71" s="385"/>
      <c r="AQ71" s="385">
        <f>Roles!$D$6</f>
        <v>0.1</v>
      </c>
      <c r="AR71" s="385"/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 t="shared" si="1"/>
        <v>2</v>
      </c>
      <c r="F72" s="80">
        <v>15.0</v>
      </c>
      <c r="G72" s="105">
        <f t="shared" si="2"/>
        <v>0.01291989664</v>
      </c>
      <c r="H72" s="47">
        <f t="shared" ref="H72:H73" si="64">H71+G72</f>
        <v>0.2230835487</v>
      </c>
      <c r="I72" s="187">
        <f t="shared" si="62"/>
        <v>15</v>
      </c>
      <c r="J72" s="172">
        <f t="shared" ref="J72:J73" si="65">J71+I72</f>
        <v>83</v>
      </c>
      <c r="K72" s="115">
        <f t="shared" si="3"/>
        <v>0.1220588235</v>
      </c>
      <c r="L72" s="336">
        <f t="shared" si="63"/>
        <v>6.6</v>
      </c>
      <c r="M72" s="172">
        <f t="shared" ref="M72:M73" si="66">M71+L72</f>
        <v>36.52</v>
      </c>
      <c r="N72" s="323" t="str">
        <f t="shared" si="6"/>
        <v>#REF!</v>
      </c>
      <c r="O72" s="205">
        <f t="shared" si="7"/>
        <v>1</v>
      </c>
      <c r="P72" s="391">
        <v>15.0</v>
      </c>
      <c r="Q72" s="385"/>
      <c r="R72" s="385">
        <f>Roles!$D$5</f>
        <v>0.44</v>
      </c>
      <c r="S72" s="385">
        <f t="shared" si="8"/>
        <v>6.6</v>
      </c>
      <c r="T72" s="205">
        <f t="shared" si="9"/>
        <v>0</v>
      </c>
      <c r="U72" s="392"/>
      <c r="V72" s="385"/>
      <c r="W72" s="385">
        <f>Roles!$D$6</f>
        <v>0.1</v>
      </c>
      <c r="X72" s="385"/>
      <c r="Y72" s="205">
        <f t="shared" si="10"/>
        <v>0</v>
      </c>
      <c r="Z72" s="392"/>
      <c r="AA72" s="385"/>
      <c r="AB72" s="385">
        <f>Roles!$D$6</f>
        <v>0.1</v>
      </c>
      <c r="AC72" s="385"/>
      <c r="AD72" s="205">
        <f t="shared" si="11"/>
        <v>0</v>
      </c>
      <c r="AE72" s="392"/>
      <c r="AF72" s="385"/>
      <c r="AG72" s="385">
        <f>Roles!$D$6</f>
        <v>0.1</v>
      </c>
      <c r="AH72" s="385"/>
      <c r="AI72" s="205">
        <f t="shared" si="12"/>
        <v>0</v>
      </c>
      <c r="AJ72" s="392"/>
      <c r="AK72" s="385"/>
      <c r="AL72" s="385">
        <f>Roles!$D$6</f>
        <v>0.1</v>
      </c>
      <c r="AM72" s="385"/>
      <c r="AN72" s="205">
        <f t="shared" si="13"/>
        <v>0</v>
      </c>
      <c r="AO72" s="392"/>
      <c r="AP72" s="385"/>
      <c r="AQ72" s="385">
        <f>Roles!$D$6</f>
        <v>0.1</v>
      </c>
      <c r="AR72" s="385"/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 t="shared" si="1"/>
        <v>1</v>
      </c>
      <c r="F73" s="80">
        <v>10.0</v>
      </c>
      <c r="G73" s="105">
        <f t="shared" si="2"/>
        <v>0.008613264427</v>
      </c>
      <c r="H73" s="47">
        <f t="shared" si="64"/>
        <v>0.2316968131</v>
      </c>
      <c r="I73" s="187">
        <f t="shared" si="62"/>
        <v>10</v>
      </c>
      <c r="J73" s="172">
        <f t="shared" si="65"/>
        <v>93</v>
      </c>
      <c r="K73" s="115">
        <f t="shared" si="3"/>
        <v>0.1367647059</v>
      </c>
      <c r="L73" s="336">
        <f t="shared" si="63"/>
        <v>4.4</v>
      </c>
      <c r="M73" s="172">
        <f t="shared" si="66"/>
        <v>40.92</v>
      </c>
      <c r="N73" s="138" t="str">
        <f t="shared" si="6"/>
        <v>#REF!</v>
      </c>
      <c r="O73" s="205">
        <f t="shared" si="7"/>
        <v>1</v>
      </c>
      <c r="P73" s="391">
        <v>10.0</v>
      </c>
      <c r="Q73" s="385"/>
      <c r="R73" s="385">
        <f>Roles!$D$5</f>
        <v>0.44</v>
      </c>
      <c r="S73" s="385">
        <f t="shared" si="8"/>
        <v>4.4</v>
      </c>
      <c r="T73" s="205">
        <f t="shared" si="9"/>
        <v>0</v>
      </c>
      <c r="U73" s="392"/>
      <c r="V73" s="385"/>
      <c r="W73" s="385">
        <f>Roles!$D$6</f>
        <v>0.1</v>
      </c>
      <c r="X73" s="385"/>
      <c r="Y73" s="205">
        <f t="shared" si="10"/>
        <v>0</v>
      </c>
      <c r="Z73" s="392"/>
      <c r="AA73" s="385"/>
      <c r="AB73" s="385">
        <f>Roles!$D$6</f>
        <v>0.1</v>
      </c>
      <c r="AC73" s="385"/>
      <c r="AD73" s="205">
        <f t="shared" si="11"/>
        <v>0</v>
      </c>
      <c r="AE73" s="392"/>
      <c r="AF73" s="385"/>
      <c r="AG73" s="385">
        <f>Roles!$D$6</f>
        <v>0.1</v>
      </c>
      <c r="AH73" s="385"/>
      <c r="AI73" s="205">
        <f t="shared" si="12"/>
        <v>0</v>
      </c>
      <c r="AJ73" s="392"/>
      <c r="AK73" s="385"/>
      <c r="AL73" s="385">
        <f>Roles!$D$6</f>
        <v>0.1</v>
      </c>
      <c r="AM73" s="385"/>
      <c r="AN73" s="205">
        <f t="shared" si="13"/>
        <v>0</v>
      </c>
      <c r="AO73" s="392"/>
      <c r="AP73" s="385"/>
      <c r="AQ73" s="385">
        <f>Roles!$D$6</f>
        <v>0.1</v>
      </c>
      <c r="AR73" s="385"/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 t="shared" si="1"/>
        <v>3</v>
      </c>
      <c r="F74" s="246">
        <f>SUM(F75:F78)</f>
        <v>32</v>
      </c>
      <c r="G74" s="105">
        <f t="shared" si="2"/>
        <v>0.02756244617</v>
      </c>
      <c r="H74" s="226">
        <f>H78</f>
        <v>0.2592592593</v>
      </c>
      <c r="I74" s="247">
        <f>SUM(I75:I78)</f>
        <v>0</v>
      </c>
      <c r="J74" s="247">
        <f>J78</f>
        <v>93</v>
      </c>
      <c r="K74" s="167">
        <f t="shared" si="3"/>
        <v>0.1367647059</v>
      </c>
      <c r="L74" s="247">
        <f>SUM(L75:L78)</f>
        <v>0</v>
      </c>
      <c r="M74" s="247">
        <f>M78</f>
        <v>40.92</v>
      </c>
      <c r="N74" s="167" t="str">
        <f t="shared" si="6"/>
        <v>#REF!</v>
      </c>
      <c r="O74" s="205">
        <f t="shared" si="7"/>
        <v>0</v>
      </c>
      <c r="P74" s="89"/>
      <c r="Q74" s="385"/>
      <c r="R74" s="385">
        <f>Roles!$D$5</f>
        <v>0.44</v>
      </c>
      <c r="S74" s="385">
        <f t="shared" si="8"/>
        <v>0</v>
      </c>
      <c r="T74" s="205">
        <f t="shared" si="9"/>
        <v>0</v>
      </c>
      <c r="U74" s="392"/>
      <c r="V74" s="385"/>
      <c r="W74" s="385">
        <f>Roles!$D$6</f>
        <v>0.1</v>
      </c>
      <c r="X74" s="385"/>
      <c r="Y74" s="205">
        <f t="shared" si="10"/>
        <v>0</v>
      </c>
      <c r="Z74" s="392"/>
      <c r="AA74" s="385"/>
      <c r="AB74" s="385">
        <f>Roles!$D$6</f>
        <v>0.1</v>
      </c>
      <c r="AC74" s="385"/>
      <c r="AD74" s="205">
        <f t="shared" si="11"/>
        <v>0</v>
      </c>
      <c r="AE74" s="392"/>
      <c r="AF74" s="385"/>
      <c r="AG74" s="385">
        <f>Roles!$D$6</f>
        <v>0.1</v>
      </c>
      <c r="AH74" s="385"/>
      <c r="AI74" s="205">
        <f t="shared" si="12"/>
        <v>0</v>
      </c>
      <c r="AJ74" s="392"/>
      <c r="AK74" s="385"/>
      <c r="AL74" s="385">
        <f>Roles!$D$6</f>
        <v>0.1</v>
      </c>
      <c r="AM74" s="385"/>
      <c r="AN74" s="205">
        <f t="shared" si="13"/>
        <v>0</v>
      </c>
      <c r="AO74" s="392"/>
      <c r="AP74" s="385"/>
      <c r="AQ74" s="385">
        <f>Roles!$D$6</f>
        <v>0.1</v>
      </c>
      <c r="AR74" s="385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 t="shared" si="1"/>
        <v>2</v>
      </c>
      <c r="F75" s="80">
        <v>4.0</v>
      </c>
      <c r="G75" s="105">
        <f t="shared" si="2"/>
        <v>0.003445305771</v>
      </c>
      <c r="H75" s="47">
        <f>H73+G75</f>
        <v>0.2351421189</v>
      </c>
      <c r="I75" s="187">
        <f t="shared" ref="I75:I78" si="67">P75+U75+Z75+AE75+AJ75+AO75</f>
        <v>0</v>
      </c>
      <c r="J75" s="172">
        <f>J73+I75</f>
        <v>93</v>
      </c>
      <c r="K75" s="115">
        <f t="shared" si="3"/>
        <v>0.1367647059</v>
      </c>
      <c r="L75" s="336">
        <f t="shared" ref="L75:L78" si="68">S75+X75+AC75+AH75+AM75+AR75</f>
        <v>0</v>
      </c>
      <c r="M75" s="172">
        <f>M73+L75</f>
        <v>40.92</v>
      </c>
      <c r="N75" s="323" t="str">
        <f t="shared" si="6"/>
        <v>#REF!</v>
      </c>
      <c r="O75" s="205">
        <f t="shared" si="7"/>
        <v>0</v>
      </c>
      <c r="P75" s="391">
        <v>0.0</v>
      </c>
      <c r="Q75" s="385"/>
      <c r="R75" s="385">
        <f>Roles!$D$5</f>
        <v>0.44</v>
      </c>
      <c r="S75" s="385">
        <f t="shared" si="8"/>
        <v>0</v>
      </c>
      <c r="T75" s="205">
        <f t="shared" si="9"/>
        <v>0</v>
      </c>
      <c r="U75" s="392"/>
      <c r="V75" s="385"/>
      <c r="W75" s="385">
        <f>Roles!$D$6</f>
        <v>0.1</v>
      </c>
      <c r="X75" s="385"/>
      <c r="Y75" s="205">
        <f t="shared" si="10"/>
        <v>0</v>
      </c>
      <c r="Z75" s="392"/>
      <c r="AA75" s="385"/>
      <c r="AB75" s="385">
        <f>Roles!$D$6</f>
        <v>0.1</v>
      </c>
      <c r="AC75" s="385"/>
      <c r="AD75" s="205">
        <f t="shared" si="11"/>
        <v>0</v>
      </c>
      <c r="AE75" s="392"/>
      <c r="AF75" s="385"/>
      <c r="AG75" s="385">
        <f>Roles!$D$6</f>
        <v>0.1</v>
      </c>
      <c r="AH75" s="385"/>
      <c r="AI75" s="205">
        <f t="shared" si="12"/>
        <v>0</v>
      </c>
      <c r="AJ75" s="392"/>
      <c r="AK75" s="385"/>
      <c r="AL75" s="385">
        <f>Roles!$D$6</f>
        <v>0.1</v>
      </c>
      <c r="AM75" s="385"/>
      <c r="AN75" s="205">
        <f t="shared" si="13"/>
        <v>0</v>
      </c>
      <c r="AO75" s="392"/>
      <c r="AP75" s="385"/>
      <c r="AQ75" s="385">
        <f>Roles!$D$6</f>
        <v>0.1</v>
      </c>
      <c r="AR75" s="385"/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 t="shared" si="1"/>
        <v>2</v>
      </c>
      <c r="F76" s="80">
        <v>15.0</v>
      </c>
      <c r="G76" s="105">
        <f t="shared" si="2"/>
        <v>0.01291989664</v>
      </c>
      <c r="H76" s="47">
        <f t="shared" ref="H76:H79" si="69">H75+G76</f>
        <v>0.2480620155</v>
      </c>
      <c r="I76" s="187">
        <f t="shared" si="67"/>
        <v>0</v>
      </c>
      <c r="J76" s="172">
        <f t="shared" ref="J76:J79" si="70">J75+I76</f>
        <v>93</v>
      </c>
      <c r="K76" s="115">
        <f t="shared" si="3"/>
        <v>0.1367647059</v>
      </c>
      <c r="L76" s="336">
        <f t="shared" si="68"/>
        <v>0</v>
      </c>
      <c r="M76" s="172">
        <f t="shared" ref="M76:M79" si="71">M75+L76</f>
        <v>40.92</v>
      </c>
      <c r="N76" s="323" t="str">
        <f t="shared" si="6"/>
        <v>#REF!</v>
      </c>
      <c r="O76" s="205">
        <f t="shared" si="7"/>
        <v>0</v>
      </c>
      <c r="P76" s="391">
        <v>0.0</v>
      </c>
      <c r="Q76" s="385"/>
      <c r="R76" s="385">
        <f>Roles!$D$5</f>
        <v>0.44</v>
      </c>
      <c r="S76" s="385">
        <f t="shared" si="8"/>
        <v>0</v>
      </c>
      <c r="T76" s="205">
        <f t="shared" si="9"/>
        <v>0</v>
      </c>
      <c r="U76" s="392"/>
      <c r="V76" s="385"/>
      <c r="W76" s="385">
        <f>Roles!$D$6</f>
        <v>0.1</v>
      </c>
      <c r="X76" s="385"/>
      <c r="Y76" s="205">
        <f t="shared" si="10"/>
        <v>0</v>
      </c>
      <c r="Z76" s="392"/>
      <c r="AA76" s="385"/>
      <c r="AB76" s="385">
        <f>Roles!$D$6</f>
        <v>0.1</v>
      </c>
      <c r="AC76" s="385"/>
      <c r="AD76" s="205">
        <f t="shared" si="11"/>
        <v>0</v>
      </c>
      <c r="AE76" s="392"/>
      <c r="AF76" s="385"/>
      <c r="AG76" s="385">
        <f>Roles!$D$6</f>
        <v>0.1</v>
      </c>
      <c r="AH76" s="385"/>
      <c r="AI76" s="205">
        <f t="shared" si="12"/>
        <v>0</v>
      </c>
      <c r="AJ76" s="392"/>
      <c r="AK76" s="385"/>
      <c r="AL76" s="385">
        <f>Roles!$D$6</f>
        <v>0.1</v>
      </c>
      <c r="AM76" s="385"/>
      <c r="AN76" s="205">
        <f t="shared" si="13"/>
        <v>0</v>
      </c>
      <c r="AO76" s="392"/>
      <c r="AP76" s="385"/>
      <c r="AQ76" s="385">
        <f>Roles!$D$6</f>
        <v>0.1</v>
      </c>
      <c r="AR76" s="385"/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 t="shared" si="1"/>
        <v>1</v>
      </c>
      <c r="F77" s="80">
        <v>3.0</v>
      </c>
      <c r="G77" s="105">
        <f t="shared" si="2"/>
        <v>0.002583979328</v>
      </c>
      <c r="H77" s="47">
        <f t="shared" si="69"/>
        <v>0.2506459948</v>
      </c>
      <c r="I77" s="187">
        <f t="shared" si="67"/>
        <v>0</v>
      </c>
      <c r="J77" s="172">
        <f t="shared" si="70"/>
        <v>93</v>
      </c>
      <c r="K77" s="115">
        <f t="shared" si="3"/>
        <v>0.1367647059</v>
      </c>
      <c r="L77" s="336">
        <f t="shared" si="68"/>
        <v>0</v>
      </c>
      <c r="M77" s="172">
        <f t="shared" si="71"/>
        <v>40.92</v>
      </c>
      <c r="N77" s="226" t="str">
        <f t="shared" si="6"/>
        <v>#REF!</v>
      </c>
      <c r="O77" s="205">
        <f t="shared" si="7"/>
        <v>0</v>
      </c>
      <c r="P77" s="391">
        <v>0.0</v>
      </c>
      <c r="Q77" s="385"/>
      <c r="R77" s="385">
        <f>Roles!$D$5</f>
        <v>0.44</v>
      </c>
      <c r="S77" s="385">
        <f t="shared" si="8"/>
        <v>0</v>
      </c>
      <c r="T77" s="205">
        <f t="shared" si="9"/>
        <v>0</v>
      </c>
      <c r="U77" s="392"/>
      <c r="V77" s="385"/>
      <c r="W77" s="385">
        <f>Roles!$D$6</f>
        <v>0.1</v>
      </c>
      <c r="X77" s="385"/>
      <c r="Y77" s="205">
        <f t="shared" si="10"/>
        <v>0</v>
      </c>
      <c r="Z77" s="392"/>
      <c r="AA77" s="385"/>
      <c r="AB77" s="385">
        <f>Roles!$D$6</f>
        <v>0.1</v>
      </c>
      <c r="AC77" s="385"/>
      <c r="AD77" s="205">
        <f t="shared" si="11"/>
        <v>0</v>
      </c>
      <c r="AE77" s="392"/>
      <c r="AF77" s="385"/>
      <c r="AG77" s="385">
        <f>Roles!$D$6</f>
        <v>0.1</v>
      </c>
      <c r="AH77" s="385"/>
      <c r="AI77" s="205">
        <f t="shared" si="12"/>
        <v>0</v>
      </c>
      <c r="AJ77" s="392"/>
      <c r="AK77" s="385"/>
      <c r="AL77" s="385">
        <f>Roles!$D$6</f>
        <v>0.1</v>
      </c>
      <c r="AM77" s="385"/>
      <c r="AN77" s="205">
        <f t="shared" si="13"/>
        <v>0</v>
      </c>
      <c r="AO77" s="392"/>
      <c r="AP77" s="385"/>
      <c r="AQ77" s="385">
        <f>Roles!$D$6</f>
        <v>0.1</v>
      </c>
      <c r="AR77" s="385"/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 t="shared" si="1"/>
        <v>1</v>
      </c>
      <c r="F78" s="80">
        <v>10.0</v>
      </c>
      <c r="G78" s="105">
        <f t="shared" si="2"/>
        <v>0.008613264427</v>
      </c>
      <c r="H78" s="47">
        <f t="shared" si="69"/>
        <v>0.2592592593</v>
      </c>
      <c r="I78" s="187">
        <f t="shared" si="67"/>
        <v>0</v>
      </c>
      <c r="J78" s="172">
        <f t="shared" si="70"/>
        <v>93</v>
      </c>
      <c r="K78" s="115">
        <f t="shared" si="3"/>
        <v>0.1367647059</v>
      </c>
      <c r="L78" s="336">
        <f t="shared" si="68"/>
        <v>0</v>
      </c>
      <c r="M78" s="172">
        <f t="shared" si="71"/>
        <v>40.92</v>
      </c>
      <c r="N78" s="47" t="str">
        <f t="shared" si="6"/>
        <v>#REF!</v>
      </c>
      <c r="O78" s="205">
        <f t="shared" si="7"/>
        <v>0</v>
      </c>
      <c r="P78" s="391">
        <v>0.0</v>
      </c>
      <c r="Q78" s="385"/>
      <c r="R78" s="385">
        <f>Roles!$D$5</f>
        <v>0.44</v>
      </c>
      <c r="S78" s="385">
        <f t="shared" si="8"/>
        <v>0</v>
      </c>
      <c r="T78" s="205">
        <f t="shared" si="9"/>
        <v>0</v>
      </c>
      <c r="U78" s="392"/>
      <c r="V78" s="385"/>
      <c r="W78" s="385">
        <f>Roles!$D$6</f>
        <v>0.1</v>
      </c>
      <c r="X78" s="385"/>
      <c r="Y78" s="205">
        <f t="shared" si="10"/>
        <v>0</v>
      </c>
      <c r="Z78" s="392"/>
      <c r="AA78" s="385"/>
      <c r="AB78" s="385">
        <f>Roles!$D$6</f>
        <v>0.1</v>
      </c>
      <c r="AC78" s="385"/>
      <c r="AD78" s="205">
        <f t="shared" si="11"/>
        <v>0</v>
      </c>
      <c r="AE78" s="392"/>
      <c r="AF78" s="385"/>
      <c r="AG78" s="385">
        <f>Roles!$D$6</f>
        <v>0.1</v>
      </c>
      <c r="AH78" s="385"/>
      <c r="AI78" s="205">
        <f t="shared" si="12"/>
        <v>0</v>
      </c>
      <c r="AJ78" s="392"/>
      <c r="AK78" s="385"/>
      <c r="AL78" s="385">
        <f>Roles!$D$6</f>
        <v>0.1</v>
      </c>
      <c r="AM78" s="385"/>
      <c r="AN78" s="205">
        <f t="shared" si="13"/>
        <v>0</v>
      </c>
      <c r="AO78" s="392"/>
      <c r="AP78" s="385"/>
      <c r="AQ78" s="385">
        <f>Roles!$D$6</f>
        <v>0.1</v>
      </c>
      <c r="AR78" s="385"/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 t="shared" si="1"/>
        <v>1</v>
      </c>
      <c r="F79" s="136">
        <v>0.0</v>
      </c>
      <c r="G79" s="105">
        <f t="shared" si="2"/>
        <v>0</v>
      </c>
      <c r="H79" s="115">
        <f t="shared" si="69"/>
        <v>0.2592592593</v>
      </c>
      <c r="I79" s="110">
        <f>F79</f>
        <v>0</v>
      </c>
      <c r="J79" s="110">
        <f t="shared" si="70"/>
        <v>93</v>
      </c>
      <c r="K79" s="115">
        <f t="shared" si="3"/>
        <v>0.1367647059</v>
      </c>
      <c r="L79" s="110">
        <v>0.0</v>
      </c>
      <c r="M79" s="110">
        <f t="shared" si="71"/>
        <v>40.92</v>
      </c>
      <c r="N79" s="47" t="str">
        <f t="shared" si="6"/>
        <v>#REF!</v>
      </c>
      <c r="O79" s="205" t="str">
        <f t="shared" si="7"/>
        <v>#DIV/0!</v>
      </c>
      <c r="P79" s="89"/>
      <c r="Q79" s="385"/>
      <c r="R79" s="385">
        <f>Roles!$D$5</f>
        <v>0.44</v>
      </c>
      <c r="S79" s="385">
        <f t="shared" si="8"/>
        <v>0</v>
      </c>
      <c r="T79" s="205" t="str">
        <f t="shared" si="9"/>
        <v>#DIV/0!</v>
      </c>
      <c r="U79" s="392"/>
      <c r="V79" s="385"/>
      <c r="W79" s="385">
        <f>Roles!$D$6</f>
        <v>0.1</v>
      </c>
      <c r="X79" s="385"/>
      <c r="Y79" s="205" t="str">
        <f t="shared" si="10"/>
        <v>#DIV/0!</v>
      </c>
      <c r="Z79" s="392"/>
      <c r="AA79" s="385"/>
      <c r="AB79" s="385">
        <f>Roles!$D$6</f>
        <v>0.1</v>
      </c>
      <c r="AC79" s="385"/>
      <c r="AD79" s="205" t="str">
        <f t="shared" si="11"/>
        <v>#DIV/0!</v>
      </c>
      <c r="AE79" s="392"/>
      <c r="AF79" s="385"/>
      <c r="AG79" s="385">
        <f>Roles!$D$6</f>
        <v>0.1</v>
      </c>
      <c r="AH79" s="385"/>
      <c r="AI79" s="205" t="str">
        <f t="shared" si="12"/>
        <v>#DIV/0!</v>
      </c>
      <c r="AJ79" s="392"/>
      <c r="AK79" s="385"/>
      <c r="AL79" s="385">
        <f>Roles!$D$6</f>
        <v>0.1</v>
      </c>
      <c r="AM79" s="385"/>
      <c r="AN79" s="205" t="str">
        <f t="shared" si="13"/>
        <v>#DIV/0!</v>
      </c>
      <c r="AO79" s="392"/>
      <c r="AP79" s="385"/>
      <c r="AQ79" s="385">
        <f>Roles!$D$6</f>
        <v>0.1</v>
      </c>
      <c r="AR79" s="385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 t="shared" si="1"/>
        <v>21</v>
      </c>
      <c r="F80" s="240">
        <f>F81+F86+F97+F102+F110+F117+F122+F127+F131+F135+F139</f>
        <v>313</v>
      </c>
      <c r="G80" s="105">
        <f t="shared" si="2"/>
        <v>0.2695951766</v>
      </c>
      <c r="H80" s="224">
        <f>H144</f>
        <v>0.5288544358</v>
      </c>
      <c r="I80" s="241">
        <f>I81+I86+I97+I102+I110+I117+I122+I127+I131+I135+I139</f>
        <v>123</v>
      </c>
      <c r="J80" s="241">
        <f>J144</f>
        <v>216</v>
      </c>
      <c r="K80" s="138">
        <f t="shared" si="3"/>
        <v>0.3176470588</v>
      </c>
      <c r="L80" s="241">
        <f>L81+L86+L97+L102+L110+L117+L122+L127+L131+L135+L139</f>
        <v>54.12</v>
      </c>
      <c r="M80" s="241">
        <f>M144</f>
        <v>95.04</v>
      </c>
      <c r="N80" s="226" t="str">
        <f t="shared" si="6"/>
        <v>#REF!</v>
      </c>
      <c r="O80" s="205">
        <f t="shared" si="7"/>
        <v>0</v>
      </c>
      <c r="P80" s="89"/>
      <c r="Q80" s="385"/>
      <c r="R80" s="385">
        <f>Roles!$D$5</f>
        <v>0.44</v>
      </c>
      <c r="S80" s="385">
        <f t="shared" si="8"/>
        <v>0</v>
      </c>
      <c r="T80" s="205">
        <f t="shared" si="9"/>
        <v>0</v>
      </c>
      <c r="U80" s="392"/>
      <c r="V80" s="385"/>
      <c r="W80" s="385">
        <f>Roles!$D$6</f>
        <v>0.1</v>
      </c>
      <c r="X80" s="385"/>
      <c r="Y80" s="205">
        <f t="shared" si="10"/>
        <v>0</v>
      </c>
      <c r="Z80" s="392"/>
      <c r="AA80" s="385"/>
      <c r="AB80" s="385">
        <f>Roles!$D$6</f>
        <v>0.1</v>
      </c>
      <c r="AC80" s="385"/>
      <c r="AD80" s="205">
        <f t="shared" si="11"/>
        <v>0</v>
      </c>
      <c r="AE80" s="392"/>
      <c r="AF80" s="385"/>
      <c r="AG80" s="385">
        <f>Roles!$D$6</f>
        <v>0.1</v>
      </c>
      <c r="AH80" s="385"/>
      <c r="AI80" s="205">
        <f t="shared" si="12"/>
        <v>0</v>
      </c>
      <c r="AJ80" s="392"/>
      <c r="AK80" s="385"/>
      <c r="AL80" s="385">
        <f>Roles!$D$6</f>
        <v>0.1</v>
      </c>
      <c r="AM80" s="385"/>
      <c r="AN80" s="205">
        <f t="shared" si="13"/>
        <v>0</v>
      </c>
      <c r="AO80" s="392"/>
      <c r="AP80" s="385"/>
      <c r="AQ80" s="385">
        <f>Roles!$D$6</f>
        <v>0.1</v>
      </c>
      <c r="AR80" s="385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 t="shared" si="1"/>
        <v>6</v>
      </c>
      <c r="F81" s="246">
        <f>SUM(F82:F85)</f>
        <v>12</v>
      </c>
      <c r="G81" s="105">
        <f t="shared" si="2"/>
        <v>0.01033591731</v>
      </c>
      <c r="H81" s="226">
        <f>H85</f>
        <v>0.2695951766</v>
      </c>
      <c r="I81" s="247">
        <f>SUM(I82:I85)</f>
        <v>0</v>
      </c>
      <c r="J81" s="247">
        <f>J85</f>
        <v>93</v>
      </c>
      <c r="K81" s="167">
        <f t="shared" si="3"/>
        <v>0.1367647059</v>
      </c>
      <c r="L81" s="247">
        <f>SUM(L82:L85)</f>
        <v>0</v>
      </c>
      <c r="M81" s="247">
        <f>M85</f>
        <v>40.92</v>
      </c>
      <c r="N81" s="47" t="str">
        <f t="shared" si="6"/>
        <v>#REF!</v>
      </c>
      <c r="O81" s="205">
        <f t="shared" si="7"/>
        <v>0</v>
      </c>
      <c r="P81" s="89"/>
      <c r="Q81" s="385"/>
      <c r="R81" s="385">
        <f>Roles!$D$5</f>
        <v>0.44</v>
      </c>
      <c r="S81" s="385">
        <f t="shared" si="8"/>
        <v>0</v>
      </c>
      <c r="T81" s="205">
        <f t="shared" si="9"/>
        <v>0</v>
      </c>
      <c r="U81" s="392"/>
      <c r="V81" s="385"/>
      <c r="W81" s="385">
        <f>Roles!$D$6</f>
        <v>0.1</v>
      </c>
      <c r="X81" s="385"/>
      <c r="Y81" s="205">
        <f t="shared" si="10"/>
        <v>0</v>
      </c>
      <c r="Z81" s="392"/>
      <c r="AA81" s="385"/>
      <c r="AB81" s="385">
        <f>Roles!$D$6</f>
        <v>0.1</v>
      </c>
      <c r="AC81" s="385"/>
      <c r="AD81" s="205">
        <f t="shared" si="11"/>
        <v>0</v>
      </c>
      <c r="AE81" s="392"/>
      <c r="AF81" s="385"/>
      <c r="AG81" s="385">
        <f>Roles!$D$6</f>
        <v>0.1</v>
      </c>
      <c r="AH81" s="385"/>
      <c r="AI81" s="205">
        <f t="shared" si="12"/>
        <v>0</v>
      </c>
      <c r="AJ81" s="392"/>
      <c r="AK81" s="385"/>
      <c r="AL81" s="385">
        <f>Roles!$D$6</f>
        <v>0.1</v>
      </c>
      <c r="AM81" s="385"/>
      <c r="AN81" s="205">
        <f t="shared" si="13"/>
        <v>0</v>
      </c>
      <c r="AO81" s="392"/>
      <c r="AP81" s="385"/>
      <c r="AQ81" s="385">
        <f>Roles!$D$6</f>
        <v>0.1</v>
      </c>
      <c r="AR81" s="385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 t="shared" si="1"/>
        <v>2</v>
      </c>
      <c r="F82" s="80">
        <v>3.0</v>
      </c>
      <c r="G82" s="105">
        <f t="shared" si="2"/>
        <v>0.002583979328</v>
      </c>
      <c r="H82" s="47">
        <f>H79+G82</f>
        <v>0.2618432386</v>
      </c>
      <c r="I82" s="187">
        <f t="shared" ref="I82:I85" si="72">P82+U82+Z82+AE82+AJ82+AO82</f>
        <v>0</v>
      </c>
      <c r="J82" s="172">
        <f>J79+I82</f>
        <v>93</v>
      </c>
      <c r="K82" s="115">
        <f t="shared" si="3"/>
        <v>0.1367647059</v>
      </c>
      <c r="L82" s="336">
        <f t="shared" ref="L82:L85" si="73">S82+X82+AC82+AH82+AM82+AR82</f>
        <v>0</v>
      </c>
      <c r="M82" s="172">
        <f>M79+L82</f>
        <v>40.92</v>
      </c>
      <c r="N82" s="47" t="str">
        <f t="shared" si="6"/>
        <v>#REF!</v>
      </c>
      <c r="O82" s="205">
        <f t="shared" si="7"/>
        <v>0</v>
      </c>
      <c r="P82" s="391">
        <v>0.0</v>
      </c>
      <c r="Q82" s="385"/>
      <c r="R82" s="385">
        <f>Roles!$D$5</f>
        <v>0.44</v>
      </c>
      <c r="S82" s="385">
        <f t="shared" si="8"/>
        <v>0</v>
      </c>
      <c r="T82" s="205">
        <f t="shared" si="9"/>
        <v>0</v>
      </c>
      <c r="U82" s="392"/>
      <c r="V82" s="385"/>
      <c r="W82" s="385">
        <f>Roles!$D$6</f>
        <v>0.1</v>
      </c>
      <c r="X82" s="385"/>
      <c r="Y82" s="205">
        <f t="shared" si="10"/>
        <v>0</v>
      </c>
      <c r="Z82" s="392"/>
      <c r="AA82" s="385"/>
      <c r="AB82" s="385">
        <f>Roles!$D$6</f>
        <v>0.1</v>
      </c>
      <c r="AC82" s="385"/>
      <c r="AD82" s="205">
        <f t="shared" si="11"/>
        <v>0</v>
      </c>
      <c r="AE82" s="392"/>
      <c r="AF82" s="385"/>
      <c r="AG82" s="385">
        <f>Roles!$D$6</f>
        <v>0.1</v>
      </c>
      <c r="AH82" s="385"/>
      <c r="AI82" s="205">
        <f t="shared" si="12"/>
        <v>0</v>
      </c>
      <c r="AJ82" s="392"/>
      <c r="AK82" s="385"/>
      <c r="AL82" s="385">
        <f>Roles!$D$6</f>
        <v>0.1</v>
      </c>
      <c r="AM82" s="385"/>
      <c r="AN82" s="205">
        <f t="shared" si="13"/>
        <v>0</v>
      </c>
      <c r="AO82" s="392"/>
      <c r="AP82" s="385"/>
      <c r="AQ82" s="385">
        <f>Roles!$D$6</f>
        <v>0.1</v>
      </c>
      <c r="AR82" s="385"/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 t="shared" si="1"/>
        <v>2</v>
      </c>
      <c r="F83" s="80">
        <v>4.0</v>
      </c>
      <c r="G83" s="105">
        <f t="shared" si="2"/>
        <v>0.003445305771</v>
      </c>
      <c r="H83" s="47">
        <f t="shared" ref="H83:H85" si="74">H82+G83</f>
        <v>0.2652885444</v>
      </c>
      <c r="I83" s="187">
        <f t="shared" si="72"/>
        <v>0</v>
      </c>
      <c r="J83" s="172">
        <f t="shared" ref="J83:J85" si="75">J82+I83</f>
        <v>93</v>
      </c>
      <c r="K83" s="115">
        <f t="shared" si="3"/>
        <v>0.1367647059</v>
      </c>
      <c r="L83" s="336">
        <f t="shared" si="73"/>
        <v>0</v>
      </c>
      <c r="M83" s="172">
        <f t="shared" ref="M83:M85" si="76">M82+L83</f>
        <v>40.92</v>
      </c>
      <c r="N83" s="167" t="str">
        <f t="shared" si="6"/>
        <v>#REF!</v>
      </c>
      <c r="O83" s="205">
        <f t="shared" si="7"/>
        <v>0</v>
      </c>
      <c r="P83" s="391">
        <v>0.0</v>
      </c>
      <c r="Q83" s="385"/>
      <c r="R83" s="385">
        <f>Roles!$D$5</f>
        <v>0.44</v>
      </c>
      <c r="S83" s="385">
        <f t="shared" si="8"/>
        <v>0</v>
      </c>
      <c r="T83" s="205">
        <f t="shared" si="9"/>
        <v>0</v>
      </c>
      <c r="U83" s="392"/>
      <c r="V83" s="385"/>
      <c r="W83" s="385">
        <f>Roles!$D$6</f>
        <v>0.1</v>
      </c>
      <c r="X83" s="385"/>
      <c r="Y83" s="205">
        <f t="shared" si="10"/>
        <v>0</v>
      </c>
      <c r="Z83" s="392"/>
      <c r="AA83" s="385"/>
      <c r="AB83" s="385">
        <f>Roles!$D$6</f>
        <v>0.1</v>
      </c>
      <c r="AC83" s="385"/>
      <c r="AD83" s="205">
        <f t="shared" si="11"/>
        <v>0</v>
      </c>
      <c r="AE83" s="392"/>
      <c r="AF83" s="385"/>
      <c r="AG83" s="385">
        <f>Roles!$D$6</f>
        <v>0.1</v>
      </c>
      <c r="AH83" s="385"/>
      <c r="AI83" s="205">
        <f t="shared" si="12"/>
        <v>0</v>
      </c>
      <c r="AJ83" s="392"/>
      <c r="AK83" s="385"/>
      <c r="AL83" s="385">
        <f>Roles!$D$6</f>
        <v>0.1</v>
      </c>
      <c r="AM83" s="385"/>
      <c r="AN83" s="205">
        <f t="shared" si="13"/>
        <v>0</v>
      </c>
      <c r="AO83" s="392"/>
      <c r="AP83" s="385"/>
      <c r="AQ83" s="385">
        <f>Roles!$D$6</f>
        <v>0.1</v>
      </c>
      <c r="AR83" s="385"/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 t="shared" si="1"/>
        <v>2</v>
      </c>
      <c r="F84" s="80">
        <v>3.0</v>
      </c>
      <c r="G84" s="105">
        <f t="shared" si="2"/>
        <v>0.002583979328</v>
      </c>
      <c r="H84" s="47">
        <f t="shared" si="74"/>
        <v>0.2678725237</v>
      </c>
      <c r="I84" s="187">
        <f t="shared" si="72"/>
        <v>0</v>
      </c>
      <c r="J84" s="172">
        <f t="shared" si="75"/>
        <v>93</v>
      </c>
      <c r="K84" s="115">
        <f t="shared" si="3"/>
        <v>0.1367647059</v>
      </c>
      <c r="L84" s="336">
        <f t="shared" si="73"/>
        <v>0</v>
      </c>
      <c r="M84" s="172">
        <f t="shared" si="76"/>
        <v>40.92</v>
      </c>
      <c r="N84" s="282" t="str">
        <f t="shared" si="6"/>
        <v>#REF!</v>
      </c>
      <c r="O84" s="205">
        <f t="shared" si="7"/>
        <v>0</v>
      </c>
      <c r="P84" s="391">
        <v>0.0</v>
      </c>
      <c r="Q84" s="385"/>
      <c r="R84" s="385">
        <f>Roles!$D$5</f>
        <v>0.44</v>
      </c>
      <c r="S84" s="385">
        <f t="shared" si="8"/>
        <v>0</v>
      </c>
      <c r="T84" s="205">
        <f t="shared" si="9"/>
        <v>0</v>
      </c>
      <c r="U84" s="392"/>
      <c r="V84" s="385"/>
      <c r="W84" s="385">
        <f>Roles!$D$6</f>
        <v>0.1</v>
      </c>
      <c r="X84" s="385"/>
      <c r="Y84" s="205">
        <f t="shared" si="10"/>
        <v>0</v>
      </c>
      <c r="Z84" s="392"/>
      <c r="AA84" s="385"/>
      <c r="AB84" s="385">
        <f>Roles!$D$6</f>
        <v>0.1</v>
      </c>
      <c r="AC84" s="385"/>
      <c r="AD84" s="205">
        <f t="shared" si="11"/>
        <v>0</v>
      </c>
      <c r="AE84" s="392"/>
      <c r="AF84" s="385"/>
      <c r="AG84" s="385">
        <f>Roles!$D$6</f>
        <v>0.1</v>
      </c>
      <c r="AH84" s="385"/>
      <c r="AI84" s="205">
        <f t="shared" si="12"/>
        <v>0</v>
      </c>
      <c r="AJ84" s="392"/>
      <c r="AK84" s="385"/>
      <c r="AL84" s="385">
        <f>Roles!$D$6</f>
        <v>0.1</v>
      </c>
      <c r="AM84" s="385"/>
      <c r="AN84" s="205">
        <f t="shared" si="13"/>
        <v>0</v>
      </c>
      <c r="AO84" s="392"/>
      <c r="AP84" s="385"/>
      <c r="AQ84" s="385">
        <f>Roles!$D$6</f>
        <v>0.1</v>
      </c>
      <c r="AR84" s="385"/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 t="shared" si="1"/>
        <v>1</v>
      </c>
      <c r="F85" s="80">
        <v>2.0</v>
      </c>
      <c r="G85" s="105">
        <f t="shared" si="2"/>
        <v>0.001722652885</v>
      </c>
      <c r="H85" s="47">
        <f t="shared" si="74"/>
        <v>0.2695951766</v>
      </c>
      <c r="I85" s="187">
        <f t="shared" si="72"/>
        <v>0</v>
      </c>
      <c r="J85" s="172">
        <f t="shared" si="75"/>
        <v>93</v>
      </c>
      <c r="K85" s="115">
        <f t="shared" si="3"/>
        <v>0.1367647059</v>
      </c>
      <c r="L85" s="336">
        <f t="shared" si="73"/>
        <v>0</v>
      </c>
      <c r="M85" s="172">
        <f t="shared" si="76"/>
        <v>40.92</v>
      </c>
      <c r="N85" s="342" t="str">
        <f t="shared" si="6"/>
        <v>#REF!</v>
      </c>
      <c r="O85" s="205">
        <f t="shared" si="7"/>
        <v>0</v>
      </c>
      <c r="P85" s="391">
        <v>0.0</v>
      </c>
      <c r="Q85" s="385"/>
      <c r="R85" s="385">
        <f>Roles!$D$5</f>
        <v>0.44</v>
      </c>
      <c r="S85" s="385">
        <f t="shared" si="8"/>
        <v>0</v>
      </c>
      <c r="T85" s="205">
        <f t="shared" si="9"/>
        <v>0</v>
      </c>
      <c r="U85" s="392"/>
      <c r="V85" s="385"/>
      <c r="W85" s="385">
        <f>Roles!$D$6</f>
        <v>0.1</v>
      </c>
      <c r="X85" s="385"/>
      <c r="Y85" s="205">
        <f t="shared" si="10"/>
        <v>0</v>
      </c>
      <c r="Z85" s="392"/>
      <c r="AA85" s="385"/>
      <c r="AB85" s="385">
        <f>Roles!$D$6</f>
        <v>0.1</v>
      </c>
      <c r="AC85" s="385"/>
      <c r="AD85" s="205">
        <f t="shared" si="11"/>
        <v>0</v>
      </c>
      <c r="AE85" s="392"/>
      <c r="AF85" s="385"/>
      <c r="AG85" s="385">
        <f>Roles!$D$6</f>
        <v>0.1</v>
      </c>
      <c r="AH85" s="385"/>
      <c r="AI85" s="205">
        <f t="shared" si="12"/>
        <v>0</v>
      </c>
      <c r="AJ85" s="392"/>
      <c r="AK85" s="385"/>
      <c r="AL85" s="385">
        <f>Roles!$D$6</f>
        <v>0.1</v>
      </c>
      <c r="AM85" s="385"/>
      <c r="AN85" s="205">
        <f t="shared" si="13"/>
        <v>0</v>
      </c>
      <c r="AO85" s="392"/>
      <c r="AP85" s="385"/>
      <c r="AQ85" s="385">
        <f>Roles!$D$6</f>
        <v>0.1</v>
      </c>
      <c r="AR85" s="385"/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 t="shared" si="1"/>
        <v>2</v>
      </c>
      <c r="F86" s="246">
        <f>SUM(F87:F96)</f>
        <v>42</v>
      </c>
      <c r="G86" s="105">
        <f t="shared" si="2"/>
        <v>0.03617571059</v>
      </c>
      <c r="H86" s="226">
        <f>H96</f>
        <v>0.3057708872</v>
      </c>
      <c r="I86" s="247">
        <f>SUM(I87:I96)</f>
        <v>0</v>
      </c>
      <c r="J86" s="247">
        <f>J96</f>
        <v>93</v>
      </c>
      <c r="K86" s="167">
        <f t="shared" si="3"/>
        <v>0.1367647059</v>
      </c>
      <c r="L86" s="247">
        <f>SUM(L87:L96)</f>
        <v>0</v>
      </c>
      <c r="M86" s="247">
        <f>M96</f>
        <v>40.92</v>
      </c>
      <c r="N86" s="441" t="str">
        <f t="shared" si="6"/>
        <v>#REF!</v>
      </c>
      <c r="O86" s="205">
        <f t="shared" si="7"/>
        <v>0</v>
      </c>
      <c r="P86" s="89"/>
      <c r="Q86" s="385"/>
      <c r="R86" s="385">
        <f>Roles!$D$5</f>
        <v>0.44</v>
      </c>
      <c r="S86" s="385">
        <f t="shared" si="8"/>
        <v>0</v>
      </c>
      <c r="T86" s="205">
        <f t="shared" si="9"/>
        <v>0</v>
      </c>
      <c r="U86" s="392"/>
      <c r="V86" s="385"/>
      <c r="W86" s="385">
        <f>Roles!$D$6</f>
        <v>0.1</v>
      </c>
      <c r="X86" s="385"/>
      <c r="Y86" s="205">
        <f t="shared" si="10"/>
        <v>0</v>
      </c>
      <c r="Z86" s="392"/>
      <c r="AA86" s="385"/>
      <c r="AB86" s="385">
        <f>Roles!$D$6</f>
        <v>0.1</v>
      </c>
      <c r="AC86" s="385"/>
      <c r="AD86" s="205">
        <f t="shared" si="11"/>
        <v>0</v>
      </c>
      <c r="AE86" s="392"/>
      <c r="AF86" s="385"/>
      <c r="AG86" s="385">
        <f>Roles!$D$6</f>
        <v>0.1</v>
      </c>
      <c r="AH86" s="385"/>
      <c r="AI86" s="205">
        <f t="shared" si="12"/>
        <v>0</v>
      </c>
      <c r="AJ86" s="392"/>
      <c r="AK86" s="385"/>
      <c r="AL86" s="385">
        <f>Roles!$D$6</f>
        <v>0.1</v>
      </c>
      <c r="AM86" s="385"/>
      <c r="AN86" s="205">
        <f t="shared" si="13"/>
        <v>0</v>
      </c>
      <c r="AO86" s="392"/>
      <c r="AP86" s="385"/>
      <c r="AQ86" s="385">
        <f>Roles!$D$6</f>
        <v>0.1</v>
      </c>
      <c r="AR86" s="385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 t="shared" si="1"/>
        <v>1</v>
      </c>
      <c r="F87" s="80">
        <v>4.0</v>
      </c>
      <c r="G87" s="105">
        <f t="shared" si="2"/>
        <v>0.003445305771</v>
      </c>
      <c r="H87" s="47">
        <f>H85+G87</f>
        <v>0.2730404823</v>
      </c>
      <c r="I87" s="231">
        <f t="shared" ref="I87:I96" si="77">P87+U87+Z87+AE87+AJ87+AO87</f>
        <v>0</v>
      </c>
      <c r="J87" s="172">
        <f>J85+I87</f>
        <v>93</v>
      </c>
      <c r="K87" s="115">
        <f t="shared" si="3"/>
        <v>0.1367647059</v>
      </c>
      <c r="L87" s="336">
        <f t="shared" ref="L87:L96" si="78">S87+X87+AC87+AH87+AM87+AR87</f>
        <v>0</v>
      </c>
      <c r="M87" s="172">
        <f>M85+L87</f>
        <v>40.92</v>
      </c>
      <c r="N87" s="442"/>
      <c r="O87" s="205">
        <f t="shared" si="7"/>
        <v>0</v>
      </c>
      <c r="P87" s="391">
        <v>0.0</v>
      </c>
      <c r="Q87" s="385"/>
      <c r="R87" s="385">
        <f>Roles!$D$5</f>
        <v>0.44</v>
      </c>
      <c r="S87" s="385">
        <f t="shared" si="8"/>
        <v>0</v>
      </c>
      <c r="T87" s="205">
        <f t="shared" si="9"/>
        <v>0</v>
      </c>
      <c r="U87" s="392"/>
      <c r="V87" s="385"/>
      <c r="W87" s="385">
        <f>Roles!$D$6</f>
        <v>0.1</v>
      </c>
      <c r="X87" s="385"/>
      <c r="Y87" s="205">
        <f t="shared" si="10"/>
        <v>0</v>
      </c>
      <c r="Z87" s="392"/>
      <c r="AA87" s="385"/>
      <c r="AB87" s="385">
        <f>Roles!$D$6</f>
        <v>0.1</v>
      </c>
      <c r="AC87" s="385"/>
      <c r="AD87" s="205">
        <f t="shared" si="11"/>
        <v>0</v>
      </c>
      <c r="AE87" s="392"/>
      <c r="AF87" s="385"/>
      <c r="AG87" s="385">
        <f>Roles!$D$6</f>
        <v>0.1</v>
      </c>
      <c r="AH87" s="385"/>
      <c r="AI87" s="205">
        <f t="shared" si="12"/>
        <v>0</v>
      </c>
      <c r="AJ87" s="392"/>
      <c r="AK87" s="385"/>
      <c r="AL87" s="385">
        <f>Roles!$D$6</f>
        <v>0.1</v>
      </c>
      <c r="AM87" s="385"/>
      <c r="AN87" s="205">
        <f t="shared" si="13"/>
        <v>0</v>
      </c>
      <c r="AO87" s="392"/>
      <c r="AP87" s="385"/>
      <c r="AQ87" s="385">
        <f>Roles!$D$6</f>
        <v>0.1</v>
      </c>
      <c r="AR87" s="385"/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 t="shared" si="1"/>
        <v>1</v>
      </c>
      <c r="F88" s="80">
        <v>4.0</v>
      </c>
      <c r="G88" s="105">
        <f t="shared" si="2"/>
        <v>0.003445305771</v>
      </c>
      <c r="H88" s="47">
        <f t="shared" ref="H88:H96" si="79">H87+G88</f>
        <v>0.2764857881</v>
      </c>
      <c r="I88" s="231">
        <f t="shared" si="77"/>
        <v>0</v>
      </c>
      <c r="J88" s="172">
        <f t="shared" ref="J88:J96" si="80">J87+I88</f>
        <v>93</v>
      </c>
      <c r="K88" s="115">
        <f t="shared" si="3"/>
        <v>0.1367647059</v>
      </c>
      <c r="L88" s="336">
        <f t="shared" si="78"/>
        <v>0</v>
      </c>
      <c r="M88" s="172">
        <f t="shared" ref="M88:M96" si="81">M87+L88</f>
        <v>40.92</v>
      </c>
      <c r="N88" s="7"/>
      <c r="O88" s="205">
        <f t="shared" si="7"/>
        <v>0</v>
      </c>
      <c r="P88" s="391">
        <v>0.0</v>
      </c>
      <c r="Q88" s="385"/>
      <c r="R88" s="385">
        <f>Roles!$D$5</f>
        <v>0.44</v>
      </c>
      <c r="S88" s="385">
        <f t="shared" si="8"/>
        <v>0</v>
      </c>
      <c r="T88" s="205">
        <f t="shared" si="9"/>
        <v>0</v>
      </c>
      <c r="U88" s="392"/>
      <c r="V88" s="385"/>
      <c r="W88" s="385">
        <f>Roles!$D$6</f>
        <v>0.1</v>
      </c>
      <c r="X88" s="385"/>
      <c r="Y88" s="205">
        <f t="shared" si="10"/>
        <v>0</v>
      </c>
      <c r="Z88" s="392"/>
      <c r="AA88" s="385"/>
      <c r="AB88" s="385">
        <f>Roles!$D$6</f>
        <v>0.1</v>
      </c>
      <c r="AC88" s="385"/>
      <c r="AD88" s="205">
        <f t="shared" si="11"/>
        <v>0</v>
      </c>
      <c r="AE88" s="392"/>
      <c r="AF88" s="385"/>
      <c r="AG88" s="385">
        <f>Roles!$D$6</f>
        <v>0.1</v>
      </c>
      <c r="AH88" s="385"/>
      <c r="AI88" s="205">
        <f t="shared" si="12"/>
        <v>0</v>
      </c>
      <c r="AJ88" s="392"/>
      <c r="AK88" s="385"/>
      <c r="AL88" s="385">
        <f>Roles!$D$6</f>
        <v>0.1</v>
      </c>
      <c r="AM88" s="385"/>
      <c r="AN88" s="205">
        <f t="shared" si="13"/>
        <v>0</v>
      </c>
      <c r="AO88" s="392"/>
      <c r="AP88" s="385"/>
      <c r="AQ88" s="385">
        <f>Roles!$D$6</f>
        <v>0.1</v>
      </c>
      <c r="AR88" s="385"/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 t="shared" si="1"/>
        <v>1</v>
      </c>
      <c r="F89" s="80">
        <v>4.0</v>
      </c>
      <c r="G89" s="105">
        <f t="shared" si="2"/>
        <v>0.003445305771</v>
      </c>
      <c r="H89" s="47">
        <f t="shared" si="79"/>
        <v>0.2799310939</v>
      </c>
      <c r="I89" s="231">
        <f t="shared" si="77"/>
        <v>0</v>
      </c>
      <c r="J89" s="172">
        <f t="shared" si="80"/>
        <v>93</v>
      </c>
      <c r="K89" s="115">
        <f t="shared" si="3"/>
        <v>0.1367647059</v>
      </c>
      <c r="L89" s="336">
        <f t="shared" si="78"/>
        <v>0</v>
      </c>
      <c r="M89" s="172">
        <f t="shared" si="81"/>
        <v>40.92</v>
      </c>
      <c r="N89" s="7"/>
      <c r="O89" s="205">
        <f t="shared" si="7"/>
        <v>0</v>
      </c>
      <c r="P89" s="391">
        <v>0.0</v>
      </c>
      <c r="Q89" s="385"/>
      <c r="R89" s="385">
        <f>Roles!$D$5</f>
        <v>0.44</v>
      </c>
      <c r="S89" s="385">
        <f t="shared" si="8"/>
        <v>0</v>
      </c>
      <c r="T89" s="205">
        <f t="shared" si="9"/>
        <v>0</v>
      </c>
      <c r="U89" s="392"/>
      <c r="V89" s="385"/>
      <c r="W89" s="385">
        <f>Roles!$D$6</f>
        <v>0.1</v>
      </c>
      <c r="X89" s="385"/>
      <c r="Y89" s="205">
        <f t="shared" si="10"/>
        <v>0</v>
      </c>
      <c r="Z89" s="392"/>
      <c r="AA89" s="385"/>
      <c r="AB89" s="385">
        <f>Roles!$D$6</f>
        <v>0.1</v>
      </c>
      <c r="AC89" s="385"/>
      <c r="AD89" s="205">
        <f t="shared" si="11"/>
        <v>0</v>
      </c>
      <c r="AE89" s="392"/>
      <c r="AF89" s="385"/>
      <c r="AG89" s="385">
        <f>Roles!$D$6</f>
        <v>0.1</v>
      </c>
      <c r="AH89" s="385"/>
      <c r="AI89" s="205">
        <f t="shared" si="12"/>
        <v>0</v>
      </c>
      <c r="AJ89" s="392"/>
      <c r="AK89" s="385"/>
      <c r="AL89" s="385">
        <f>Roles!$D$6</f>
        <v>0.1</v>
      </c>
      <c r="AM89" s="385"/>
      <c r="AN89" s="205">
        <f t="shared" si="13"/>
        <v>0</v>
      </c>
      <c r="AO89" s="392"/>
      <c r="AP89" s="385"/>
      <c r="AQ89" s="385">
        <f>Roles!$D$6</f>
        <v>0.1</v>
      </c>
      <c r="AR89" s="385"/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 t="shared" si="1"/>
        <v>1</v>
      </c>
      <c r="F90" s="80">
        <v>4.0</v>
      </c>
      <c r="G90" s="105">
        <f t="shared" si="2"/>
        <v>0.003445305771</v>
      </c>
      <c r="H90" s="47">
        <f t="shared" si="79"/>
        <v>0.2833763997</v>
      </c>
      <c r="I90" s="231">
        <f t="shared" si="77"/>
        <v>0</v>
      </c>
      <c r="J90" s="172">
        <f t="shared" si="80"/>
        <v>93</v>
      </c>
      <c r="K90" s="115">
        <f t="shared" si="3"/>
        <v>0.1367647059</v>
      </c>
      <c r="L90" s="336">
        <f t="shared" si="78"/>
        <v>0</v>
      </c>
      <c r="M90" s="172">
        <f t="shared" si="81"/>
        <v>40.92</v>
      </c>
      <c r="N90" s="7"/>
      <c r="O90" s="205">
        <f t="shared" si="7"/>
        <v>0</v>
      </c>
      <c r="P90" s="391">
        <v>0.0</v>
      </c>
      <c r="Q90" s="385"/>
      <c r="R90" s="385">
        <f>Roles!$D$5</f>
        <v>0.44</v>
      </c>
      <c r="S90" s="385">
        <f t="shared" si="8"/>
        <v>0</v>
      </c>
      <c r="T90" s="205">
        <f t="shared" si="9"/>
        <v>0</v>
      </c>
      <c r="U90" s="392"/>
      <c r="V90" s="385"/>
      <c r="W90" s="385">
        <f>Roles!$D$6</f>
        <v>0.1</v>
      </c>
      <c r="X90" s="385"/>
      <c r="Y90" s="205">
        <f t="shared" si="10"/>
        <v>0</v>
      </c>
      <c r="Z90" s="392"/>
      <c r="AA90" s="385"/>
      <c r="AB90" s="385">
        <f>Roles!$D$6</f>
        <v>0.1</v>
      </c>
      <c r="AC90" s="385"/>
      <c r="AD90" s="205">
        <f t="shared" si="11"/>
        <v>0</v>
      </c>
      <c r="AE90" s="392"/>
      <c r="AF90" s="385"/>
      <c r="AG90" s="385">
        <f>Roles!$D$6</f>
        <v>0.1</v>
      </c>
      <c r="AH90" s="385"/>
      <c r="AI90" s="205">
        <f t="shared" si="12"/>
        <v>0</v>
      </c>
      <c r="AJ90" s="392"/>
      <c r="AK90" s="385"/>
      <c r="AL90" s="385">
        <f>Roles!$D$6</f>
        <v>0.1</v>
      </c>
      <c r="AM90" s="385"/>
      <c r="AN90" s="205">
        <f t="shared" si="13"/>
        <v>0</v>
      </c>
      <c r="AO90" s="392"/>
      <c r="AP90" s="385"/>
      <c r="AQ90" s="385">
        <f>Roles!$D$6</f>
        <v>0.1</v>
      </c>
      <c r="AR90" s="385"/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 t="shared" si="1"/>
        <v>2</v>
      </c>
      <c r="F91" s="80">
        <v>6.0</v>
      </c>
      <c r="G91" s="105">
        <f t="shared" si="2"/>
        <v>0.005167958656</v>
      </c>
      <c r="H91" s="47">
        <f t="shared" si="79"/>
        <v>0.2885443583</v>
      </c>
      <c r="I91" s="231">
        <f t="shared" si="77"/>
        <v>0</v>
      </c>
      <c r="J91" s="172">
        <f t="shared" si="80"/>
        <v>93</v>
      </c>
      <c r="K91" s="115">
        <f t="shared" si="3"/>
        <v>0.1367647059</v>
      </c>
      <c r="L91" s="336">
        <f t="shared" si="78"/>
        <v>0</v>
      </c>
      <c r="M91" s="172">
        <f t="shared" si="81"/>
        <v>40.92</v>
      </c>
      <c r="N91" s="7"/>
      <c r="O91" s="205">
        <f t="shared" si="7"/>
        <v>0</v>
      </c>
      <c r="P91" s="391">
        <v>0.0</v>
      </c>
      <c r="Q91" s="385"/>
      <c r="R91" s="385">
        <f>Roles!$D$5</f>
        <v>0.44</v>
      </c>
      <c r="S91" s="385">
        <f t="shared" si="8"/>
        <v>0</v>
      </c>
      <c r="T91" s="205">
        <f t="shared" si="9"/>
        <v>0</v>
      </c>
      <c r="U91" s="392"/>
      <c r="V91" s="385"/>
      <c r="W91" s="385">
        <f>Roles!$D$6</f>
        <v>0.1</v>
      </c>
      <c r="X91" s="385"/>
      <c r="Y91" s="205">
        <f t="shared" si="10"/>
        <v>0</v>
      </c>
      <c r="Z91" s="392"/>
      <c r="AA91" s="385"/>
      <c r="AB91" s="385">
        <f>Roles!$D$6</f>
        <v>0.1</v>
      </c>
      <c r="AC91" s="385"/>
      <c r="AD91" s="205">
        <f t="shared" si="11"/>
        <v>0</v>
      </c>
      <c r="AE91" s="392"/>
      <c r="AF91" s="385"/>
      <c r="AG91" s="385">
        <f>Roles!$D$6</f>
        <v>0.1</v>
      </c>
      <c r="AH91" s="385"/>
      <c r="AI91" s="205">
        <f t="shared" si="12"/>
        <v>0</v>
      </c>
      <c r="AJ91" s="392"/>
      <c r="AK91" s="385"/>
      <c r="AL91" s="385">
        <f>Roles!$D$6</f>
        <v>0.1</v>
      </c>
      <c r="AM91" s="385"/>
      <c r="AN91" s="205">
        <f t="shared" si="13"/>
        <v>0</v>
      </c>
      <c r="AO91" s="392"/>
      <c r="AP91" s="385"/>
      <c r="AQ91" s="385">
        <f>Roles!$D$6</f>
        <v>0.1</v>
      </c>
      <c r="AR91" s="385"/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 t="shared" si="1"/>
        <v>2</v>
      </c>
      <c r="F92" s="80">
        <v>4.0</v>
      </c>
      <c r="G92" s="105">
        <f t="shared" si="2"/>
        <v>0.003445305771</v>
      </c>
      <c r="H92" s="47">
        <f t="shared" si="79"/>
        <v>0.2919896641</v>
      </c>
      <c r="I92" s="231">
        <f t="shared" si="77"/>
        <v>0</v>
      </c>
      <c r="J92" s="172">
        <f t="shared" si="80"/>
        <v>93</v>
      </c>
      <c r="K92" s="115">
        <f t="shared" si="3"/>
        <v>0.1367647059</v>
      </c>
      <c r="L92" s="336">
        <f t="shared" si="78"/>
        <v>0</v>
      </c>
      <c r="M92" s="172">
        <f t="shared" si="81"/>
        <v>40.92</v>
      </c>
      <c r="N92" s="7"/>
      <c r="O92" s="205">
        <f t="shared" si="7"/>
        <v>0</v>
      </c>
      <c r="P92" s="391">
        <v>0.0</v>
      </c>
      <c r="Q92" s="385"/>
      <c r="R92" s="385">
        <f>Roles!$D$5</f>
        <v>0.44</v>
      </c>
      <c r="S92" s="385">
        <f t="shared" si="8"/>
        <v>0</v>
      </c>
      <c r="T92" s="205">
        <f t="shared" si="9"/>
        <v>0</v>
      </c>
      <c r="U92" s="392"/>
      <c r="V92" s="385"/>
      <c r="W92" s="385">
        <f>Roles!$D$6</f>
        <v>0.1</v>
      </c>
      <c r="X92" s="385"/>
      <c r="Y92" s="205">
        <f t="shared" si="10"/>
        <v>0</v>
      </c>
      <c r="Z92" s="392"/>
      <c r="AA92" s="385"/>
      <c r="AB92" s="385">
        <f>Roles!$D$6</f>
        <v>0.1</v>
      </c>
      <c r="AC92" s="385"/>
      <c r="AD92" s="205">
        <f t="shared" si="11"/>
        <v>0</v>
      </c>
      <c r="AE92" s="392"/>
      <c r="AF92" s="385"/>
      <c r="AG92" s="385">
        <f>Roles!$D$6</f>
        <v>0.1</v>
      </c>
      <c r="AH92" s="385"/>
      <c r="AI92" s="205">
        <f t="shared" si="12"/>
        <v>0</v>
      </c>
      <c r="AJ92" s="392"/>
      <c r="AK92" s="385"/>
      <c r="AL92" s="385">
        <f>Roles!$D$6</f>
        <v>0.1</v>
      </c>
      <c r="AM92" s="385"/>
      <c r="AN92" s="205">
        <f t="shared" si="13"/>
        <v>0</v>
      </c>
      <c r="AO92" s="392"/>
      <c r="AP92" s="385"/>
      <c r="AQ92" s="385">
        <f>Roles!$D$6</f>
        <v>0.1</v>
      </c>
      <c r="AR92" s="385"/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 t="shared" si="1"/>
        <v>2</v>
      </c>
      <c r="F93" s="80">
        <v>3.0</v>
      </c>
      <c r="G93" s="105">
        <f t="shared" si="2"/>
        <v>0.002583979328</v>
      </c>
      <c r="H93" s="47">
        <f t="shared" si="79"/>
        <v>0.2945736434</v>
      </c>
      <c r="I93" s="231">
        <f t="shared" si="77"/>
        <v>0</v>
      </c>
      <c r="J93" s="172">
        <f t="shared" si="80"/>
        <v>93</v>
      </c>
      <c r="K93" s="115">
        <f t="shared" si="3"/>
        <v>0.1367647059</v>
      </c>
      <c r="L93" s="336">
        <f t="shared" si="78"/>
        <v>0</v>
      </c>
      <c r="M93" s="172">
        <f t="shared" si="81"/>
        <v>40.92</v>
      </c>
      <c r="N93" s="7"/>
      <c r="O93" s="205">
        <f t="shared" si="7"/>
        <v>0</v>
      </c>
      <c r="P93" s="391">
        <v>0.0</v>
      </c>
      <c r="Q93" s="385"/>
      <c r="R93" s="385">
        <f>Roles!$D$5</f>
        <v>0.44</v>
      </c>
      <c r="S93" s="385">
        <f t="shared" si="8"/>
        <v>0</v>
      </c>
      <c r="T93" s="205">
        <f t="shared" si="9"/>
        <v>0</v>
      </c>
      <c r="U93" s="392"/>
      <c r="V93" s="385"/>
      <c r="W93" s="385">
        <f>Roles!$D$6</f>
        <v>0.1</v>
      </c>
      <c r="X93" s="385"/>
      <c r="Y93" s="205">
        <f t="shared" si="10"/>
        <v>0</v>
      </c>
      <c r="Z93" s="392"/>
      <c r="AA93" s="385"/>
      <c r="AB93" s="385">
        <f>Roles!$D$6</f>
        <v>0.1</v>
      </c>
      <c r="AC93" s="385"/>
      <c r="AD93" s="205">
        <f t="shared" si="11"/>
        <v>0</v>
      </c>
      <c r="AE93" s="392"/>
      <c r="AF93" s="385"/>
      <c r="AG93" s="385">
        <f>Roles!$D$6</f>
        <v>0.1</v>
      </c>
      <c r="AH93" s="385"/>
      <c r="AI93" s="205">
        <f t="shared" si="12"/>
        <v>0</v>
      </c>
      <c r="AJ93" s="392"/>
      <c r="AK93" s="385"/>
      <c r="AL93" s="385">
        <f>Roles!$D$6</f>
        <v>0.1</v>
      </c>
      <c r="AM93" s="385"/>
      <c r="AN93" s="205">
        <f t="shared" si="13"/>
        <v>0</v>
      </c>
      <c r="AO93" s="392"/>
      <c r="AP93" s="385"/>
      <c r="AQ93" s="385">
        <f>Roles!$D$6</f>
        <v>0.1</v>
      </c>
      <c r="AR93" s="385"/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 t="shared" si="1"/>
        <v>1</v>
      </c>
      <c r="F94" s="80">
        <v>4.0</v>
      </c>
      <c r="G94" s="105">
        <f t="shared" si="2"/>
        <v>0.003445305771</v>
      </c>
      <c r="H94" s="47">
        <f t="shared" si="79"/>
        <v>0.2980189492</v>
      </c>
      <c r="I94" s="231">
        <f t="shared" si="77"/>
        <v>0</v>
      </c>
      <c r="J94" s="172">
        <f t="shared" si="80"/>
        <v>93</v>
      </c>
      <c r="K94" s="115">
        <f t="shared" si="3"/>
        <v>0.1367647059</v>
      </c>
      <c r="L94" s="336">
        <f t="shared" si="78"/>
        <v>0</v>
      </c>
      <c r="M94" s="172">
        <f t="shared" si="81"/>
        <v>40.92</v>
      </c>
      <c r="N94" s="7"/>
      <c r="O94" s="205">
        <f t="shared" si="7"/>
        <v>0</v>
      </c>
      <c r="P94" s="391">
        <v>0.0</v>
      </c>
      <c r="Q94" s="385"/>
      <c r="R94" s="385">
        <f>Roles!$D$5</f>
        <v>0.44</v>
      </c>
      <c r="S94" s="385">
        <f t="shared" si="8"/>
        <v>0</v>
      </c>
      <c r="T94" s="205">
        <f t="shared" si="9"/>
        <v>0</v>
      </c>
      <c r="U94" s="392"/>
      <c r="V94" s="385"/>
      <c r="W94" s="385">
        <f>Roles!$D$6</f>
        <v>0.1</v>
      </c>
      <c r="X94" s="385"/>
      <c r="Y94" s="205">
        <f t="shared" si="10"/>
        <v>0</v>
      </c>
      <c r="Z94" s="392"/>
      <c r="AA94" s="385"/>
      <c r="AB94" s="385">
        <f>Roles!$D$6</f>
        <v>0.1</v>
      </c>
      <c r="AC94" s="385"/>
      <c r="AD94" s="205">
        <f t="shared" si="11"/>
        <v>0</v>
      </c>
      <c r="AE94" s="392"/>
      <c r="AF94" s="385"/>
      <c r="AG94" s="385">
        <f>Roles!$D$6</f>
        <v>0.1</v>
      </c>
      <c r="AH94" s="385"/>
      <c r="AI94" s="205">
        <f t="shared" si="12"/>
        <v>0</v>
      </c>
      <c r="AJ94" s="392"/>
      <c r="AK94" s="385"/>
      <c r="AL94" s="385">
        <f>Roles!$D$6</f>
        <v>0.1</v>
      </c>
      <c r="AM94" s="385"/>
      <c r="AN94" s="205">
        <f t="shared" si="13"/>
        <v>0</v>
      </c>
      <c r="AO94" s="392"/>
      <c r="AP94" s="385"/>
      <c r="AQ94" s="385">
        <f>Roles!$D$6</f>
        <v>0.1</v>
      </c>
      <c r="AR94" s="385"/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 t="shared" si="1"/>
        <v>1</v>
      </c>
      <c r="F95" s="80">
        <v>4.0</v>
      </c>
      <c r="G95" s="105">
        <f t="shared" si="2"/>
        <v>0.003445305771</v>
      </c>
      <c r="H95" s="47">
        <f t="shared" si="79"/>
        <v>0.301464255</v>
      </c>
      <c r="I95" s="231">
        <f t="shared" si="77"/>
        <v>0</v>
      </c>
      <c r="J95" s="172">
        <f t="shared" si="80"/>
        <v>93</v>
      </c>
      <c r="K95" s="115">
        <f t="shared" si="3"/>
        <v>0.1367647059</v>
      </c>
      <c r="L95" s="336">
        <f t="shared" si="78"/>
        <v>0</v>
      </c>
      <c r="M95" s="172">
        <f t="shared" si="81"/>
        <v>40.92</v>
      </c>
      <c r="N95" s="7"/>
      <c r="O95" s="205">
        <f t="shared" si="7"/>
        <v>0</v>
      </c>
      <c r="P95" s="391">
        <v>0.0</v>
      </c>
      <c r="Q95" s="385"/>
      <c r="R95" s="385">
        <f>Roles!$D$5</f>
        <v>0.44</v>
      </c>
      <c r="S95" s="385">
        <f t="shared" si="8"/>
        <v>0</v>
      </c>
      <c r="T95" s="205">
        <f t="shared" si="9"/>
        <v>0</v>
      </c>
      <c r="U95" s="392"/>
      <c r="V95" s="385"/>
      <c r="W95" s="385">
        <f>Roles!$D$6</f>
        <v>0.1</v>
      </c>
      <c r="X95" s="385"/>
      <c r="Y95" s="205">
        <f t="shared" si="10"/>
        <v>0</v>
      </c>
      <c r="Z95" s="392"/>
      <c r="AA95" s="385"/>
      <c r="AB95" s="385">
        <f>Roles!$D$6</f>
        <v>0.1</v>
      </c>
      <c r="AC95" s="385"/>
      <c r="AD95" s="205">
        <f t="shared" si="11"/>
        <v>0</v>
      </c>
      <c r="AE95" s="392"/>
      <c r="AF95" s="385"/>
      <c r="AG95" s="385">
        <f>Roles!$D$6</f>
        <v>0.1</v>
      </c>
      <c r="AH95" s="385"/>
      <c r="AI95" s="205">
        <f t="shared" si="12"/>
        <v>0</v>
      </c>
      <c r="AJ95" s="392"/>
      <c r="AK95" s="385"/>
      <c r="AL95" s="385">
        <f>Roles!$D$6</f>
        <v>0.1</v>
      </c>
      <c r="AM95" s="385"/>
      <c r="AN95" s="205">
        <f t="shared" si="13"/>
        <v>0</v>
      </c>
      <c r="AO95" s="392"/>
      <c r="AP95" s="385"/>
      <c r="AQ95" s="385">
        <f>Roles!$D$6</f>
        <v>0.1</v>
      </c>
      <c r="AR95" s="385"/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 t="shared" si="1"/>
        <v>1</v>
      </c>
      <c r="F96" s="80">
        <v>5.0</v>
      </c>
      <c r="G96" s="105">
        <f t="shared" si="2"/>
        <v>0.004306632214</v>
      </c>
      <c r="H96" s="47">
        <f t="shared" si="79"/>
        <v>0.3057708872</v>
      </c>
      <c r="I96" s="231">
        <f t="shared" si="77"/>
        <v>0</v>
      </c>
      <c r="J96" s="172">
        <f t="shared" si="80"/>
        <v>93</v>
      </c>
      <c r="K96" s="115">
        <f t="shared" si="3"/>
        <v>0.1367647059</v>
      </c>
      <c r="L96" s="336">
        <f t="shared" si="78"/>
        <v>0</v>
      </c>
      <c r="M96" s="172">
        <f t="shared" si="81"/>
        <v>40.92</v>
      </c>
      <c r="N96" s="7"/>
      <c r="O96" s="205">
        <f t="shared" si="7"/>
        <v>0</v>
      </c>
      <c r="P96" s="391">
        <v>0.0</v>
      </c>
      <c r="Q96" s="385"/>
      <c r="R96" s="385">
        <f>Roles!$D$5</f>
        <v>0.44</v>
      </c>
      <c r="S96" s="385">
        <f t="shared" si="8"/>
        <v>0</v>
      </c>
      <c r="T96" s="205">
        <f t="shared" si="9"/>
        <v>0</v>
      </c>
      <c r="U96" s="392"/>
      <c r="V96" s="385"/>
      <c r="W96" s="385">
        <f>Roles!$D$6</f>
        <v>0.1</v>
      </c>
      <c r="X96" s="385"/>
      <c r="Y96" s="205">
        <f t="shared" si="10"/>
        <v>0</v>
      </c>
      <c r="Z96" s="392"/>
      <c r="AA96" s="385"/>
      <c r="AB96" s="385">
        <f>Roles!$D$6</f>
        <v>0.1</v>
      </c>
      <c r="AC96" s="385"/>
      <c r="AD96" s="205">
        <f t="shared" si="11"/>
        <v>0</v>
      </c>
      <c r="AE96" s="392"/>
      <c r="AF96" s="385"/>
      <c r="AG96" s="385">
        <f>Roles!$D$6</f>
        <v>0.1</v>
      </c>
      <c r="AH96" s="385"/>
      <c r="AI96" s="205">
        <f t="shared" si="12"/>
        <v>0</v>
      </c>
      <c r="AJ96" s="392"/>
      <c r="AK96" s="385"/>
      <c r="AL96" s="385">
        <f>Roles!$D$6</f>
        <v>0.1</v>
      </c>
      <c r="AM96" s="385"/>
      <c r="AN96" s="205">
        <f t="shared" si="13"/>
        <v>0</v>
      </c>
      <c r="AO96" s="392"/>
      <c r="AP96" s="385"/>
      <c r="AQ96" s="385">
        <f>Roles!$D$6</f>
        <v>0.1</v>
      </c>
      <c r="AR96" s="385"/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 t="shared" si="1"/>
        <v>1</v>
      </c>
      <c r="F97" s="246">
        <f>SUM(F98:F101)</f>
        <v>11</v>
      </c>
      <c r="G97" s="105">
        <f t="shared" si="2"/>
        <v>0.00947459087</v>
      </c>
      <c r="H97" s="226">
        <f>H101</f>
        <v>0.315245478</v>
      </c>
      <c r="I97" s="247">
        <f>SUM(I98:I101)</f>
        <v>0</v>
      </c>
      <c r="J97" s="247">
        <f>J101</f>
        <v>93</v>
      </c>
      <c r="K97" s="167">
        <f t="shared" si="3"/>
        <v>0.1367647059</v>
      </c>
      <c r="L97" s="247">
        <f>SUM(L98:L101)</f>
        <v>0</v>
      </c>
      <c r="M97" s="247">
        <f>M101</f>
        <v>40.92</v>
      </c>
      <c r="N97" s="7"/>
      <c r="O97" s="205">
        <f t="shared" si="7"/>
        <v>0</v>
      </c>
      <c r="P97" s="89"/>
      <c r="Q97" s="385"/>
      <c r="R97" s="385">
        <f>Roles!$D$5</f>
        <v>0.44</v>
      </c>
      <c r="S97" s="385">
        <f t="shared" si="8"/>
        <v>0</v>
      </c>
      <c r="T97" s="205">
        <f t="shared" si="9"/>
        <v>0</v>
      </c>
      <c r="U97" s="392"/>
      <c r="V97" s="385"/>
      <c r="W97" s="385">
        <f>Roles!$D$6</f>
        <v>0.1</v>
      </c>
      <c r="X97" s="385"/>
      <c r="Y97" s="205">
        <f t="shared" si="10"/>
        <v>0</v>
      </c>
      <c r="Z97" s="392"/>
      <c r="AA97" s="385"/>
      <c r="AB97" s="385">
        <f>Roles!$D$6</f>
        <v>0.1</v>
      </c>
      <c r="AC97" s="385"/>
      <c r="AD97" s="205">
        <f t="shared" si="11"/>
        <v>0</v>
      </c>
      <c r="AE97" s="392"/>
      <c r="AF97" s="385"/>
      <c r="AG97" s="385">
        <f>Roles!$D$6</f>
        <v>0.1</v>
      </c>
      <c r="AH97" s="385"/>
      <c r="AI97" s="205">
        <f t="shared" si="12"/>
        <v>0</v>
      </c>
      <c r="AJ97" s="392"/>
      <c r="AK97" s="385"/>
      <c r="AL97" s="385">
        <f>Roles!$D$6</f>
        <v>0.1</v>
      </c>
      <c r="AM97" s="385"/>
      <c r="AN97" s="205">
        <f t="shared" si="13"/>
        <v>0</v>
      </c>
      <c r="AO97" s="392"/>
      <c r="AP97" s="385"/>
      <c r="AQ97" s="385">
        <f>Roles!$D$6</f>
        <v>0.1</v>
      </c>
      <c r="AR97" s="385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 t="shared" si="1"/>
        <v>1</v>
      </c>
      <c r="F98" s="80">
        <v>4.0</v>
      </c>
      <c r="G98" s="105">
        <f t="shared" si="2"/>
        <v>0.003445305771</v>
      </c>
      <c r="H98" s="47">
        <f>H96+G98</f>
        <v>0.3092161929</v>
      </c>
      <c r="I98" s="231">
        <f t="shared" ref="I98:I101" si="82">P98+U98+Z98+AE98+AJ98+AO98</f>
        <v>0</v>
      </c>
      <c r="J98" s="172">
        <f>J96+I98</f>
        <v>93</v>
      </c>
      <c r="K98" s="115">
        <f t="shared" si="3"/>
        <v>0.1367647059</v>
      </c>
      <c r="L98" s="336">
        <f t="shared" ref="L98:L101" si="83">S98+X98+AC98+AH98+AM98+AR98</f>
        <v>0</v>
      </c>
      <c r="M98" s="172">
        <f>M96+L98</f>
        <v>40.92</v>
      </c>
      <c r="N98" s="7"/>
      <c r="O98" s="205">
        <f t="shared" si="7"/>
        <v>0</v>
      </c>
      <c r="P98" s="391">
        <v>0.0</v>
      </c>
      <c r="Q98" s="385"/>
      <c r="R98" s="385">
        <f>Roles!$D$5</f>
        <v>0.44</v>
      </c>
      <c r="S98" s="385">
        <f t="shared" si="8"/>
        <v>0</v>
      </c>
      <c r="T98" s="205">
        <f t="shared" si="9"/>
        <v>0</v>
      </c>
      <c r="U98" s="392"/>
      <c r="V98" s="385"/>
      <c r="W98" s="385">
        <f>Roles!$D$6</f>
        <v>0.1</v>
      </c>
      <c r="X98" s="385"/>
      <c r="Y98" s="205">
        <f t="shared" si="10"/>
        <v>0</v>
      </c>
      <c r="Z98" s="392"/>
      <c r="AA98" s="385"/>
      <c r="AB98" s="385">
        <f>Roles!$D$6</f>
        <v>0.1</v>
      </c>
      <c r="AC98" s="385"/>
      <c r="AD98" s="205">
        <f t="shared" si="11"/>
        <v>0</v>
      </c>
      <c r="AE98" s="392"/>
      <c r="AF98" s="385"/>
      <c r="AG98" s="385">
        <f>Roles!$D$6</f>
        <v>0.1</v>
      </c>
      <c r="AH98" s="385"/>
      <c r="AI98" s="205">
        <f t="shared" si="12"/>
        <v>0</v>
      </c>
      <c r="AJ98" s="392"/>
      <c r="AK98" s="385"/>
      <c r="AL98" s="385">
        <f>Roles!$D$6</f>
        <v>0.1</v>
      </c>
      <c r="AM98" s="385"/>
      <c r="AN98" s="205">
        <f t="shared" si="13"/>
        <v>0</v>
      </c>
      <c r="AO98" s="392"/>
      <c r="AP98" s="385"/>
      <c r="AQ98" s="385">
        <f>Roles!$D$6</f>
        <v>0.1</v>
      </c>
      <c r="AR98" s="385"/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 t="shared" si="1"/>
        <v>1</v>
      </c>
      <c r="F99" s="80">
        <v>2.0</v>
      </c>
      <c r="G99" s="105">
        <f t="shared" si="2"/>
        <v>0.001722652885</v>
      </c>
      <c r="H99" s="47">
        <f t="shared" ref="H99:H101" si="84">H98+G99</f>
        <v>0.3109388458</v>
      </c>
      <c r="I99" s="231">
        <f t="shared" si="82"/>
        <v>0</v>
      </c>
      <c r="J99" s="172">
        <f t="shared" ref="J99:J101" si="85">J98+I99</f>
        <v>93</v>
      </c>
      <c r="K99" s="115">
        <f t="shared" si="3"/>
        <v>0.1367647059</v>
      </c>
      <c r="L99" s="336">
        <f t="shared" si="83"/>
        <v>0</v>
      </c>
      <c r="M99" s="172">
        <f t="shared" ref="M99:M101" si="86">M98+L99</f>
        <v>40.92</v>
      </c>
      <c r="N99" s="7"/>
      <c r="O99" s="205">
        <f t="shared" si="7"/>
        <v>0</v>
      </c>
      <c r="P99" s="391">
        <v>0.0</v>
      </c>
      <c r="Q99" s="385"/>
      <c r="R99" s="385">
        <f>Roles!$D$5</f>
        <v>0.44</v>
      </c>
      <c r="S99" s="385">
        <f t="shared" si="8"/>
        <v>0</v>
      </c>
      <c r="T99" s="205">
        <f t="shared" si="9"/>
        <v>0</v>
      </c>
      <c r="U99" s="392"/>
      <c r="V99" s="385"/>
      <c r="W99" s="385">
        <f>Roles!$D$6</f>
        <v>0.1</v>
      </c>
      <c r="X99" s="385"/>
      <c r="Y99" s="205">
        <f t="shared" si="10"/>
        <v>0</v>
      </c>
      <c r="Z99" s="392"/>
      <c r="AA99" s="385"/>
      <c r="AB99" s="385">
        <f>Roles!$D$6</f>
        <v>0.1</v>
      </c>
      <c r="AC99" s="385"/>
      <c r="AD99" s="205">
        <f t="shared" si="11"/>
        <v>0</v>
      </c>
      <c r="AE99" s="392"/>
      <c r="AF99" s="385"/>
      <c r="AG99" s="385">
        <f>Roles!$D$6</f>
        <v>0.1</v>
      </c>
      <c r="AH99" s="385"/>
      <c r="AI99" s="205">
        <f t="shared" si="12"/>
        <v>0</v>
      </c>
      <c r="AJ99" s="392"/>
      <c r="AK99" s="385"/>
      <c r="AL99" s="385">
        <f>Roles!$D$6</f>
        <v>0.1</v>
      </c>
      <c r="AM99" s="385"/>
      <c r="AN99" s="205">
        <f t="shared" si="13"/>
        <v>0</v>
      </c>
      <c r="AO99" s="392"/>
      <c r="AP99" s="385"/>
      <c r="AQ99" s="385">
        <f>Roles!$D$6</f>
        <v>0.1</v>
      </c>
      <c r="AR99" s="385"/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 t="shared" si="1"/>
        <v>1</v>
      </c>
      <c r="F100" s="80">
        <v>4.0</v>
      </c>
      <c r="G100" s="105">
        <f t="shared" si="2"/>
        <v>0.003445305771</v>
      </c>
      <c r="H100" s="47">
        <f t="shared" si="84"/>
        <v>0.3143841516</v>
      </c>
      <c r="I100" s="231">
        <f t="shared" si="82"/>
        <v>0</v>
      </c>
      <c r="J100" s="172">
        <f t="shared" si="85"/>
        <v>93</v>
      </c>
      <c r="K100" s="115">
        <f t="shared" si="3"/>
        <v>0.1367647059</v>
      </c>
      <c r="L100" s="336">
        <f t="shared" si="83"/>
        <v>0</v>
      </c>
      <c r="M100" s="172">
        <f t="shared" si="86"/>
        <v>40.92</v>
      </c>
      <c r="N100" s="7"/>
      <c r="O100" s="205">
        <f t="shared" si="7"/>
        <v>0</v>
      </c>
      <c r="P100" s="391">
        <v>0.0</v>
      </c>
      <c r="Q100" s="385"/>
      <c r="R100" s="385">
        <f>Roles!$D$5</f>
        <v>0.44</v>
      </c>
      <c r="S100" s="385">
        <f t="shared" si="8"/>
        <v>0</v>
      </c>
      <c r="T100" s="205">
        <f t="shared" si="9"/>
        <v>0</v>
      </c>
      <c r="U100" s="392"/>
      <c r="V100" s="385"/>
      <c r="W100" s="385">
        <f>Roles!$D$6</f>
        <v>0.1</v>
      </c>
      <c r="X100" s="385"/>
      <c r="Y100" s="205">
        <f t="shared" si="10"/>
        <v>0</v>
      </c>
      <c r="Z100" s="392"/>
      <c r="AA100" s="385"/>
      <c r="AB100" s="385">
        <f>Roles!$D$6</f>
        <v>0.1</v>
      </c>
      <c r="AC100" s="385"/>
      <c r="AD100" s="205">
        <f t="shared" si="11"/>
        <v>0</v>
      </c>
      <c r="AE100" s="392"/>
      <c r="AF100" s="385"/>
      <c r="AG100" s="385">
        <f>Roles!$D$6</f>
        <v>0.1</v>
      </c>
      <c r="AH100" s="385"/>
      <c r="AI100" s="205">
        <f t="shared" si="12"/>
        <v>0</v>
      </c>
      <c r="AJ100" s="392"/>
      <c r="AK100" s="385"/>
      <c r="AL100" s="385">
        <f>Roles!$D$6</f>
        <v>0.1</v>
      </c>
      <c r="AM100" s="385"/>
      <c r="AN100" s="205">
        <f t="shared" si="13"/>
        <v>0</v>
      </c>
      <c r="AO100" s="392"/>
      <c r="AP100" s="385"/>
      <c r="AQ100" s="385">
        <f>Roles!$D$6</f>
        <v>0.1</v>
      </c>
      <c r="AR100" s="385"/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 t="shared" si="1"/>
        <v>1</v>
      </c>
      <c r="F101" s="80">
        <v>1.0</v>
      </c>
      <c r="G101" s="105">
        <f t="shared" si="2"/>
        <v>0.0008613264427</v>
      </c>
      <c r="H101" s="47">
        <f t="shared" si="84"/>
        <v>0.315245478</v>
      </c>
      <c r="I101" s="231">
        <f t="shared" si="82"/>
        <v>0</v>
      </c>
      <c r="J101" s="172">
        <f t="shared" si="85"/>
        <v>93</v>
      </c>
      <c r="K101" s="115">
        <f t="shared" si="3"/>
        <v>0.1367647059</v>
      </c>
      <c r="L101" s="336">
        <f t="shared" si="83"/>
        <v>0</v>
      </c>
      <c r="M101" s="172">
        <f t="shared" si="86"/>
        <v>40.92</v>
      </c>
      <c r="N101" s="7"/>
      <c r="O101" s="205">
        <f t="shared" si="7"/>
        <v>0</v>
      </c>
      <c r="P101" s="391">
        <v>0.0</v>
      </c>
      <c r="Q101" s="385"/>
      <c r="R101" s="385">
        <f>Roles!$D$5</f>
        <v>0.44</v>
      </c>
      <c r="S101" s="385">
        <f t="shared" si="8"/>
        <v>0</v>
      </c>
      <c r="T101" s="205">
        <f t="shared" si="9"/>
        <v>0</v>
      </c>
      <c r="U101" s="392"/>
      <c r="V101" s="385"/>
      <c r="W101" s="385">
        <f>Roles!$D$6</f>
        <v>0.1</v>
      </c>
      <c r="X101" s="385"/>
      <c r="Y101" s="205">
        <f t="shared" si="10"/>
        <v>0</v>
      </c>
      <c r="Z101" s="392"/>
      <c r="AA101" s="385"/>
      <c r="AB101" s="385">
        <f>Roles!$D$6</f>
        <v>0.1</v>
      </c>
      <c r="AC101" s="385"/>
      <c r="AD101" s="205">
        <f t="shared" si="11"/>
        <v>0</v>
      </c>
      <c r="AE101" s="392"/>
      <c r="AF101" s="385"/>
      <c r="AG101" s="385">
        <f>Roles!$D$6</f>
        <v>0.1</v>
      </c>
      <c r="AH101" s="385"/>
      <c r="AI101" s="205">
        <f t="shared" si="12"/>
        <v>0</v>
      </c>
      <c r="AJ101" s="392"/>
      <c r="AK101" s="385"/>
      <c r="AL101" s="385">
        <f>Roles!$D$6</f>
        <v>0.1</v>
      </c>
      <c r="AM101" s="385"/>
      <c r="AN101" s="205">
        <f t="shared" si="13"/>
        <v>0</v>
      </c>
      <c r="AO101" s="392"/>
      <c r="AP101" s="385"/>
      <c r="AQ101" s="385">
        <f>Roles!$D$6</f>
        <v>0.1</v>
      </c>
      <c r="AR101" s="385"/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 t="shared" si="1"/>
        <v>3</v>
      </c>
      <c r="F102" s="246">
        <f>SUM(F103:F109)</f>
        <v>29</v>
      </c>
      <c r="G102" s="105">
        <f t="shared" si="2"/>
        <v>0.02497846684</v>
      </c>
      <c r="H102" s="226">
        <f>H109</f>
        <v>0.3402239449</v>
      </c>
      <c r="I102" s="247">
        <f>SUM(I103:I109)</f>
        <v>0</v>
      </c>
      <c r="J102" s="247">
        <f>J109</f>
        <v>93</v>
      </c>
      <c r="K102" s="167">
        <f t="shared" si="3"/>
        <v>0.1367647059</v>
      </c>
      <c r="L102" s="247">
        <f>SUM(L103:L109)</f>
        <v>0</v>
      </c>
      <c r="M102" s="247">
        <f>M109</f>
        <v>40.92</v>
      </c>
      <c r="N102" s="7"/>
      <c r="O102" s="205">
        <f t="shared" si="7"/>
        <v>0</v>
      </c>
      <c r="P102" s="89"/>
      <c r="Q102" s="385"/>
      <c r="R102" s="385">
        <f>Roles!$D$5</f>
        <v>0.44</v>
      </c>
      <c r="S102" s="385">
        <f t="shared" si="8"/>
        <v>0</v>
      </c>
      <c r="T102" s="205">
        <f t="shared" si="9"/>
        <v>0</v>
      </c>
      <c r="U102" s="392"/>
      <c r="V102" s="385"/>
      <c r="W102" s="385">
        <f>Roles!$D$6</f>
        <v>0.1</v>
      </c>
      <c r="X102" s="385"/>
      <c r="Y102" s="205">
        <f t="shared" si="10"/>
        <v>0</v>
      </c>
      <c r="Z102" s="392"/>
      <c r="AA102" s="385"/>
      <c r="AB102" s="385">
        <f>Roles!$D$6</f>
        <v>0.1</v>
      </c>
      <c r="AC102" s="385"/>
      <c r="AD102" s="205">
        <f t="shared" si="11"/>
        <v>0</v>
      </c>
      <c r="AE102" s="392"/>
      <c r="AF102" s="385"/>
      <c r="AG102" s="385">
        <f>Roles!$D$6</f>
        <v>0.1</v>
      </c>
      <c r="AH102" s="385"/>
      <c r="AI102" s="205">
        <f t="shared" si="12"/>
        <v>0</v>
      </c>
      <c r="AJ102" s="392"/>
      <c r="AK102" s="385"/>
      <c r="AL102" s="385">
        <f>Roles!$D$6</f>
        <v>0.1</v>
      </c>
      <c r="AM102" s="385"/>
      <c r="AN102" s="205">
        <f t="shared" si="13"/>
        <v>0</v>
      </c>
      <c r="AO102" s="392"/>
      <c r="AP102" s="385"/>
      <c r="AQ102" s="385">
        <f>Roles!$D$6</f>
        <v>0.1</v>
      </c>
      <c r="AR102" s="385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 t="shared" si="1"/>
        <v>3</v>
      </c>
      <c r="F103" s="80">
        <v>8.0</v>
      </c>
      <c r="G103" s="105">
        <f t="shared" si="2"/>
        <v>0.006890611542</v>
      </c>
      <c r="H103" s="47">
        <f>H101+G103</f>
        <v>0.3221360896</v>
      </c>
      <c r="I103" s="231">
        <f t="shared" ref="I103:I109" si="87">P103+U103+Z103+AE103+AJ103+AO103</f>
        <v>0</v>
      </c>
      <c r="J103" s="172">
        <f>J101+I103</f>
        <v>93</v>
      </c>
      <c r="K103" s="115">
        <f t="shared" si="3"/>
        <v>0.1367647059</v>
      </c>
      <c r="L103" s="336">
        <f t="shared" ref="L103:L109" si="88">S103+X103+AC103+AH103+AM103+AR103</f>
        <v>0</v>
      </c>
      <c r="M103" s="172">
        <f>M101+L103</f>
        <v>40.92</v>
      </c>
      <c r="N103" s="7"/>
      <c r="O103" s="205">
        <f t="shared" si="7"/>
        <v>0</v>
      </c>
      <c r="P103" s="391">
        <v>0.0</v>
      </c>
      <c r="Q103" s="385"/>
      <c r="R103" s="385">
        <f>Roles!$D$5</f>
        <v>0.44</v>
      </c>
      <c r="S103" s="385">
        <f t="shared" si="8"/>
        <v>0</v>
      </c>
      <c r="T103" s="205">
        <f t="shared" si="9"/>
        <v>0</v>
      </c>
      <c r="U103" s="392"/>
      <c r="V103" s="385"/>
      <c r="W103" s="385">
        <f>Roles!$D$6</f>
        <v>0.1</v>
      </c>
      <c r="X103" s="385"/>
      <c r="Y103" s="205">
        <f t="shared" si="10"/>
        <v>0</v>
      </c>
      <c r="Z103" s="392"/>
      <c r="AA103" s="385"/>
      <c r="AB103" s="385">
        <f>Roles!$D$6</f>
        <v>0.1</v>
      </c>
      <c r="AC103" s="385"/>
      <c r="AD103" s="205">
        <f t="shared" si="11"/>
        <v>0</v>
      </c>
      <c r="AE103" s="392"/>
      <c r="AF103" s="385"/>
      <c r="AG103" s="385">
        <f>Roles!$D$6</f>
        <v>0.1</v>
      </c>
      <c r="AH103" s="385"/>
      <c r="AI103" s="205">
        <f t="shared" si="12"/>
        <v>0</v>
      </c>
      <c r="AJ103" s="392"/>
      <c r="AK103" s="385"/>
      <c r="AL103" s="385">
        <f>Roles!$D$6</f>
        <v>0.1</v>
      </c>
      <c r="AM103" s="385"/>
      <c r="AN103" s="205">
        <f t="shared" si="13"/>
        <v>0</v>
      </c>
      <c r="AO103" s="392"/>
      <c r="AP103" s="385"/>
      <c r="AQ103" s="385">
        <f>Roles!$D$6</f>
        <v>0.1</v>
      </c>
      <c r="AR103" s="385"/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 t="shared" si="1"/>
        <v>1</v>
      </c>
      <c r="F104" s="80">
        <v>4.0</v>
      </c>
      <c r="G104" s="105">
        <f t="shared" si="2"/>
        <v>0.003445305771</v>
      </c>
      <c r="H104" s="47">
        <f t="shared" ref="H104:H109" si="89">H103+G104</f>
        <v>0.3255813953</v>
      </c>
      <c r="I104" s="231">
        <f t="shared" si="87"/>
        <v>0</v>
      </c>
      <c r="J104" s="172">
        <f t="shared" ref="J104:J109" si="90">J103+I104</f>
        <v>93</v>
      </c>
      <c r="K104" s="115">
        <f t="shared" si="3"/>
        <v>0.1367647059</v>
      </c>
      <c r="L104" s="336">
        <f t="shared" si="88"/>
        <v>0</v>
      </c>
      <c r="M104" s="172">
        <f t="shared" ref="M104:M109" si="91">M103+L104</f>
        <v>40.92</v>
      </c>
      <c r="N104" s="7"/>
      <c r="O104" s="205">
        <f t="shared" si="7"/>
        <v>0</v>
      </c>
      <c r="P104" s="391">
        <v>0.0</v>
      </c>
      <c r="Q104" s="385"/>
      <c r="R104" s="385">
        <f>Roles!$D$5</f>
        <v>0.44</v>
      </c>
      <c r="S104" s="385">
        <f t="shared" si="8"/>
        <v>0</v>
      </c>
      <c r="T104" s="205">
        <f t="shared" si="9"/>
        <v>0</v>
      </c>
      <c r="U104" s="392"/>
      <c r="V104" s="385"/>
      <c r="W104" s="385">
        <f>Roles!$D$6</f>
        <v>0.1</v>
      </c>
      <c r="X104" s="385"/>
      <c r="Y104" s="205">
        <f t="shared" si="10"/>
        <v>0</v>
      </c>
      <c r="Z104" s="392"/>
      <c r="AA104" s="385"/>
      <c r="AB104" s="385">
        <f>Roles!$D$6</f>
        <v>0.1</v>
      </c>
      <c r="AC104" s="385"/>
      <c r="AD104" s="205">
        <f t="shared" si="11"/>
        <v>0</v>
      </c>
      <c r="AE104" s="392"/>
      <c r="AF104" s="385"/>
      <c r="AG104" s="385">
        <f>Roles!$D$6</f>
        <v>0.1</v>
      </c>
      <c r="AH104" s="385"/>
      <c r="AI104" s="205">
        <f t="shared" si="12"/>
        <v>0</v>
      </c>
      <c r="AJ104" s="392"/>
      <c r="AK104" s="385"/>
      <c r="AL104" s="385">
        <f>Roles!$D$6</f>
        <v>0.1</v>
      </c>
      <c r="AM104" s="385"/>
      <c r="AN104" s="205">
        <f t="shared" si="13"/>
        <v>0</v>
      </c>
      <c r="AO104" s="392"/>
      <c r="AP104" s="385"/>
      <c r="AQ104" s="385">
        <f>Roles!$D$6</f>
        <v>0.1</v>
      </c>
      <c r="AR104" s="385"/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 t="shared" si="1"/>
        <v>1</v>
      </c>
      <c r="F105" s="80">
        <v>3.0</v>
      </c>
      <c r="G105" s="105">
        <f t="shared" si="2"/>
        <v>0.002583979328</v>
      </c>
      <c r="H105" s="47">
        <f t="shared" si="89"/>
        <v>0.3281653747</v>
      </c>
      <c r="I105" s="231">
        <f t="shared" si="87"/>
        <v>0</v>
      </c>
      <c r="J105" s="172">
        <f t="shared" si="90"/>
        <v>93</v>
      </c>
      <c r="K105" s="115">
        <f t="shared" si="3"/>
        <v>0.1367647059</v>
      </c>
      <c r="L105" s="336">
        <f t="shared" si="88"/>
        <v>0</v>
      </c>
      <c r="M105" s="172">
        <f t="shared" si="91"/>
        <v>40.92</v>
      </c>
      <c r="N105" s="7"/>
      <c r="O105" s="205">
        <f t="shared" si="7"/>
        <v>0</v>
      </c>
      <c r="P105" s="391">
        <v>0.0</v>
      </c>
      <c r="Q105" s="385"/>
      <c r="R105" s="385">
        <f>Roles!$D$5</f>
        <v>0.44</v>
      </c>
      <c r="S105" s="385">
        <f t="shared" si="8"/>
        <v>0</v>
      </c>
      <c r="T105" s="205">
        <f t="shared" si="9"/>
        <v>0</v>
      </c>
      <c r="U105" s="392"/>
      <c r="V105" s="385"/>
      <c r="W105" s="385">
        <f>Roles!$D$6</f>
        <v>0.1</v>
      </c>
      <c r="X105" s="385"/>
      <c r="Y105" s="205">
        <f t="shared" si="10"/>
        <v>0</v>
      </c>
      <c r="Z105" s="392"/>
      <c r="AA105" s="385"/>
      <c r="AB105" s="385">
        <f>Roles!$D$6</f>
        <v>0.1</v>
      </c>
      <c r="AC105" s="385"/>
      <c r="AD105" s="205">
        <f t="shared" si="11"/>
        <v>0</v>
      </c>
      <c r="AE105" s="392"/>
      <c r="AF105" s="385"/>
      <c r="AG105" s="385">
        <f>Roles!$D$6</f>
        <v>0.1</v>
      </c>
      <c r="AH105" s="385"/>
      <c r="AI105" s="205">
        <f t="shared" si="12"/>
        <v>0</v>
      </c>
      <c r="AJ105" s="392"/>
      <c r="AK105" s="385"/>
      <c r="AL105" s="385">
        <f>Roles!$D$6</f>
        <v>0.1</v>
      </c>
      <c r="AM105" s="385"/>
      <c r="AN105" s="205">
        <f t="shared" si="13"/>
        <v>0</v>
      </c>
      <c r="AO105" s="392"/>
      <c r="AP105" s="385"/>
      <c r="AQ105" s="385">
        <f>Roles!$D$6</f>
        <v>0.1</v>
      </c>
      <c r="AR105" s="385"/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 t="shared" si="1"/>
        <v>1</v>
      </c>
      <c r="F106" s="80">
        <v>4.0</v>
      </c>
      <c r="G106" s="105">
        <f t="shared" si="2"/>
        <v>0.003445305771</v>
      </c>
      <c r="H106" s="47">
        <f t="shared" si="89"/>
        <v>0.3316106804</v>
      </c>
      <c r="I106" s="231">
        <f t="shared" si="87"/>
        <v>0</v>
      </c>
      <c r="J106" s="172">
        <f t="shared" si="90"/>
        <v>93</v>
      </c>
      <c r="K106" s="115">
        <f t="shared" si="3"/>
        <v>0.1367647059</v>
      </c>
      <c r="L106" s="336">
        <f t="shared" si="88"/>
        <v>0</v>
      </c>
      <c r="M106" s="172">
        <f t="shared" si="91"/>
        <v>40.92</v>
      </c>
      <c r="N106" s="7"/>
      <c r="O106" s="205">
        <f t="shared" si="7"/>
        <v>0</v>
      </c>
      <c r="P106" s="391">
        <v>0.0</v>
      </c>
      <c r="Q106" s="385"/>
      <c r="R106" s="385">
        <f>Roles!$D$5</f>
        <v>0.44</v>
      </c>
      <c r="S106" s="385">
        <f t="shared" si="8"/>
        <v>0</v>
      </c>
      <c r="T106" s="205">
        <f t="shared" si="9"/>
        <v>0</v>
      </c>
      <c r="U106" s="392"/>
      <c r="V106" s="385"/>
      <c r="W106" s="385">
        <f>Roles!$D$6</f>
        <v>0.1</v>
      </c>
      <c r="X106" s="385"/>
      <c r="Y106" s="205">
        <f t="shared" si="10"/>
        <v>0</v>
      </c>
      <c r="Z106" s="392"/>
      <c r="AA106" s="385"/>
      <c r="AB106" s="385">
        <f>Roles!$D$6</f>
        <v>0.1</v>
      </c>
      <c r="AC106" s="385"/>
      <c r="AD106" s="205">
        <f t="shared" si="11"/>
        <v>0</v>
      </c>
      <c r="AE106" s="392"/>
      <c r="AF106" s="385"/>
      <c r="AG106" s="385">
        <f>Roles!$D$6</f>
        <v>0.1</v>
      </c>
      <c r="AH106" s="385"/>
      <c r="AI106" s="205">
        <f t="shared" si="12"/>
        <v>0</v>
      </c>
      <c r="AJ106" s="392"/>
      <c r="AK106" s="385"/>
      <c r="AL106" s="385">
        <f>Roles!$D$6</f>
        <v>0.1</v>
      </c>
      <c r="AM106" s="385"/>
      <c r="AN106" s="205">
        <f t="shared" si="13"/>
        <v>0</v>
      </c>
      <c r="AO106" s="392"/>
      <c r="AP106" s="385"/>
      <c r="AQ106" s="385">
        <f>Roles!$D$6</f>
        <v>0.1</v>
      </c>
      <c r="AR106" s="385"/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 t="shared" si="1"/>
        <v>1</v>
      </c>
      <c r="F107" s="80">
        <v>4.0</v>
      </c>
      <c r="G107" s="105">
        <f t="shared" si="2"/>
        <v>0.003445305771</v>
      </c>
      <c r="H107" s="47">
        <f t="shared" si="89"/>
        <v>0.3350559862</v>
      </c>
      <c r="I107" s="231">
        <f t="shared" si="87"/>
        <v>0</v>
      </c>
      <c r="J107" s="172">
        <f t="shared" si="90"/>
        <v>93</v>
      </c>
      <c r="K107" s="115">
        <f t="shared" si="3"/>
        <v>0.1367647059</v>
      </c>
      <c r="L107" s="336">
        <f t="shared" si="88"/>
        <v>0</v>
      </c>
      <c r="M107" s="172">
        <f t="shared" si="91"/>
        <v>40.92</v>
      </c>
      <c r="N107" s="7"/>
      <c r="O107" s="205">
        <f t="shared" si="7"/>
        <v>0</v>
      </c>
      <c r="P107" s="391">
        <v>0.0</v>
      </c>
      <c r="Q107" s="385"/>
      <c r="R107" s="385">
        <f>Roles!$D$5</f>
        <v>0.44</v>
      </c>
      <c r="S107" s="385">
        <f t="shared" si="8"/>
        <v>0</v>
      </c>
      <c r="T107" s="205">
        <f t="shared" si="9"/>
        <v>0</v>
      </c>
      <c r="U107" s="392"/>
      <c r="V107" s="385"/>
      <c r="W107" s="385">
        <f>Roles!$D$6</f>
        <v>0.1</v>
      </c>
      <c r="X107" s="385"/>
      <c r="Y107" s="205">
        <f t="shared" si="10"/>
        <v>0</v>
      </c>
      <c r="Z107" s="392"/>
      <c r="AA107" s="385"/>
      <c r="AB107" s="385">
        <f>Roles!$D$6</f>
        <v>0.1</v>
      </c>
      <c r="AC107" s="385"/>
      <c r="AD107" s="205">
        <f t="shared" si="11"/>
        <v>0</v>
      </c>
      <c r="AE107" s="392"/>
      <c r="AF107" s="385"/>
      <c r="AG107" s="385">
        <f>Roles!$D$6</f>
        <v>0.1</v>
      </c>
      <c r="AH107" s="385"/>
      <c r="AI107" s="205">
        <f t="shared" si="12"/>
        <v>0</v>
      </c>
      <c r="AJ107" s="392"/>
      <c r="AK107" s="385"/>
      <c r="AL107" s="385">
        <f>Roles!$D$6</f>
        <v>0.1</v>
      </c>
      <c r="AM107" s="385"/>
      <c r="AN107" s="205">
        <f t="shared" si="13"/>
        <v>0</v>
      </c>
      <c r="AO107" s="392"/>
      <c r="AP107" s="385"/>
      <c r="AQ107" s="385">
        <f>Roles!$D$6</f>
        <v>0.1</v>
      </c>
      <c r="AR107" s="385"/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 t="shared" si="1"/>
        <v>1</v>
      </c>
      <c r="F108" s="80">
        <v>3.0</v>
      </c>
      <c r="G108" s="105">
        <f t="shared" si="2"/>
        <v>0.002583979328</v>
      </c>
      <c r="H108" s="47">
        <f t="shared" si="89"/>
        <v>0.3376399655</v>
      </c>
      <c r="I108" s="231">
        <f t="shared" si="87"/>
        <v>0</v>
      </c>
      <c r="J108" s="172">
        <f t="shared" si="90"/>
        <v>93</v>
      </c>
      <c r="K108" s="115">
        <f t="shared" si="3"/>
        <v>0.1367647059</v>
      </c>
      <c r="L108" s="336">
        <f t="shared" si="88"/>
        <v>0</v>
      </c>
      <c r="M108" s="172">
        <f t="shared" si="91"/>
        <v>40.92</v>
      </c>
      <c r="N108" s="7"/>
      <c r="O108" s="205">
        <f t="shared" si="7"/>
        <v>0</v>
      </c>
      <c r="P108" s="391">
        <v>0.0</v>
      </c>
      <c r="Q108" s="385"/>
      <c r="R108" s="385">
        <f>Roles!$D$5</f>
        <v>0.44</v>
      </c>
      <c r="S108" s="385">
        <f t="shared" si="8"/>
        <v>0</v>
      </c>
      <c r="T108" s="205">
        <f t="shared" si="9"/>
        <v>0</v>
      </c>
      <c r="U108" s="392"/>
      <c r="V108" s="385"/>
      <c r="W108" s="385">
        <f>Roles!$D$6</f>
        <v>0.1</v>
      </c>
      <c r="X108" s="385"/>
      <c r="Y108" s="205">
        <f t="shared" si="10"/>
        <v>0</v>
      </c>
      <c r="Z108" s="392"/>
      <c r="AA108" s="385"/>
      <c r="AB108" s="385">
        <f>Roles!$D$6</f>
        <v>0.1</v>
      </c>
      <c r="AC108" s="385"/>
      <c r="AD108" s="205">
        <f t="shared" si="11"/>
        <v>0</v>
      </c>
      <c r="AE108" s="392"/>
      <c r="AF108" s="385"/>
      <c r="AG108" s="385">
        <f>Roles!$D$6</f>
        <v>0.1</v>
      </c>
      <c r="AH108" s="385"/>
      <c r="AI108" s="205">
        <f t="shared" si="12"/>
        <v>0</v>
      </c>
      <c r="AJ108" s="392"/>
      <c r="AK108" s="385"/>
      <c r="AL108" s="385">
        <f>Roles!$D$6</f>
        <v>0.1</v>
      </c>
      <c r="AM108" s="385"/>
      <c r="AN108" s="205">
        <f t="shared" si="13"/>
        <v>0</v>
      </c>
      <c r="AO108" s="392"/>
      <c r="AP108" s="385"/>
      <c r="AQ108" s="385">
        <f>Roles!$D$6</f>
        <v>0.1</v>
      </c>
      <c r="AR108" s="385"/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 t="shared" si="1"/>
        <v>1</v>
      </c>
      <c r="F109" s="80">
        <v>3.0</v>
      </c>
      <c r="G109" s="105">
        <f t="shared" si="2"/>
        <v>0.002583979328</v>
      </c>
      <c r="H109" s="47">
        <f t="shared" si="89"/>
        <v>0.3402239449</v>
      </c>
      <c r="I109" s="231">
        <f t="shared" si="87"/>
        <v>0</v>
      </c>
      <c r="J109" s="172">
        <f t="shared" si="90"/>
        <v>93</v>
      </c>
      <c r="K109" s="115">
        <f t="shared" si="3"/>
        <v>0.1367647059</v>
      </c>
      <c r="L109" s="336">
        <f t="shared" si="88"/>
        <v>0</v>
      </c>
      <c r="M109" s="172">
        <f t="shared" si="91"/>
        <v>40.92</v>
      </c>
      <c r="N109" s="7"/>
      <c r="O109" s="205">
        <f t="shared" si="7"/>
        <v>0</v>
      </c>
      <c r="P109" s="391">
        <v>0.0</v>
      </c>
      <c r="Q109" s="385"/>
      <c r="R109" s="385">
        <f>Roles!$D$5</f>
        <v>0.44</v>
      </c>
      <c r="S109" s="385">
        <f t="shared" si="8"/>
        <v>0</v>
      </c>
      <c r="T109" s="205">
        <f t="shared" si="9"/>
        <v>0</v>
      </c>
      <c r="U109" s="392"/>
      <c r="V109" s="385"/>
      <c r="W109" s="385">
        <f>Roles!$D$6</f>
        <v>0.1</v>
      </c>
      <c r="X109" s="385"/>
      <c r="Y109" s="205">
        <f t="shared" si="10"/>
        <v>0</v>
      </c>
      <c r="Z109" s="392"/>
      <c r="AA109" s="385"/>
      <c r="AB109" s="385">
        <f>Roles!$D$6</f>
        <v>0.1</v>
      </c>
      <c r="AC109" s="385"/>
      <c r="AD109" s="205">
        <f t="shared" si="11"/>
        <v>0</v>
      </c>
      <c r="AE109" s="392"/>
      <c r="AF109" s="385"/>
      <c r="AG109" s="385">
        <f>Roles!$D$6</f>
        <v>0.1</v>
      </c>
      <c r="AH109" s="385"/>
      <c r="AI109" s="205">
        <f t="shared" si="12"/>
        <v>0</v>
      </c>
      <c r="AJ109" s="392"/>
      <c r="AK109" s="385"/>
      <c r="AL109" s="385">
        <f>Roles!$D$6</f>
        <v>0.1</v>
      </c>
      <c r="AM109" s="385"/>
      <c r="AN109" s="205">
        <f t="shared" si="13"/>
        <v>0</v>
      </c>
      <c r="AO109" s="392"/>
      <c r="AP109" s="385"/>
      <c r="AQ109" s="385">
        <f>Roles!$D$6</f>
        <v>0.1</v>
      </c>
      <c r="AR109" s="385"/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 t="shared" si="1"/>
        <v>6</v>
      </c>
      <c r="F110" s="246">
        <f>SUM(F111:F116)</f>
        <v>21</v>
      </c>
      <c r="G110" s="105">
        <f t="shared" si="2"/>
        <v>0.0180878553</v>
      </c>
      <c r="H110" s="226">
        <f>H116</f>
        <v>0.3583118002</v>
      </c>
      <c r="I110" s="247">
        <f>SUM(I111:I116)</f>
        <v>0</v>
      </c>
      <c r="J110" s="247">
        <f>J116</f>
        <v>93</v>
      </c>
      <c r="K110" s="167">
        <f t="shared" si="3"/>
        <v>0.1367647059</v>
      </c>
      <c r="L110" s="247">
        <f>SUM(L111:L116)</f>
        <v>0</v>
      </c>
      <c r="M110" s="247">
        <f>M116</f>
        <v>40.92</v>
      </c>
      <c r="N110" s="7"/>
      <c r="O110" s="205">
        <f t="shared" si="7"/>
        <v>0</v>
      </c>
      <c r="P110" s="89"/>
      <c r="Q110" s="385"/>
      <c r="R110" s="385">
        <f>Roles!$D$5</f>
        <v>0.44</v>
      </c>
      <c r="S110" s="385">
        <f t="shared" si="8"/>
        <v>0</v>
      </c>
      <c r="T110" s="205">
        <f t="shared" si="9"/>
        <v>0</v>
      </c>
      <c r="U110" s="392"/>
      <c r="V110" s="385"/>
      <c r="W110" s="385">
        <f>Roles!$D$6</f>
        <v>0.1</v>
      </c>
      <c r="X110" s="385"/>
      <c r="Y110" s="205">
        <f t="shared" si="10"/>
        <v>0</v>
      </c>
      <c r="Z110" s="392"/>
      <c r="AA110" s="385"/>
      <c r="AB110" s="385">
        <f>Roles!$D$6</f>
        <v>0.1</v>
      </c>
      <c r="AC110" s="385"/>
      <c r="AD110" s="205">
        <f t="shared" si="11"/>
        <v>0</v>
      </c>
      <c r="AE110" s="392"/>
      <c r="AF110" s="385"/>
      <c r="AG110" s="385">
        <f>Roles!$D$6</f>
        <v>0.1</v>
      </c>
      <c r="AH110" s="385"/>
      <c r="AI110" s="205">
        <f t="shared" si="12"/>
        <v>0</v>
      </c>
      <c r="AJ110" s="392"/>
      <c r="AK110" s="385"/>
      <c r="AL110" s="385">
        <f>Roles!$D$6</f>
        <v>0.1</v>
      </c>
      <c r="AM110" s="385"/>
      <c r="AN110" s="205">
        <f t="shared" si="13"/>
        <v>0</v>
      </c>
      <c r="AO110" s="392"/>
      <c r="AP110" s="385"/>
      <c r="AQ110" s="385">
        <f>Roles!$D$6</f>
        <v>0.1</v>
      </c>
      <c r="AR110" s="385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 t="shared" si="1"/>
        <v>5</v>
      </c>
      <c r="F111" s="80">
        <v>8.0</v>
      </c>
      <c r="G111" s="105">
        <f t="shared" si="2"/>
        <v>0.006890611542</v>
      </c>
      <c r="H111" s="47">
        <f>H109+G111</f>
        <v>0.3471145564</v>
      </c>
      <c r="I111" s="231">
        <f t="shared" ref="I111:I116" si="92">P111+U111+Z111+AE111+AJ111+AO111</f>
        <v>0</v>
      </c>
      <c r="J111" s="172">
        <f>J109+I111</f>
        <v>93</v>
      </c>
      <c r="K111" s="115">
        <f t="shared" si="3"/>
        <v>0.1367647059</v>
      </c>
      <c r="L111" s="336">
        <f t="shared" ref="L111:L116" si="93">S111+X111+AC111+AH111+AM111+AR111</f>
        <v>0</v>
      </c>
      <c r="M111" s="172">
        <f>M109+L111</f>
        <v>40.92</v>
      </c>
      <c r="N111" s="7"/>
      <c r="O111" s="205">
        <f t="shared" si="7"/>
        <v>0</v>
      </c>
      <c r="P111" s="391">
        <v>0.0</v>
      </c>
      <c r="Q111" s="385"/>
      <c r="R111" s="385">
        <f>Roles!$D$5</f>
        <v>0.44</v>
      </c>
      <c r="S111" s="385">
        <f t="shared" si="8"/>
        <v>0</v>
      </c>
      <c r="T111" s="205">
        <f t="shared" si="9"/>
        <v>0</v>
      </c>
      <c r="U111" s="392"/>
      <c r="V111" s="385"/>
      <c r="W111" s="385">
        <f>Roles!$D$6</f>
        <v>0.1</v>
      </c>
      <c r="X111" s="385"/>
      <c r="Y111" s="205">
        <f t="shared" si="10"/>
        <v>0</v>
      </c>
      <c r="Z111" s="392"/>
      <c r="AA111" s="385"/>
      <c r="AB111" s="385">
        <f>Roles!$D$6</f>
        <v>0.1</v>
      </c>
      <c r="AC111" s="385"/>
      <c r="AD111" s="205">
        <f t="shared" si="11"/>
        <v>0</v>
      </c>
      <c r="AE111" s="392"/>
      <c r="AF111" s="385"/>
      <c r="AG111" s="385">
        <f>Roles!$D$6</f>
        <v>0.1</v>
      </c>
      <c r="AH111" s="385"/>
      <c r="AI111" s="205">
        <f t="shared" si="12"/>
        <v>0</v>
      </c>
      <c r="AJ111" s="392"/>
      <c r="AK111" s="385"/>
      <c r="AL111" s="385">
        <f>Roles!$D$6</f>
        <v>0.1</v>
      </c>
      <c r="AM111" s="385"/>
      <c r="AN111" s="205">
        <f t="shared" si="13"/>
        <v>0</v>
      </c>
      <c r="AO111" s="392"/>
      <c r="AP111" s="385"/>
      <c r="AQ111" s="385">
        <f>Roles!$D$6</f>
        <v>0.1</v>
      </c>
      <c r="AR111" s="385"/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 t="shared" si="1"/>
        <v>1</v>
      </c>
      <c r="F112" s="80">
        <v>3.0</v>
      </c>
      <c r="G112" s="105">
        <f t="shared" si="2"/>
        <v>0.002583979328</v>
      </c>
      <c r="H112" s="47">
        <f t="shared" ref="H112:H116" si="94">H111+G112</f>
        <v>0.3496985357</v>
      </c>
      <c r="I112" s="231">
        <f t="shared" si="92"/>
        <v>0</v>
      </c>
      <c r="J112" s="172">
        <f t="shared" ref="J112:J116" si="95">J111+I112</f>
        <v>93</v>
      </c>
      <c r="K112" s="115">
        <f t="shared" si="3"/>
        <v>0.1367647059</v>
      </c>
      <c r="L112" s="336">
        <f t="shared" si="93"/>
        <v>0</v>
      </c>
      <c r="M112" s="172">
        <f t="shared" ref="M112:M116" si="96">M111+L112</f>
        <v>40.92</v>
      </c>
      <c r="N112" s="7"/>
      <c r="O112" s="205">
        <f t="shared" si="7"/>
        <v>0</v>
      </c>
      <c r="P112" s="391">
        <v>0.0</v>
      </c>
      <c r="Q112" s="385"/>
      <c r="R112" s="385">
        <f>Roles!$D$5</f>
        <v>0.44</v>
      </c>
      <c r="S112" s="385">
        <f t="shared" si="8"/>
        <v>0</v>
      </c>
      <c r="T112" s="205">
        <f t="shared" si="9"/>
        <v>0</v>
      </c>
      <c r="U112" s="392"/>
      <c r="V112" s="385"/>
      <c r="W112" s="385">
        <f>Roles!$D$6</f>
        <v>0.1</v>
      </c>
      <c r="X112" s="385"/>
      <c r="Y112" s="205">
        <f t="shared" si="10"/>
        <v>0</v>
      </c>
      <c r="Z112" s="392"/>
      <c r="AA112" s="385"/>
      <c r="AB112" s="385">
        <f>Roles!$D$6</f>
        <v>0.1</v>
      </c>
      <c r="AC112" s="385"/>
      <c r="AD112" s="205">
        <f t="shared" si="11"/>
        <v>0</v>
      </c>
      <c r="AE112" s="392"/>
      <c r="AF112" s="385"/>
      <c r="AG112" s="385">
        <f>Roles!$D$6</f>
        <v>0.1</v>
      </c>
      <c r="AH112" s="385"/>
      <c r="AI112" s="205">
        <f t="shared" si="12"/>
        <v>0</v>
      </c>
      <c r="AJ112" s="392"/>
      <c r="AK112" s="385"/>
      <c r="AL112" s="385">
        <f>Roles!$D$6</f>
        <v>0.1</v>
      </c>
      <c r="AM112" s="385"/>
      <c r="AN112" s="205">
        <f t="shared" si="13"/>
        <v>0</v>
      </c>
      <c r="AO112" s="392"/>
      <c r="AP112" s="385"/>
      <c r="AQ112" s="385">
        <f>Roles!$D$6</f>
        <v>0.1</v>
      </c>
      <c r="AR112" s="385"/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 t="shared" si="1"/>
        <v>1</v>
      </c>
      <c r="F113" s="80">
        <v>3.0</v>
      </c>
      <c r="G113" s="105">
        <f t="shared" si="2"/>
        <v>0.002583979328</v>
      </c>
      <c r="H113" s="47">
        <f t="shared" si="94"/>
        <v>0.3522825151</v>
      </c>
      <c r="I113" s="231">
        <f t="shared" si="92"/>
        <v>0</v>
      </c>
      <c r="J113" s="172">
        <f t="shared" si="95"/>
        <v>93</v>
      </c>
      <c r="K113" s="115">
        <f t="shared" si="3"/>
        <v>0.1367647059</v>
      </c>
      <c r="L113" s="336">
        <f t="shared" si="93"/>
        <v>0</v>
      </c>
      <c r="M113" s="172">
        <f t="shared" si="96"/>
        <v>40.92</v>
      </c>
      <c r="N113" s="7"/>
      <c r="O113" s="205">
        <f t="shared" si="7"/>
        <v>0</v>
      </c>
      <c r="P113" s="391">
        <v>0.0</v>
      </c>
      <c r="Q113" s="385"/>
      <c r="R113" s="385">
        <f>Roles!$D$5</f>
        <v>0.44</v>
      </c>
      <c r="S113" s="385">
        <f t="shared" si="8"/>
        <v>0</v>
      </c>
      <c r="T113" s="205">
        <f t="shared" si="9"/>
        <v>0</v>
      </c>
      <c r="U113" s="392"/>
      <c r="V113" s="385"/>
      <c r="W113" s="385">
        <f>Roles!$D$6</f>
        <v>0.1</v>
      </c>
      <c r="X113" s="385"/>
      <c r="Y113" s="205">
        <f t="shared" si="10"/>
        <v>0</v>
      </c>
      <c r="Z113" s="392"/>
      <c r="AA113" s="385"/>
      <c r="AB113" s="385">
        <f>Roles!$D$6</f>
        <v>0.1</v>
      </c>
      <c r="AC113" s="385"/>
      <c r="AD113" s="205">
        <f t="shared" si="11"/>
        <v>0</v>
      </c>
      <c r="AE113" s="392"/>
      <c r="AF113" s="385"/>
      <c r="AG113" s="385">
        <f>Roles!$D$6</f>
        <v>0.1</v>
      </c>
      <c r="AH113" s="385"/>
      <c r="AI113" s="205">
        <f t="shared" si="12"/>
        <v>0</v>
      </c>
      <c r="AJ113" s="392"/>
      <c r="AK113" s="385"/>
      <c r="AL113" s="385">
        <f>Roles!$D$6</f>
        <v>0.1</v>
      </c>
      <c r="AM113" s="385"/>
      <c r="AN113" s="205">
        <f t="shared" si="13"/>
        <v>0</v>
      </c>
      <c r="AO113" s="392"/>
      <c r="AP113" s="385"/>
      <c r="AQ113" s="385">
        <f>Roles!$D$6</f>
        <v>0.1</v>
      </c>
      <c r="AR113" s="385"/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 t="shared" si="1"/>
        <v>1</v>
      </c>
      <c r="F114" s="80">
        <v>4.0</v>
      </c>
      <c r="G114" s="105">
        <f t="shared" si="2"/>
        <v>0.003445305771</v>
      </c>
      <c r="H114" s="47">
        <f t="shared" si="94"/>
        <v>0.3557278208</v>
      </c>
      <c r="I114" s="231">
        <f t="shared" si="92"/>
        <v>0</v>
      </c>
      <c r="J114" s="172">
        <f t="shared" si="95"/>
        <v>93</v>
      </c>
      <c r="K114" s="115">
        <f t="shared" si="3"/>
        <v>0.1367647059</v>
      </c>
      <c r="L114" s="336">
        <f t="shared" si="93"/>
        <v>0</v>
      </c>
      <c r="M114" s="172">
        <f t="shared" si="96"/>
        <v>40.92</v>
      </c>
      <c r="N114" s="7"/>
      <c r="O114" s="205">
        <f t="shared" si="7"/>
        <v>0</v>
      </c>
      <c r="P114" s="391">
        <v>0.0</v>
      </c>
      <c r="Q114" s="385"/>
      <c r="R114" s="385">
        <f>Roles!$D$5</f>
        <v>0.44</v>
      </c>
      <c r="S114" s="385">
        <f t="shared" si="8"/>
        <v>0</v>
      </c>
      <c r="T114" s="205">
        <f t="shared" si="9"/>
        <v>0</v>
      </c>
      <c r="U114" s="392"/>
      <c r="V114" s="385"/>
      <c r="W114" s="385">
        <f>Roles!$D$6</f>
        <v>0.1</v>
      </c>
      <c r="X114" s="385"/>
      <c r="Y114" s="205">
        <f t="shared" si="10"/>
        <v>0</v>
      </c>
      <c r="Z114" s="392"/>
      <c r="AA114" s="385"/>
      <c r="AB114" s="385">
        <f>Roles!$D$6</f>
        <v>0.1</v>
      </c>
      <c r="AC114" s="385"/>
      <c r="AD114" s="205">
        <f t="shared" si="11"/>
        <v>0</v>
      </c>
      <c r="AE114" s="392"/>
      <c r="AF114" s="385"/>
      <c r="AG114" s="385">
        <f>Roles!$D$6</f>
        <v>0.1</v>
      </c>
      <c r="AH114" s="385"/>
      <c r="AI114" s="205">
        <f t="shared" si="12"/>
        <v>0</v>
      </c>
      <c r="AJ114" s="392"/>
      <c r="AK114" s="385"/>
      <c r="AL114" s="385">
        <f>Roles!$D$6</f>
        <v>0.1</v>
      </c>
      <c r="AM114" s="385"/>
      <c r="AN114" s="205">
        <f t="shared" si="13"/>
        <v>0</v>
      </c>
      <c r="AO114" s="392"/>
      <c r="AP114" s="385"/>
      <c r="AQ114" s="385">
        <f>Roles!$D$6</f>
        <v>0.1</v>
      </c>
      <c r="AR114" s="385"/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 t="shared" si="1"/>
        <v>1</v>
      </c>
      <c r="F115" s="80">
        <v>2.0</v>
      </c>
      <c r="G115" s="105">
        <f t="shared" si="2"/>
        <v>0.001722652885</v>
      </c>
      <c r="H115" s="47">
        <f t="shared" si="94"/>
        <v>0.3574504737</v>
      </c>
      <c r="I115" s="231">
        <f t="shared" si="92"/>
        <v>0</v>
      </c>
      <c r="J115" s="172">
        <f t="shared" si="95"/>
        <v>93</v>
      </c>
      <c r="K115" s="115">
        <f t="shared" si="3"/>
        <v>0.1367647059</v>
      </c>
      <c r="L115" s="336">
        <f t="shared" si="93"/>
        <v>0</v>
      </c>
      <c r="M115" s="172">
        <f t="shared" si="96"/>
        <v>40.92</v>
      </c>
      <c r="N115" s="7"/>
      <c r="O115" s="205">
        <f t="shared" si="7"/>
        <v>0</v>
      </c>
      <c r="P115" s="391">
        <v>0.0</v>
      </c>
      <c r="Q115" s="385"/>
      <c r="R115" s="385">
        <f>Roles!$D$5</f>
        <v>0.44</v>
      </c>
      <c r="S115" s="385">
        <f t="shared" si="8"/>
        <v>0</v>
      </c>
      <c r="T115" s="205">
        <f t="shared" si="9"/>
        <v>0</v>
      </c>
      <c r="U115" s="392"/>
      <c r="V115" s="385"/>
      <c r="W115" s="385">
        <f>Roles!$D$6</f>
        <v>0.1</v>
      </c>
      <c r="X115" s="385"/>
      <c r="Y115" s="205">
        <f t="shared" si="10"/>
        <v>0</v>
      </c>
      <c r="Z115" s="392"/>
      <c r="AA115" s="385"/>
      <c r="AB115" s="385">
        <f>Roles!$D$6</f>
        <v>0.1</v>
      </c>
      <c r="AC115" s="385"/>
      <c r="AD115" s="205">
        <f t="shared" si="11"/>
        <v>0</v>
      </c>
      <c r="AE115" s="392"/>
      <c r="AF115" s="385"/>
      <c r="AG115" s="385">
        <f>Roles!$D$6</f>
        <v>0.1</v>
      </c>
      <c r="AH115" s="385"/>
      <c r="AI115" s="205">
        <f t="shared" si="12"/>
        <v>0</v>
      </c>
      <c r="AJ115" s="392"/>
      <c r="AK115" s="385"/>
      <c r="AL115" s="385">
        <f>Roles!$D$6</f>
        <v>0.1</v>
      </c>
      <c r="AM115" s="385"/>
      <c r="AN115" s="205">
        <f t="shared" si="13"/>
        <v>0</v>
      </c>
      <c r="AO115" s="392"/>
      <c r="AP115" s="385"/>
      <c r="AQ115" s="385">
        <f>Roles!$D$6</f>
        <v>0.1</v>
      </c>
      <c r="AR115" s="385"/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 t="shared" si="1"/>
        <v>1</v>
      </c>
      <c r="F116" s="80">
        <v>1.0</v>
      </c>
      <c r="G116" s="105">
        <f t="shared" si="2"/>
        <v>0.0008613264427</v>
      </c>
      <c r="H116" s="47">
        <f t="shared" si="94"/>
        <v>0.3583118002</v>
      </c>
      <c r="I116" s="231">
        <f t="shared" si="92"/>
        <v>0</v>
      </c>
      <c r="J116" s="172">
        <f t="shared" si="95"/>
        <v>93</v>
      </c>
      <c r="K116" s="115">
        <f t="shared" si="3"/>
        <v>0.1367647059</v>
      </c>
      <c r="L116" s="336">
        <f t="shared" si="93"/>
        <v>0</v>
      </c>
      <c r="M116" s="172">
        <f t="shared" si="96"/>
        <v>40.92</v>
      </c>
      <c r="N116" s="7"/>
      <c r="O116" s="205">
        <f t="shared" si="7"/>
        <v>0</v>
      </c>
      <c r="P116" s="391">
        <v>0.0</v>
      </c>
      <c r="Q116" s="385"/>
      <c r="R116" s="385">
        <f>Roles!$D$5</f>
        <v>0.44</v>
      </c>
      <c r="S116" s="385">
        <f t="shared" si="8"/>
        <v>0</v>
      </c>
      <c r="T116" s="205">
        <f t="shared" si="9"/>
        <v>0</v>
      </c>
      <c r="U116" s="392"/>
      <c r="V116" s="385"/>
      <c r="W116" s="385">
        <f>Roles!$D$6</f>
        <v>0.1</v>
      </c>
      <c r="X116" s="385"/>
      <c r="Y116" s="205">
        <f t="shared" si="10"/>
        <v>0</v>
      </c>
      <c r="Z116" s="392"/>
      <c r="AA116" s="385"/>
      <c r="AB116" s="385">
        <f>Roles!$D$6</f>
        <v>0.1</v>
      </c>
      <c r="AC116" s="385"/>
      <c r="AD116" s="205">
        <f t="shared" si="11"/>
        <v>0</v>
      </c>
      <c r="AE116" s="392"/>
      <c r="AF116" s="385"/>
      <c r="AG116" s="385">
        <f>Roles!$D$6</f>
        <v>0.1</v>
      </c>
      <c r="AH116" s="385"/>
      <c r="AI116" s="205">
        <f t="shared" si="12"/>
        <v>0</v>
      </c>
      <c r="AJ116" s="392"/>
      <c r="AK116" s="385"/>
      <c r="AL116" s="385">
        <f>Roles!$D$6</f>
        <v>0.1</v>
      </c>
      <c r="AM116" s="385"/>
      <c r="AN116" s="205">
        <f t="shared" si="13"/>
        <v>0</v>
      </c>
      <c r="AO116" s="392"/>
      <c r="AP116" s="385"/>
      <c r="AQ116" s="385">
        <f>Roles!$D$6</f>
        <v>0.1</v>
      </c>
      <c r="AR116" s="385"/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 t="shared" si="1"/>
        <v>4</v>
      </c>
      <c r="F117" s="246">
        <f>SUM(F118:F121)</f>
        <v>17</v>
      </c>
      <c r="G117" s="105">
        <f t="shared" si="2"/>
        <v>0.01464254953</v>
      </c>
      <c r="H117" s="226">
        <f>H121</f>
        <v>0.3729543497</v>
      </c>
      <c r="I117" s="247">
        <f>SUM(I118:I121)</f>
        <v>0</v>
      </c>
      <c r="J117" s="247">
        <f>J121</f>
        <v>93</v>
      </c>
      <c r="K117" s="167">
        <f t="shared" si="3"/>
        <v>0.1367647059</v>
      </c>
      <c r="L117" s="247">
        <f>SUM(L118:L121)</f>
        <v>0</v>
      </c>
      <c r="M117" s="247">
        <f>M121</f>
        <v>40.92</v>
      </c>
      <c r="N117" s="7"/>
      <c r="O117" s="205">
        <f t="shared" si="7"/>
        <v>0</v>
      </c>
      <c r="P117" s="89"/>
      <c r="Q117" s="385"/>
      <c r="R117" s="385">
        <f>Roles!$D$5</f>
        <v>0.44</v>
      </c>
      <c r="S117" s="385">
        <f t="shared" si="8"/>
        <v>0</v>
      </c>
      <c r="T117" s="205">
        <f t="shared" si="9"/>
        <v>0</v>
      </c>
      <c r="U117" s="392"/>
      <c r="V117" s="385"/>
      <c r="W117" s="385">
        <f>Roles!$D$6</f>
        <v>0.1</v>
      </c>
      <c r="X117" s="385"/>
      <c r="Y117" s="205">
        <f t="shared" si="10"/>
        <v>0</v>
      </c>
      <c r="Z117" s="392"/>
      <c r="AA117" s="385"/>
      <c r="AB117" s="385">
        <f>Roles!$D$6</f>
        <v>0.1</v>
      </c>
      <c r="AC117" s="385"/>
      <c r="AD117" s="205">
        <f t="shared" si="11"/>
        <v>0</v>
      </c>
      <c r="AE117" s="392"/>
      <c r="AF117" s="385"/>
      <c r="AG117" s="385">
        <f>Roles!$D$6</f>
        <v>0.1</v>
      </c>
      <c r="AH117" s="385"/>
      <c r="AI117" s="205">
        <f t="shared" si="12"/>
        <v>0</v>
      </c>
      <c r="AJ117" s="392"/>
      <c r="AK117" s="385"/>
      <c r="AL117" s="385">
        <f>Roles!$D$6</f>
        <v>0.1</v>
      </c>
      <c r="AM117" s="385"/>
      <c r="AN117" s="205">
        <f t="shared" si="13"/>
        <v>0</v>
      </c>
      <c r="AO117" s="392"/>
      <c r="AP117" s="385"/>
      <c r="AQ117" s="385">
        <f>Roles!$D$6</f>
        <v>0.1</v>
      </c>
      <c r="AR117" s="385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 t="shared" si="1"/>
        <v>2</v>
      </c>
      <c r="F118" s="80">
        <v>4.0</v>
      </c>
      <c r="G118" s="105">
        <f t="shared" si="2"/>
        <v>0.003445305771</v>
      </c>
      <c r="H118" s="47">
        <f>H116+G118</f>
        <v>0.3617571059</v>
      </c>
      <c r="I118" s="231">
        <f t="shared" ref="I118:I121" si="97">P118+U118+Z118+AE118+AJ118+AO118</f>
        <v>0</v>
      </c>
      <c r="J118" s="172">
        <f>J116+I118</f>
        <v>93</v>
      </c>
      <c r="K118" s="115">
        <f t="shared" si="3"/>
        <v>0.1367647059</v>
      </c>
      <c r="L118" s="336">
        <f t="shared" ref="L118:L121" si="98">S118+X118+AC118+AH118+AM118+AR118</f>
        <v>0</v>
      </c>
      <c r="M118" s="172">
        <f>M116+L118</f>
        <v>40.92</v>
      </c>
      <c r="N118" s="7"/>
      <c r="O118" s="205">
        <f t="shared" si="7"/>
        <v>0</v>
      </c>
      <c r="P118" s="391">
        <v>0.0</v>
      </c>
      <c r="Q118" s="385"/>
      <c r="R118" s="385">
        <f>Roles!$D$5</f>
        <v>0.44</v>
      </c>
      <c r="S118" s="385">
        <f t="shared" si="8"/>
        <v>0</v>
      </c>
      <c r="T118" s="205">
        <f t="shared" si="9"/>
        <v>0</v>
      </c>
      <c r="U118" s="392"/>
      <c r="V118" s="385"/>
      <c r="W118" s="385">
        <f>Roles!$D$6</f>
        <v>0.1</v>
      </c>
      <c r="X118" s="385"/>
      <c r="Y118" s="205">
        <f t="shared" si="10"/>
        <v>0</v>
      </c>
      <c r="Z118" s="392"/>
      <c r="AA118" s="385"/>
      <c r="AB118" s="385">
        <f>Roles!$D$6</f>
        <v>0.1</v>
      </c>
      <c r="AC118" s="385"/>
      <c r="AD118" s="205">
        <f t="shared" si="11"/>
        <v>0</v>
      </c>
      <c r="AE118" s="392"/>
      <c r="AF118" s="385"/>
      <c r="AG118" s="385">
        <f>Roles!$D$6</f>
        <v>0.1</v>
      </c>
      <c r="AH118" s="385"/>
      <c r="AI118" s="205">
        <f t="shared" si="12"/>
        <v>0</v>
      </c>
      <c r="AJ118" s="392"/>
      <c r="AK118" s="385"/>
      <c r="AL118" s="385">
        <f>Roles!$D$6</f>
        <v>0.1</v>
      </c>
      <c r="AM118" s="385"/>
      <c r="AN118" s="205">
        <f t="shared" si="13"/>
        <v>0</v>
      </c>
      <c r="AO118" s="392"/>
      <c r="AP118" s="385"/>
      <c r="AQ118" s="385">
        <f>Roles!$D$6</f>
        <v>0.1</v>
      </c>
      <c r="AR118" s="385"/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 t="shared" si="1"/>
        <v>1</v>
      </c>
      <c r="F119" s="80">
        <v>3.0</v>
      </c>
      <c r="G119" s="105">
        <f t="shared" si="2"/>
        <v>0.002583979328</v>
      </c>
      <c r="H119" s="47">
        <f t="shared" ref="H119:H121" si="99">H118+G119</f>
        <v>0.3643410853</v>
      </c>
      <c r="I119" s="231">
        <f t="shared" si="97"/>
        <v>0</v>
      </c>
      <c r="J119" s="172">
        <f t="shared" ref="J119:J121" si="100">J118+I119</f>
        <v>93</v>
      </c>
      <c r="K119" s="115">
        <f t="shared" si="3"/>
        <v>0.1367647059</v>
      </c>
      <c r="L119" s="336">
        <f t="shared" si="98"/>
        <v>0</v>
      </c>
      <c r="M119" s="172">
        <f t="shared" ref="M119:M121" si="101">M118+L119</f>
        <v>40.92</v>
      </c>
      <c r="N119" s="7"/>
      <c r="O119" s="205">
        <f t="shared" si="7"/>
        <v>0</v>
      </c>
      <c r="P119" s="391">
        <v>0.0</v>
      </c>
      <c r="Q119" s="385"/>
      <c r="R119" s="385">
        <f>Roles!$D$5</f>
        <v>0.44</v>
      </c>
      <c r="S119" s="385">
        <f t="shared" si="8"/>
        <v>0</v>
      </c>
      <c r="T119" s="205">
        <f t="shared" si="9"/>
        <v>0</v>
      </c>
      <c r="U119" s="392"/>
      <c r="V119" s="385"/>
      <c r="W119" s="385">
        <f>Roles!$D$6</f>
        <v>0.1</v>
      </c>
      <c r="X119" s="385"/>
      <c r="Y119" s="205">
        <f t="shared" si="10"/>
        <v>0</v>
      </c>
      <c r="Z119" s="392"/>
      <c r="AA119" s="385"/>
      <c r="AB119" s="385">
        <f>Roles!$D$6</f>
        <v>0.1</v>
      </c>
      <c r="AC119" s="385"/>
      <c r="AD119" s="205">
        <f t="shared" si="11"/>
        <v>0</v>
      </c>
      <c r="AE119" s="392"/>
      <c r="AF119" s="385"/>
      <c r="AG119" s="385">
        <f>Roles!$D$6</f>
        <v>0.1</v>
      </c>
      <c r="AH119" s="385"/>
      <c r="AI119" s="205">
        <f t="shared" si="12"/>
        <v>0</v>
      </c>
      <c r="AJ119" s="392"/>
      <c r="AK119" s="385"/>
      <c r="AL119" s="385">
        <f>Roles!$D$6</f>
        <v>0.1</v>
      </c>
      <c r="AM119" s="385"/>
      <c r="AN119" s="205">
        <f t="shared" si="13"/>
        <v>0</v>
      </c>
      <c r="AO119" s="392"/>
      <c r="AP119" s="385"/>
      <c r="AQ119" s="385">
        <f>Roles!$D$6</f>
        <v>0.1</v>
      </c>
      <c r="AR119" s="385"/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 t="shared" si="1"/>
        <v>3</v>
      </c>
      <c r="F120" s="80">
        <v>6.0</v>
      </c>
      <c r="G120" s="105">
        <f t="shared" si="2"/>
        <v>0.005167958656</v>
      </c>
      <c r="H120" s="47">
        <f t="shared" si="99"/>
        <v>0.3695090439</v>
      </c>
      <c r="I120" s="231">
        <f t="shared" si="97"/>
        <v>0</v>
      </c>
      <c r="J120" s="172">
        <f t="shared" si="100"/>
        <v>93</v>
      </c>
      <c r="K120" s="115">
        <f t="shared" si="3"/>
        <v>0.1367647059</v>
      </c>
      <c r="L120" s="336">
        <f t="shared" si="98"/>
        <v>0</v>
      </c>
      <c r="M120" s="172">
        <f t="shared" si="101"/>
        <v>40.92</v>
      </c>
      <c r="N120" s="7"/>
      <c r="O120" s="205">
        <f t="shared" si="7"/>
        <v>0</v>
      </c>
      <c r="P120" s="391">
        <v>0.0</v>
      </c>
      <c r="Q120" s="385"/>
      <c r="R120" s="385">
        <f>Roles!$D$5</f>
        <v>0.44</v>
      </c>
      <c r="S120" s="385">
        <f t="shared" si="8"/>
        <v>0</v>
      </c>
      <c r="T120" s="205">
        <f t="shared" si="9"/>
        <v>0</v>
      </c>
      <c r="U120" s="392"/>
      <c r="V120" s="385"/>
      <c r="W120" s="385">
        <f>Roles!$D$6</f>
        <v>0.1</v>
      </c>
      <c r="X120" s="385"/>
      <c r="Y120" s="205">
        <f t="shared" si="10"/>
        <v>0</v>
      </c>
      <c r="Z120" s="392"/>
      <c r="AA120" s="385"/>
      <c r="AB120" s="385">
        <f>Roles!$D$6</f>
        <v>0.1</v>
      </c>
      <c r="AC120" s="385"/>
      <c r="AD120" s="205">
        <f t="shared" si="11"/>
        <v>0</v>
      </c>
      <c r="AE120" s="392"/>
      <c r="AF120" s="385"/>
      <c r="AG120" s="385">
        <f>Roles!$D$6</f>
        <v>0.1</v>
      </c>
      <c r="AH120" s="385"/>
      <c r="AI120" s="205">
        <f t="shared" si="12"/>
        <v>0</v>
      </c>
      <c r="AJ120" s="392"/>
      <c r="AK120" s="385"/>
      <c r="AL120" s="385">
        <f>Roles!$D$6</f>
        <v>0.1</v>
      </c>
      <c r="AM120" s="385"/>
      <c r="AN120" s="205">
        <f t="shared" si="13"/>
        <v>0</v>
      </c>
      <c r="AO120" s="392"/>
      <c r="AP120" s="385"/>
      <c r="AQ120" s="385">
        <f>Roles!$D$6</f>
        <v>0.1</v>
      </c>
      <c r="AR120" s="385"/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 t="shared" si="1"/>
        <v>2</v>
      </c>
      <c r="F121" s="80">
        <v>4.0</v>
      </c>
      <c r="G121" s="105">
        <f t="shared" si="2"/>
        <v>0.003445305771</v>
      </c>
      <c r="H121" s="47">
        <f t="shared" si="99"/>
        <v>0.3729543497</v>
      </c>
      <c r="I121" s="231">
        <f t="shared" si="97"/>
        <v>0</v>
      </c>
      <c r="J121" s="172">
        <f t="shared" si="100"/>
        <v>93</v>
      </c>
      <c r="K121" s="115">
        <f t="shared" si="3"/>
        <v>0.1367647059</v>
      </c>
      <c r="L121" s="336">
        <f t="shared" si="98"/>
        <v>0</v>
      </c>
      <c r="M121" s="172">
        <f t="shared" si="101"/>
        <v>40.92</v>
      </c>
      <c r="N121" s="7"/>
      <c r="O121" s="205">
        <f t="shared" si="7"/>
        <v>0</v>
      </c>
      <c r="P121" s="391">
        <v>0.0</v>
      </c>
      <c r="Q121" s="385"/>
      <c r="R121" s="385">
        <f>Roles!$D$5</f>
        <v>0.44</v>
      </c>
      <c r="S121" s="385">
        <f t="shared" si="8"/>
        <v>0</v>
      </c>
      <c r="T121" s="205">
        <f t="shared" si="9"/>
        <v>0</v>
      </c>
      <c r="U121" s="392"/>
      <c r="V121" s="385"/>
      <c r="W121" s="385">
        <f>Roles!$D$6</f>
        <v>0.1</v>
      </c>
      <c r="X121" s="385"/>
      <c r="Y121" s="205">
        <f t="shared" si="10"/>
        <v>0</v>
      </c>
      <c r="Z121" s="392"/>
      <c r="AA121" s="385"/>
      <c r="AB121" s="385">
        <f>Roles!$D$6</f>
        <v>0.1</v>
      </c>
      <c r="AC121" s="385"/>
      <c r="AD121" s="205">
        <f t="shared" si="11"/>
        <v>0</v>
      </c>
      <c r="AE121" s="392"/>
      <c r="AF121" s="385"/>
      <c r="AG121" s="385">
        <f>Roles!$D$6</f>
        <v>0.1</v>
      </c>
      <c r="AH121" s="385"/>
      <c r="AI121" s="205">
        <f t="shared" si="12"/>
        <v>0</v>
      </c>
      <c r="AJ121" s="392"/>
      <c r="AK121" s="385"/>
      <c r="AL121" s="385">
        <f>Roles!$D$6</f>
        <v>0.1</v>
      </c>
      <c r="AM121" s="385"/>
      <c r="AN121" s="205">
        <f t="shared" si="13"/>
        <v>0</v>
      </c>
      <c r="AO121" s="392"/>
      <c r="AP121" s="385"/>
      <c r="AQ121" s="385">
        <f>Roles!$D$6</f>
        <v>0.1</v>
      </c>
      <c r="AR121" s="385"/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 t="shared" si="1"/>
        <v>6</v>
      </c>
      <c r="F122" s="246">
        <f>SUM(F123:F126)</f>
        <v>12</v>
      </c>
      <c r="G122" s="105">
        <f t="shared" si="2"/>
        <v>0.01033591731</v>
      </c>
      <c r="H122" s="226">
        <f>H126</f>
        <v>0.383290267</v>
      </c>
      <c r="I122" s="247">
        <f>SUM(I123:I126)</f>
        <v>20</v>
      </c>
      <c r="J122" s="247">
        <f>J126</f>
        <v>113</v>
      </c>
      <c r="K122" s="167">
        <f t="shared" si="3"/>
        <v>0.1661764706</v>
      </c>
      <c r="L122" s="247">
        <f>SUM(L123:L126)</f>
        <v>8.8</v>
      </c>
      <c r="M122" s="247">
        <f>M126</f>
        <v>49.72</v>
      </c>
      <c r="N122" s="7"/>
      <c r="O122" s="205">
        <f t="shared" si="7"/>
        <v>0</v>
      </c>
      <c r="P122" s="89"/>
      <c r="Q122" s="385"/>
      <c r="R122" s="385">
        <f>Roles!$D$5</f>
        <v>0.44</v>
      </c>
      <c r="S122" s="385">
        <f t="shared" si="8"/>
        <v>0</v>
      </c>
      <c r="T122" s="205">
        <f t="shared" si="9"/>
        <v>0</v>
      </c>
      <c r="U122" s="392"/>
      <c r="V122" s="385"/>
      <c r="W122" s="385">
        <f>Roles!$D$6</f>
        <v>0.1</v>
      </c>
      <c r="X122" s="385"/>
      <c r="Y122" s="205">
        <f t="shared" si="10"/>
        <v>0</v>
      </c>
      <c r="Z122" s="392"/>
      <c r="AA122" s="385"/>
      <c r="AB122" s="385">
        <f>Roles!$D$6</f>
        <v>0.1</v>
      </c>
      <c r="AC122" s="385"/>
      <c r="AD122" s="205">
        <f t="shared" si="11"/>
        <v>0</v>
      </c>
      <c r="AE122" s="392"/>
      <c r="AF122" s="385"/>
      <c r="AG122" s="385">
        <f>Roles!$D$6</f>
        <v>0.1</v>
      </c>
      <c r="AH122" s="385"/>
      <c r="AI122" s="205">
        <f t="shared" si="12"/>
        <v>0</v>
      </c>
      <c r="AJ122" s="392"/>
      <c r="AK122" s="385"/>
      <c r="AL122" s="385">
        <f>Roles!$D$6</f>
        <v>0.1</v>
      </c>
      <c r="AM122" s="385"/>
      <c r="AN122" s="205">
        <f t="shared" si="13"/>
        <v>0</v>
      </c>
      <c r="AO122" s="392"/>
      <c r="AP122" s="385"/>
      <c r="AQ122" s="385">
        <f>Roles!$D$6</f>
        <v>0.1</v>
      </c>
      <c r="AR122" s="385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 t="shared" si="1"/>
        <v>2</v>
      </c>
      <c r="F123" s="80">
        <v>4.0</v>
      </c>
      <c r="G123" s="105">
        <f t="shared" si="2"/>
        <v>0.003445305771</v>
      </c>
      <c r="H123" s="47">
        <f>H121+G123</f>
        <v>0.3763996555</v>
      </c>
      <c r="I123" s="231">
        <f t="shared" ref="I123:I126" si="102">P123+U123+Z123+AE123+AJ123+AO123</f>
        <v>8</v>
      </c>
      <c r="J123" s="172">
        <f>J121+I123</f>
        <v>101</v>
      </c>
      <c r="K123" s="115">
        <f t="shared" si="3"/>
        <v>0.1485294118</v>
      </c>
      <c r="L123" s="336">
        <f t="shared" ref="L123:L126" si="103">S123+X123+AC123+AH123+AM123+AR123</f>
        <v>3.52</v>
      </c>
      <c r="M123" s="172">
        <f>M121+L123</f>
        <v>44.44</v>
      </c>
      <c r="N123" s="7"/>
      <c r="O123" s="205">
        <f t="shared" si="7"/>
        <v>2</v>
      </c>
      <c r="P123" s="391">
        <v>8.0</v>
      </c>
      <c r="Q123" s="385"/>
      <c r="R123" s="385">
        <f>Roles!$D$5</f>
        <v>0.44</v>
      </c>
      <c r="S123" s="385">
        <f t="shared" si="8"/>
        <v>3.52</v>
      </c>
      <c r="T123" s="205">
        <f t="shared" si="9"/>
        <v>0</v>
      </c>
      <c r="U123" s="392"/>
      <c r="V123" s="385"/>
      <c r="W123" s="385">
        <f>Roles!$D$6</f>
        <v>0.1</v>
      </c>
      <c r="X123" s="385"/>
      <c r="Y123" s="205">
        <f t="shared" si="10"/>
        <v>0</v>
      </c>
      <c r="Z123" s="392"/>
      <c r="AA123" s="385"/>
      <c r="AB123" s="385">
        <f>Roles!$D$6</f>
        <v>0.1</v>
      </c>
      <c r="AC123" s="385"/>
      <c r="AD123" s="205">
        <f t="shared" si="11"/>
        <v>0</v>
      </c>
      <c r="AE123" s="392"/>
      <c r="AF123" s="385"/>
      <c r="AG123" s="385">
        <f>Roles!$D$6</f>
        <v>0.1</v>
      </c>
      <c r="AH123" s="385"/>
      <c r="AI123" s="205">
        <f t="shared" si="12"/>
        <v>0</v>
      </c>
      <c r="AJ123" s="392"/>
      <c r="AK123" s="385"/>
      <c r="AL123" s="385">
        <f>Roles!$D$6</f>
        <v>0.1</v>
      </c>
      <c r="AM123" s="385"/>
      <c r="AN123" s="205">
        <f t="shared" si="13"/>
        <v>0</v>
      </c>
      <c r="AO123" s="392"/>
      <c r="AP123" s="385"/>
      <c r="AQ123" s="385">
        <f>Roles!$D$6</f>
        <v>0.1</v>
      </c>
      <c r="AR123" s="385"/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 t="shared" si="1"/>
        <v>2</v>
      </c>
      <c r="F124" s="80">
        <v>3.0</v>
      </c>
      <c r="G124" s="105">
        <f t="shared" si="2"/>
        <v>0.002583979328</v>
      </c>
      <c r="H124" s="47">
        <f t="shared" ref="H124:H126" si="104">H123+G124</f>
        <v>0.3789836348</v>
      </c>
      <c r="I124" s="231">
        <f t="shared" si="102"/>
        <v>6</v>
      </c>
      <c r="J124" s="172">
        <f t="shared" ref="J124:J126" si="105">J123+I124</f>
        <v>107</v>
      </c>
      <c r="K124" s="115">
        <f t="shared" si="3"/>
        <v>0.1573529412</v>
      </c>
      <c r="L124" s="336">
        <f t="shared" si="103"/>
        <v>2.64</v>
      </c>
      <c r="M124" s="172">
        <f t="shared" ref="M124:M126" si="106">M123+L124</f>
        <v>47.08</v>
      </c>
      <c r="N124" s="7"/>
      <c r="O124" s="205">
        <f t="shared" si="7"/>
        <v>2</v>
      </c>
      <c r="P124" s="391">
        <v>6.0</v>
      </c>
      <c r="Q124" s="385"/>
      <c r="R124" s="385">
        <f>Roles!$D$5</f>
        <v>0.44</v>
      </c>
      <c r="S124" s="385">
        <f t="shared" si="8"/>
        <v>2.64</v>
      </c>
      <c r="T124" s="205">
        <f t="shared" si="9"/>
        <v>0</v>
      </c>
      <c r="U124" s="392"/>
      <c r="V124" s="385"/>
      <c r="W124" s="385">
        <f>Roles!$D$6</f>
        <v>0.1</v>
      </c>
      <c r="X124" s="385"/>
      <c r="Y124" s="205">
        <f t="shared" si="10"/>
        <v>0</v>
      </c>
      <c r="Z124" s="392"/>
      <c r="AA124" s="385"/>
      <c r="AB124" s="385">
        <f>Roles!$D$6</f>
        <v>0.1</v>
      </c>
      <c r="AC124" s="385"/>
      <c r="AD124" s="205">
        <f t="shared" si="11"/>
        <v>0</v>
      </c>
      <c r="AE124" s="392"/>
      <c r="AF124" s="385"/>
      <c r="AG124" s="385">
        <f>Roles!$D$6</f>
        <v>0.1</v>
      </c>
      <c r="AH124" s="385"/>
      <c r="AI124" s="205">
        <f t="shared" si="12"/>
        <v>0</v>
      </c>
      <c r="AJ124" s="392"/>
      <c r="AK124" s="385"/>
      <c r="AL124" s="385">
        <f>Roles!$D$6</f>
        <v>0.1</v>
      </c>
      <c r="AM124" s="385"/>
      <c r="AN124" s="205">
        <f t="shared" si="13"/>
        <v>0</v>
      </c>
      <c r="AO124" s="392"/>
      <c r="AP124" s="385"/>
      <c r="AQ124" s="385">
        <f>Roles!$D$6</f>
        <v>0.1</v>
      </c>
      <c r="AR124" s="385"/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 t="shared" si="1"/>
        <v>2</v>
      </c>
      <c r="F125" s="80">
        <v>3.0</v>
      </c>
      <c r="G125" s="105">
        <f t="shared" si="2"/>
        <v>0.002583979328</v>
      </c>
      <c r="H125" s="47">
        <f t="shared" si="104"/>
        <v>0.3815676141</v>
      </c>
      <c r="I125" s="231">
        <f t="shared" si="102"/>
        <v>2</v>
      </c>
      <c r="J125" s="172">
        <f t="shared" si="105"/>
        <v>109</v>
      </c>
      <c r="K125" s="115">
        <f t="shared" si="3"/>
        <v>0.1602941176</v>
      </c>
      <c r="L125" s="336">
        <f t="shared" si="103"/>
        <v>0.88</v>
      </c>
      <c r="M125" s="172">
        <f t="shared" si="106"/>
        <v>47.96</v>
      </c>
      <c r="N125" s="7"/>
      <c r="O125" s="205">
        <f t="shared" si="7"/>
        <v>0.6666666667</v>
      </c>
      <c r="P125" s="391">
        <v>2.0</v>
      </c>
      <c r="Q125" s="385"/>
      <c r="R125" s="385">
        <f>Roles!$D$5</f>
        <v>0.44</v>
      </c>
      <c r="S125" s="385">
        <f t="shared" si="8"/>
        <v>0.88</v>
      </c>
      <c r="T125" s="205">
        <f t="shared" si="9"/>
        <v>0</v>
      </c>
      <c r="U125" s="392"/>
      <c r="V125" s="385"/>
      <c r="W125" s="385">
        <f>Roles!$D$6</f>
        <v>0.1</v>
      </c>
      <c r="X125" s="385"/>
      <c r="Y125" s="205">
        <f t="shared" si="10"/>
        <v>0</v>
      </c>
      <c r="Z125" s="392"/>
      <c r="AA125" s="385"/>
      <c r="AB125" s="385">
        <f>Roles!$D$6</f>
        <v>0.1</v>
      </c>
      <c r="AC125" s="385"/>
      <c r="AD125" s="205">
        <f t="shared" si="11"/>
        <v>0</v>
      </c>
      <c r="AE125" s="392"/>
      <c r="AF125" s="385"/>
      <c r="AG125" s="385">
        <f>Roles!$D$6</f>
        <v>0.1</v>
      </c>
      <c r="AH125" s="385"/>
      <c r="AI125" s="205">
        <f t="shared" si="12"/>
        <v>0</v>
      </c>
      <c r="AJ125" s="392"/>
      <c r="AK125" s="385"/>
      <c r="AL125" s="385">
        <f>Roles!$D$6</f>
        <v>0.1</v>
      </c>
      <c r="AM125" s="385"/>
      <c r="AN125" s="205">
        <f t="shared" si="13"/>
        <v>0</v>
      </c>
      <c r="AO125" s="392"/>
      <c r="AP125" s="385"/>
      <c r="AQ125" s="385">
        <f>Roles!$D$6</f>
        <v>0.1</v>
      </c>
      <c r="AR125" s="385"/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 t="shared" si="1"/>
        <v>2</v>
      </c>
      <c r="F126" s="80">
        <v>2.0</v>
      </c>
      <c r="G126" s="105">
        <f t="shared" si="2"/>
        <v>0.001722652885</v>
      </c>
      <c r="H126" s="47">
        <f t="shared" si="104"/>
        <v>0.383290267</v>
      </c>
      <c r="I126" s="231">
        <f t="shared" si="102"/>
        <v>4</v>
      </c>
      <c r="J126" s="172">
        <f t="shared" si="105"/>
        <v>113</v>
      </c>
      <c r="K126" s="115">
        <f t="shared" si="3"/>
        <v>0.1661764706</v>
      </c>
      <c r="L126" s="336">
        <f t="shared" si="103"/>
        <v>1.76</v>
      </c>
      <c r="M126" s="172">
        <f t="shared" si="106"/>
        <v>49.72</v>
      </c>
      <c r="N126" s="7"/>
      <c r="O126" s="205">
        <f t="shared" si="7"/>
        <v>2</v>
      </c>
      <c r="P126" s="391">
        <v>4.0</v>
      </c>
      <c r="Q126" s="385"/>
      <c r="R126" s="385">
        <f>Roles!$D$5</f>
        <v>0.44</v>
      </c>
      <c r="S126" s="385">
        <f t="shared" si="8"/>
        <v>1.76</v>
      </c>
      <c r="T126" s="205">
        <f t="shared" si="9"/>
        <v>0</v>
      </c>
      <c r="U126" s="392"/>
      <c r="V126" s="385"/>
      <c r="W126" s="385">
        <f>Roles!$D$6</f>
        <v>0.1</v>
      </c>
      <c r="X126" s="385"/>
      <c r="Y126" s="205">
        <f t="shared" si="10"/>
        <v>0</v>
      </c>
      <c r="Z126" s="392"/>
      <c r="AA126" s="385"/>
      <c r="AB126" s="385">
        <f>Roles!$D$6</f>
        <v>0.1</v>
      </c>
      <c r="AC126" s="385"/>
      <c r="AD126" s="205">
        <f t="shared" si="11"/>
        <v>0</v>
      </c>
      <c r="AE126" s="392"/>
      <c r="AF126" s="385"/>
      <c r="AG126" s="385">
        <f>Roles!$D$6</f>
        <v>0.1</v>
      </c>
      <c r="AH126" s="385"/>
      <c r="AI126" s="205">
        <f t="shared" si="12"/>
        <v>0</v>
      </c>
      <c r="AJ126" s="392"/>
      <c r="AK126" s="385"/>
      <c r="AL126" s="385">
        <f>Roles!$D$6</f>
        <v>0.1</v>
      </c>
      <c r="AM126" s="385"/>
      <c r="AN126" s="205">
        <f t="shared" si="13"/>
        <v>0</v>
      </c>
      <c r="AO126" s="392"/>
      <c r="AP126" s="385"/>
      <c r="AQ126" s="385">
        <f>Roles!$D$6</f>
        <v>0.1</v>
      </c>
      <c r="AR126" s="385"/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 t="shared" si="1"/>
        <v>8</v>
      </c>
      <c r="F127" s="246">
        <f>SUM(F128:F130)</f>
        <v>64</v>
      </c>
      <c r="G127" s="105">
        <f t="shared" si="2"/>
        <v>0.05512489233</v>
      </c>
      <c r="H127" s="226">
        <f>H130</f>
        <v>0.4384151593</v>
      </c>
      <c r="I127" s="247">
        <f>SUM(I128:I130)</f>
        <v>4</v>
      </c>
      <c r="J127" s="247">
        <f>J130</f>
        <v>117</v>
      </c>
      <c r="K127" s="167">
        <f t="shared" si="3"/>
        <v>0.1720588235</v>
      </c>
      <c r="L127" s="247">
        <f>SUM(L128:L130)</f>
        <v>1.76</v>
      </c>
      <c r="M127" s="247">
        <f>M130</f>
        <v>51.48</v>
      </c>
      <c r="N127" s="7"/>
      <c r="O127" s="205">
        <f t="shared" si="7"/>
        <v>0</v>
      </c>
      <c r="P127" s="89"/>
      <c r="Q127" s="385"/>
      <c r="R127" s="385">
        <f>Roles!$D$5</f>
        <v>0.44</v>
      </c>
      <c r="S127" s="385">
        <f t="shared" si="8"/>
        <v>0</v>
      </c>
      <c r="T127" s="205">
        <f t="shared" si="9"/>
        <v>0</v>
      </c>
      <c r="U127" s="392"/>
      <c r="V127" s="385"/>
      <c r="W127" s="385">
        <f>Roles!$D$6</f>
        <v>0.1</v>
      </c>
      <c r="X127" s="385"/>
      <c r="Y127" s="205">
        <f t="shared" si="10"/>
        <v>0</v>
      </c>
      <c r="Z127" s="392"/>
      <c r="AA127" s="385"/>
      <c r="AB127" s="385">
        <f>Roles!$D$6</f>
        <v>0.1</v>
      </c>
      <c r="AC127" s="385"/>
      <c r="AD127" s="205">
        <f t="shared" si="11"/>
        <v>0</v>
      </c>
      <c r="AE127" s="392"/>
      <c r="AF127" s="385"/>
      <c r="AG127" s="385">
        <f>Roles!$D$6</f>
        <v>0.1</v>
      </c>
      <c r="AH127" s="385"/>
      <c r="AI127" s="205">
        <f t="shared" si="12"/>
        <v>0</v>
      </c>
      <c r="AJ127" s="392"/>
      <c r="AK127" s="385"/>
      <c r="AL127" s="385">
        <f>Roles!$D$6</f>
        <v>0.1</v>
      </c>
      <c r="AM127" s="385"/>
      <c r="AN127" s="205">
        <f t="shared" si="13"/>
        <v>0</v>
      </c>
      <c r="AO127" s="392"/>
      <c r="AP127" s="385"/>
      <c r="AQ127" s="385">
        <f>Roles!$D$6</f>
        <v>0.1</v>
      </c>
      <c r="AR127" s="385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 t="shared" si="1"/>
        <v>4</v>
      </c>
      <c r="F128" s="80">
        <v>30.0</v>
      </c>
      <c r="G128" s="105">
        <f t="shared" si="2"/>
        <v>0.02583979328</v>
      </c>
      <c r="H128" s="47">
        <f>H126+G128</f>
        <v>0.4091300603</v>
      </c>
      <c r="I128" s="231">
        <f t="shared" ref="I128:I130" si="107">P128+U128+Z128+AE128+AJ128+AO128</f>
        <v>0</v>
      </c>
      <c r="J128" s="172">
        <f>J126+I128</f>
        <v>113</v>
      </c>
      <c r="K128" s="115">
        <f t="shared" si="3"/>
        <v>0.1661764706</v>
      </c>
      <c r="L128" s="336">
        <f t="shared" ref="L128:L130" si="108">S128+X128+AC128+AH128+AM128+AR128</f>
        <v>0</v>
      </c>
      <c r="M128" s="172">
        <f>M126+L128</f>
        <v>49.72</v>
      </c>
      <c r="N128" s="7"/>
      <c r="O128" s="205">
        <f t="shared" si="7"/>
        <v>0</v>
      </c>
      <c r="P128" s="391">
        <v>0.0</v>
      </c>
      <c r="Q128" s="385"/>
      <c r="R128" s="385">
        <f>Roles!$D$5</f>
        <v>0.44</v>
      </c>
      <c r="S128" s="385">
        <f t="shared" si="8"/>
        <v>0</v>
      </c>
      <c r="T128" s="205">
        <f t="shared" si="9"/>
        <v>0</v>
      </c>
      <c r="U128" s="392"/>
      <c r="V128" s="385"/>
      <c r="W128" s="385">
        <f>Roles!$D$6</f>
        <v>0.1</v>
      </c>
      <c r="X128" s="385"/>
      <c r="Y128" s="205">
        <f t="shared" si="10"/>
        <v>0</v>
      </c>
      <c r="Z128" s="392"/>
      <c r="AA128" s="385"/>
      <c r="AB128" s="385">
        <f>Roles!$D$6</f>
        <v>0.1</v>
      </c>
      <c r="AC128" s="385"/>
      <c r="AD128" s="205">
        <f t="shared" si="11"/>
        <v>0</v>
      </c>
      <c r="AE128" s="392"/>
      <c r="AF128" s="385"/>
      <c r="AG128" s="385">
        <f>Roles!$D$6</f>
        <v>0.1</v>
      </c>
      <c r="AH128" s="385"/>
      <c r="AI128" s="205">
        <f t="shared" si="12"/>
        <v>0</v>
      </c>
      <c r="AJ128" s="392"/>
      <c r="AK128" s="385"/>
      <c r="AL128" s="385">
        <f>Roles!$D$6</f>
        <v>0.1</v>
      </c>
      <c r="AM128" s="385"/>
      <c r="AN128" s="205">
        <f t="shared" si="13"/>
        <v>0</v>
      </c>
      <c r="AO128" s="392"/>
      <c r="AP128" s="385"/>
      <c r="AQ128" s="385">
        <f>Roles!$D$6</f>
        <v>0.1</v>
      </c>
      <c r="AR128" s="385"/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 t="shared" si="1"/>
        <v>4</v>
      </c>
      <c r="F129" s="80">
        <v>30.0</v>
      </c>
      <c r="G129" s="105">
        <f t="shared" si="2"/>
        <v>0.02583979328</v>
      </c>
      <c r="H129" s="47">
        <f t="shared" ref="H129:H130" si="109">H128+G129</f>
        <v>0.4349698536</v>
      </c>
      <c r="I129" s="231">
        <f t="shared" si="107"/>
        <v>0</v>
      </c>
      <c r="J129" s="172">
        <f t="shared" ref="J129:J130" si="110">J128+I129</f>
        <v>113</v>
      </c>
      <c r="K129" s="115">
        <f t="shared" si="3"/>
        <v>0.1661764706</v>
      </c>
      <c r="L129" s="336">
        <f t="shared" si="108"/>
        <v>0</v>
      </c>
      <c r="M129" s="172">
        <f t="shared" ref="M129:M130" si="111">M128+L129</f>
        <v>49.72</v>
      </c>
      <c r="N129" s="7"/>
      <c r="O129" s="205">
        <f t="shared" si="7"/>
        <v>0</v>
      </c>
      <c r="P129" s="391">
        <v>0.0</v>
      </c>
      <c r="Q129" s="385"/>
      <c r="R129" s="385">
        <f>Roles!$D$5</f>
        <v>0.44</v>
      </c>
      <c r="S129" s="385">
        <f t="shared" si="8"/>
        <v>0</v>
      </c>
      <c r="T129" s="205">
        <f t="shared" si="9"/>
        <v>0</v>
      </c>
      <c r="U129" s="392"/>
      <c r="V129" s="385"/>
      <c r="W129" s="385">
        <f>Roles!$D$6</f>
        <v>0.1</v>
      </c>
      <c r="X129" s="385"/>
      <c r="Y129" s="205">
        <f t="shared" si="10"/>
        <v>0</v>
      </c>
      <c r="Z129" s="392"/>
      <c r="AA129" s="385"/>
      <c r="AB129" s="385">
        <f>Roles!$D$6</f>
        <v>0.1</v>
      </c>
      <c r="AC129" s="385"/>
      <c r="AD129" s="205">
        <f t="shared" si="11"/>
        <v>0</v>
      </c>
      <c r="AE129" s="392"/>
      <c r="AF129" s="385"/>
      <c r="AG129" s="385">
        <f>Roles!$D$6</f>
        <v>0.1</v>
      </c>
      <c r="AH129" s="385"/>
      <c r="AI129" s="205">
        <f t="shared" si="12"/>
        <v>0</v>
      </c>
      <c r="AJ129" s="392"/>
      <c r="AK129" s="385"/>
      <c r="AL129" s="385">
        <f>Roles!$D$6</f>
        <v>0.1</v>
      </c>
      <c r="AM129" s="385"/>
      <c r="AN129" s="205">
        <f t="shared" si="13"/>
        <v>0</v>
      </c>
      <c r="AO129" s="392"/>
      <c r="AP129" s="385"/>
      <c r="AQ129" s="385">
        <f>Roles!$D$6</f>
        <v>0.1</v>
      </c>
      <c r="AR129" s="385"/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 t="shared" si="1"/>
        <v>4</v>
      </c>
      <c r="F130" s="80">
        <v>4.0</v>
      </c>
      <c r="G130" s="105">
        <f t="shared" si="2"/>
        <v>0.003445305771</v>
      </c>
      <c r="H130" s="47">
        <f t="shared" si="109"/>
        <v>0.4384151593</v>
      </c>
      <c r="I130" s="231">
        <f t="shared" si="107"/>
        <v>4</v>
      </c>
      <c r="J130" s="172">
        <f t="shared" si="110"/>
        <v>117</v>
      </c>
      <c r="K130" s="115">
        <f t="shared" si="3"/>
        <v>0.1720588235</v>
      </c>
      <c r="L130" s="336">
        <f t="shared" si="108"/>
        <v>1.76</v>
      </c>
      <c r="M130" s="172">
        <f t="shared" si="111"/>
        <v>51.48</v>
      </c>
      <c r="N130" s="7"/>
      <c r="O130" s="205">
        <f t="shared" si="7"/>
        <v>1</v>
      </c>
      <c r="P130" s="391">
        <v>4.0</v>
      </c>
      <c r="Q130" s="385"/>
      <c r="R130" s="385">
        <f>Roles!$D$5</f>
        <v>0.44</v>
      </c>
      <c r="S130" s="385">
        <f t="shared" si="8"/>
        <v>1.76</v>
      </c>
      <c r="T130" s="205">
        <f t="shared" si="9"/>
        <v>0</v>
      </c>
      <c r="U130" s="392"/>
      <c r="V130" s="385"/>
      <c r="W130" s="385">
        <f>Roles!$D$6</f>
        <v>0.1</v>
      </c>
      <c r="X130" s="385"/>
      <c r="Y130" s="205">
        <f t="shared" si="10"/>
        <v>0</v>
      </c>
      <c r="Z130" s="392"/>
      <c r="AA130" s="385"/>
      <c r="AB130" s="385">
        <f>Roles!$D$6</f>
        <v>0.1</v>
      </c>
      <c r="AC130" s="385"/>
      <c r="AD130" s="205">
        <f t="shared" si="11"/>
        <v>0</v>
      </c>
      <c r="AE130" s="392"/>
      <c r="AF130" s="385"/>
      <c r="AG130" s="385">
        <f>Roles!$D$6</f>
        <v>0.1</v>
      </c>
      <c r="AH130" s="385"/>
      <c r="AI130" s="205">
        <f t="shared" si="12"/>
        <v>0</v>
      </c>
      <c r="AJ130" s="392"/>
      <c r="AK130" s="385"/>
      <c r="AL130" s="385">
        <f>Roles!$D$6</f>
        <v>0.1</v>
      </c>
      <c r="AM130" s="385"/>
      <c r="AN130" s="205">
        <f t="shared" si="13"/>
        <v>0</v>
      </c>
      <c r="AO130" s="392"/>
      <c r="AP130" s="385"/>
      <c r="AQ130" s="385">
        <f>Roles!$D$6</f>
        <v>0.1</v>
      </c>
      <c r="AR130" s="385"/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 t="shared" si="1"/>
        <v>6</v>
      </c>
      <c r="F131" s="246">
        <f>SUM(F132:F134)</f>
        <v>51</v>
      </c>
      <c r="G131" s="105">
        <f t="shared" si="2"/>
        <v>0.04392764858</v>
      </c>
      <c r="H131" s="226">
        <f>H134</f>
        <v>0.4823428079</v>
      </c>
      <c r="I131" s="247">
        <f>SUM(I132:I134)</f>
        <v>56</v>
      </c>
      <c r="J131" s="247">
        <f>J134</f>
        <v>173</v>
      </c>
      <c r="K131" s="167">
        <f t="shared" si="3"/>
        <v>0.2544117647</v>
      </c>
      <c r="L131" s="247">
        <f>SUM(L132:L134)</f>
        <v>24.64</v>
      </c>
      <c r="M131" s="247">
        <f>M134</f>
        <v>76.12</v>
      </c>
      <c r="N131" s="7"/>
      <c r="O131" s="205">
        <f t="shared" si="7"/>
        <v>0</v>
      </c>
      <c r="P131" s="89"/>
      <c r="Q131" s="385"/>
      <c r="R131" s="385">
        <f>Roles!$D$5</f>
        <v>0.44</v>
      </c>
      <c r="S131" s="385">
        <f t="shared" si="8"/>
        <v>0</v>
      </c>
      <c r="T131" s="205">
        <f t="shared" si="9"/>
        <v>0</v>
      </c>
      <c r="U131" s="392"/>
      <c r="V131" s="385"/>
      <c r="W131" s="385">
        <f>Roles!$D$6</f>
        <v>0.1</v>
      </c>
      <c r="X131" s="385"/>
      <c r="Y131" s="205">
        <f t="shared" si="10"/>
        <v>0</v>
      </c>
      <c r="Z131" s="392"/>
      <c r="AA131" s="385"/>
      <c r="AB131" s="385">
        <f>Roles!$D$6</f>
        <v>0.1</v>
      </c>
      <c r="AC131" s="385"/>
      <c r="AD131" s="205">
        <f t="shared" si="11"/>
        <v>0</v>
      </c>
      <c r="AE131" s="392"/>
      <c r="AF131" s="385"/>
      <c r="AG131" s="385">
        <f>Roles!$D$6</f>
        <v>0.1</v>
      </c>
      <c r="AH131" s="385"/>
      <c r="AI131" s="205">
        <f t="shared" si="12"/>
        <v>0</v>
      </c>
      <c r="AJ131" s="392"/>
      <c r="AK131" s="385"/>
      <c r="AL131" s="385">
        <f>Roles!$D$6</f>
        <v>0.1</v>
      </c>
      <c r="AM131" s="385"/>
      <c r="AN131" s="205">
        <f t="shared" si="13"/>
        <v>0</v>
      </c>
      <c r="AO131" s="392"/>
      <c r="AP131" s="385"/>
      <c r="AQ131" s="385">
        <f>Roles!$D$6</f>
        <v>0.1</v>
      </c>
      <c r="AR131" s="385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 t="shared" si="1"/>
        <v>1</v>
      </c>
      <c r="F132" s="80">
        <v>1.0</v>
      </c>
      <c r="G132" s="105">
        <f t="shared" si="2"/>
        <v>0.0008613264427</v>
      </c>
      <c r="H132" s="47">
        <f>H130+G132</f>
        <v>0.4392764858</v>
      </c>
      <c r="I132" s="231">
        <f t="shared" ref="I132:I134" si="112">P132+U132+Z132+AE132+AJ132+AO132</f>
        <v>1</v>
      </c>
      <c r="J132" s="172">
        <f>J130+I132</f>
        <v>118</v>
      </c>
      <c r="K132" s="115">
        <f t="shared" si="3"/>
        <v>0.1735294118</v>
      </c>
      <c r="L132" s="336">
        <f t="shared" ref="L132:L134" si="113">S132+X132+AC132+AH132+AM132+AR132</f>
        <v>0.44</v>
      </c>
      <c r="M132" s="172">
        <f>M130+L132</f>
        <v>51.92</v>
      </c>
      <c r="N132" s="7"/>
      <c r="O132" s="205">
        <f t="shared" si="7"/>
        <v>1</v>
      </c>
      <c r="P132" s="391">
        <v>1.0</v>
      </c>
      <c r="Q132" s="385"/>
      <c r="R132" s="385">
        <f>Roles!$D$5</f>
        <v>0.44</v>
      </c>
      <c r="S132" s="385">
        <f t="shared" si="8"/>
        <v>0.44</v>
      </c>
      <c r="T132" s="205">
        <f t="shared" si="9"/>
        <v>0</v>
      </c>
      <c r="U132" s="392"/>
      <c r="V132" s="385"/>
      <c r="W132" s="385">
        <f>Roles!$D$6</f>
        <v>0.1</v>
      </c>
      <c r="X132" s="385"/>
      <c r="Y132" s="205">
        <f t="shared" si="10"/>
        <v>0</v>
      </c>
      <c r="Z132" s="392"/>
      <c r="AA132" s="385"/>
      <c r="AB132" s="385">
        <f>Roles!$D$6</f>
        <v>0.1</v>
      </c>
      <c r="AC132" s="385"/>
      <c r="AD132" s="205">
        <f t="shared" si="11"/>
        <v>0</v>
      </c>
      <c r="AE132" s="392"/>
      <c r="AF132" s="385"/>
      <c r="AG132" s="385">
        <f>Roles!$D$6</f>
        <v>0.1</v>
      </c>
      <c r="AH132" s="385"/>
      <c r="AI132" s="205">
        <f t="shared" si="12"/>
        <v>0</v>
      </c>
      <c r="AJ132" s="392"/>
      <c r="AK132" s="385"/>
      <c r="AL132" s="385">
        <f>Roles!$D$6</f>
        <v>0.1</v>
      </c>
      <c r="AM132" s="385"/>
      <c r="AN132" s="205">
        <f t="shared" si="13"/>
        <v>0</v>
      </c>
      <c r="AO132" s="392"/>
      <c r="AP132" s="385"/>
      <c r="AQ132" s="385">
        <f>Roles!$D$6</f>
        <v>0.1</v>
      </c>
      <c r="AR132" s="385"/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 t="shared" si="1"/>
        <v>3</v>
      </c>
      <c r="F133" s="80">
        <v>25.0</v>
      </c>
      <c r="G133" s="105">
        <f t="shared" si="2"/>
        <v>0.02153316107</v>
      </c>
      <c r="H133" s="47">
        <f t="shared" ref="H133:H134" si="114">H132+G133</f>
        <v>0.4608096469</v>
      </c>
      <c r="I133" s="231">
        <f t="shared" si="112"/>
        <v>27</v>
      </c>
      <c r="J133" s="172">
        <f t="shared" ref="J133:J134" si="115">J132+I133</f>
        <v>145</v>
      </c>
      <c r="K133" s="115">
        <f t="shared" si="3"/>
        <v>0.2132352941</v>
      </c>
      <c r="L133" s="336">
        <f t="shared" si="113"/>
        <v>11.88</v>
      </c>
      <c r="M133" s="172">
        <f t="shared" ref="M133:M134" si="116">M132+L133</f>
        <v>63.8</v>
      </c>
      <c r="N133" s="7"/>
      <c r="O133" s="205">
        <f t="shared" si="7"/>
        <v>1.08</v>
      </c>
      <c r="P133" s="391">
        <v>27.0</v>
      </c>
      <c r="Q133" s="385"/>
      <c r="R133" s="385">
        <f>Roles!$D$5</f>
        <v>0.44</v>
      </c>
      <c r="S133" s="385">
        <f t="shared" si="8"/>
        <v>11.88</v>
      </c>
      <c r="T133" s="205">
        <f t="shared" si="9"/>
        <v>0</v>
      </c>
      <c r="U133" s="392"/>
      <c r="V133" s="385"/>
      <c r="W133" s="385">
        <f>Roles!$D$6</f>
        <v>0.1</v>
      </c>
      <c r="X133" s="385"/>
      <c r="Y133" s="205">
        <f t="shared" si="10"/>
        <v>0</v>
      </c>
      <c r="Z133" s="392"/>
      <c r="AA133" s="385"/>
      <c r="AB133" s="385">
        <f>Roles!$D$6</f>
        <v>0.1</v>
      </c>
      <c r="AC133" s="385"/>
      <c r="AD133" s="205">
        <f t="shared" si="11"/>
        <v>0</v>
      </c>
      <c r="AE133" s="392"/>
      <c r="AF133" s="385"/>
      <c r="AG133" s="385">
        <f>Roles!$D$6</f>
        <v>0.1</v>
      </c>
      <c r="AH133" s="385"/>
      <c r="AI133" s="205">
        <f t="shared" si="12"/>
        <v>0</v>
      </c>
      <c r="AJ133" s="392"/>
      <c r="AK133" s="385"/>
      <c r="AL133" s="385">
        <f>Roles!$D$6</f>
        <v>0.1</v>
      </c>
      <c r="AM133" s="385"/>
      <c r="AN133" s="205">
        <f t="shared" si="13"/>
        <v>0</v>
      </c>
      <c r="AO133" s="392"/>
      <c r="AP133" s="385"/>
      <c r="AQ133" s="385">
        <f>Roles!$D$6</f>
        <v>0.1</v>
      </c>
      <c r="AR133" s="385"/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 t="shared" si="1"/>
        <v>3</v>
      </c>
      <c r="F134" s="80">
        <v>25.0</v>
      </c>
      <c r="G134" s="105">
        <f t="shared" si="2"/>
        <v>0.02153316107</v>
      </c>
      <c r="H134" s="47">
        <f t="shared" si="114"/>
        <v>0.4823428079</v>
      </c>
      <c r="I134" s="231">
        <f t="shared" si="112"/>
        <v>28</v>
      </c>
      <c r="J134" s="172">
        <f t="shared" si="115"/>
        <v>173</v>
      </c>
      <c r="K134" s="115">
        <f t="shared" si="3"/>
        <v>0.2544117647</v>
      </c>
      <c r="L134" s="336">
        <f t="shared" si="113"/>
        <v>12.32</v>
      </c>
      <c r="M134" s="172">
        <f t="shared" si="116"/>
        <v>76.12</v>
      </c>
      <c r="N134" s="7"/>
      <c r="O134" s="205">
        <f t="shared" si="7"/>
        <v>1.12</v>
      </c>
      <c r="P134" s="391">
        <v>28.0</v>
      </c>
      <c r="Q134" s="385"/>
      <c r="R134" s="385">
        <f>Roles!$D$5</f>
        <v>0.44</v>
      </c>
      <c r="S134" s="385">
        <f t="shared" si="8"/>
        <v>12.32</v>
      </c>
      <c r="T134" s="205">
        <f t="shared" si="9"/>
        <v>0</v>
      </c>
      <c r="U134" s="392"/>
      <c r="V134" s="385"/>
      <c r="W134" s="385">
        <f>Roles!$D$6</f>
        <v>0.1</v>
      </c>
      <c r="X134" s="385"/>
      <c r="Y134" s="205">
        <f t="shared" si="10"/>
        <v>0</v>
      </c>
      <c r="Z134" s="392"/>
      <c r="AA134" s="385"/>
      <c r="AB134" s="385">
        <f>Roles!$D$6</f>
        <v>0.1</v>
      </c>
      <c r="AC134" s="385"/>
      <c r="AD134" s="205">
        <f t="shared" si="11"/>
        <v>0</v>
      </c>
      <c r="AE134" s="392"/>
      <c r="AF134" s="385"/>
      <c r="AG134" s="385">
        <f>Roles!$D$6</f>
        <v>0.1</v>
      </c>
      <c r="AH134" s="385"/>
      <c r="AI134" s="205">
        <f t="shared" si="12"/>
        <v>0</v>
      </c>
      <c r="AJ134" s="392"/>
      <c r="AK134" s="385"/>
      <c r="AL134" s="385">
        <f>Roles!$D$6</f>
        <v>0.1</v>
      </c>
      <c r="AM134" s="385"/>
      <c r="AN134" s="205">
        <f t="shared" si="13"/>
        <v>0</v>
      </c>
      <c r="AO134" s="392"/>
      <c r="AP134" s="385"/>
      <c r="AQ134" s="385">
        <f>Roles!$D$6</f>
        <v>0.1</v>
      </c>
      <c r="AR134" s="385"/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 t="shared" si="1"/>
        <v>4</v>
      </c>
      <c r="F135" s="246">
        <f>SUM(F136:F138)</f>
        <v>26</v>
      </c>
      <c r="G135" s="105">
        <f t="shared" si="2"/>
        <v>0.02239448751</v>
      </c>
      <c r="H135" s="226">
        <f>H138</f>
        <v>0.5047372954</v>
      </c>
      <c r="I135" s="247">
        <f>SUM(I136:I138)</f>
        <v>31</v>
      </c>
      <c r="J135" s="247">
        <f>J138</f>
        <v>204</v>
      </c>
      <c r="K135" s="167">
        <f t="shared" si="3"/>
        <v>0.3</v>
      </c>
      <c r="L135" s="247">
        <f>SUM(L136:L138)</f>
        <v>13.64</v>
      </c>
      <c r="M135" s="247">
        <f>M138</f>
        <v>89.76</v>
      </c>
      <c r="N135" s="7"/>
      <c r="O135" s="205">
        <f t="shared" si="7"/>
        <v>0</v>
      </c>
      <c r="P135" s="89"/>
      <c r="Q135" s="385"/>
      <c r="R135" s="385">
        <f>Roles!$D$5</f>
        <v>0.44</v>
      </c>
      <c r="S135" s="385">
        <f t="shared" si="8"/>
        <v>0</v>
      </c>
      <c r="T135" s="205">
        <f t="shared" si="9"/>
        <v>0</v>
      </c>
      <c r="U135" s="392"/>
      <c r="V135" s="385"/>
      <c r="W135" s="385">
        <f>Roles!$D$6</f>
        <v>0.1</v>
      </c>
      <c r="X135" s="385"/>
      <c r="Y135" s="205">
        <f t="shared" si="10"/>
        <v>0</v>
      </c>
      <c r="Z135" s="392"/>
      <c r="AA135" s="385"/>
      <c r="AB135" s="385">
        <f>Roles!$D$6</f>
        <v>0.1</v>
      </c>
      <c r="AC135" s="385"/>
      <c r="AD135" s="205">
        <f t="shared" si="11"/>
        <v>0</v>
      </c>
      <c r="AE135" s="392"/>
      <c r="AF135" s="385"/>
      <c r="AG135" s="385">
        <f>Roles!$D$6</f>
        <v>0.1</v>
      </c>
      <c r="AH135" s="385"/>
      <c r="AI135" s="205">
        <f t="shared" si="12"/>
        <v>0</v>
      </c>
      <c r="AJ135" s="392"/>
      <c r="AK135" s="385"/>
      <c r="AL135" s="385">
        <f>Roles!$D$6</f>
        <v>0.1</v>
      </c>
      <c r="AM135" s="385"/>
      <c r="AN135" s="205">
        <f t="shared" si="13"/>
        <v>0</v>
      </c>
      <c r="AO135" s="392"/>
      <c r="AP135" s="385"/>
      <c r="AQ135" s="385">
        <f>Roles!$D$6</f>
        <v>0.1</v>
      </c>
      <c r="AR135" s="385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 t="shared" si="1"/>
        <v>2</v>
      </c>
      <c r="F136" s="80">
        <v>10.0</v>
      </c>
      <c r="G136" s="105">
        <f t="shared" si="2"/>
        <v>0.008613264427</v>
      </c>
      <c r="H136" s="47">
        <f>H134+G136</f>
        <v>0.4909560724</v>
      </c>
      <c r="I136" s="231">
        <f t="shared" ref="I136:I138" si="117">P136+U136+Z136+AE136+AJ136+AO136</f>
        <v>12</v>
      </c>
      <c r="J136" s="172">
        <f>J134+I136</f>
        <v>185</v>
      </c>
      <c r="K136" s="115">
        <f t="shared" si="3"/>
        <v>0.2720588235</v>
      </c>
      <c r="L136" s="336">
        <f t="shared" ref="L136:L138" si="118">S136+X136+AC136+AH136+AM136+AR136</f>
        <v>5.28</v>
      </c>
      <c r="M136" s="172">
        <f>M134+L136</f>
        <v>81.4</v>
      </c>
      <c r="N136" s="7"/>
      <c r="O136" s="205">
        <f t="shared" si="7"/>
        <v>1.2</v>
      </c>
      <c r="P136" s="391">
        <v>12.0</v>
      </c>
      <c r="Q136" s="385"/>
      <c r="R136" s="385">
        <f>Roles!$D$5</f>
        <v>0.44</v>
      </c>
      <c r="S136" s="385">
        <f t="shared" si="8"/>
        <v>5.28</v>
      </c>
      <c r="T136" s="205">
        <f t="shared" si="9"/>
        <v>0</v>
      </c>
      <c r="U136" s="392"/>
      <c r="V136" s="385"/>
      <c r="W136" s="385">
        <f>Roles!$D$6</f>
        <v>0.1</v>
      </c>
      <c r="X136" s="385"/>
      <c r="Y136" s="205">
        <f t="shared" si="10"/>
        <v>0</v>
      </c>
      <c r="Z136" s="392"/>
      <c r="AA136" s="385"/>
      <c r="AB136" s="385">
        <f>Roles!$D$6</f>
        <v>0.1</v>
      </c>
      <c r="AC136" s="385"/>
      <c r="AD136" s="205">
        <f t="shared" si="11"/>
        <v>0</v>
      </c>
      <c r="AE136" s="392"/>
      <c r="AF136" s="385"/>
      <c r="AG136" s="385">
        <f>Roles!$D$6</f>
        <v>0.1</v>
      </c>
      <c r="AH136" s="385"/>
      <c r="AI136" s="205">
        <f t="shared" si="12"/>
        <v>0</v>
      </c>
      <c r="AJ136" s="392"/>
      <c r="AK136" s="385"/>
      <c r="AL136" s="385">
        <f>Roles!$D$6</f>
        <v>0.1</v>
      </c>
      <c r="AM136" s="385"/>
      <c r="AN136" s="205">
        <f t="shared" si="13"/>
        <v>0</v>
      </c>
      <c r="AO136" s="392"/>
      <c r="AP136" s="385"/>
      <c r="AQ136" s="385">
        <f>Roles!$D$6</f>
        <v>0.1</v>
      </c>
      <c r="AR136" s="385"/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 t="shared" si="1"/>
        <v>1</v>
      </c>
      <c r="F137" s="80">
        <v>1.0</v>
      </c>
      <c r="G137" s="105">
        <f t="shared" si="2"/>
        <v>0.0008613264427</v>
      </c>
      <c r="H137" s="186">
        <f t="shared" ref="H137:H138" si="119">H136+G137</f>
        <v>0.4918173988</v>
      </c>
      <c r="I137" s="231">
        <f t="shared" si="117"/>
        <v>1</v>
      </c>
      <c r="J137" s="233">
        <f t="shared" ref="J137:J138" si="120">J136+I137</f>
        <v>186</v>
      </c>
      <c r="K137" s="340">
        <f t="shared" si="3"/>
        <v>0.2735294118</v>
      </c>
      <c r="L137" s="336">
        <f t="shared" si="118"/>
        <v>0.44</v>
      </c>
      <c r="M137" s="233">
        <f t="shared" ref="M137:M138" si="121">M136+L137</f>
        <v>81.84</v>
      </c>
      <c r="N137" s="7"/>
      <c r="O137" s="205">
        <f t="shared" si="7"/>
        <v>1</v>
      </c>
      <c r="P137" s="391">
        <v>1.0</v>
      </c>
      <c r="Q137" s="385"/>
      <c r="R137" s="385">
        <f>Roles!$D$5</f>
        <v>0.44</v>
      </c>
      <c r="S137" s="385">
        <f t="shared" si="8"/>
        <v>0.44</v>
      </c>
      <c r="T137" s="205">
        <f t="shared" si="9"/>
        <v>0</v>
      </c>
      <c r="U137" s="392"/>
      <c r="V137" s="385"/>
      <c r="W137" s="385">
        <f>Roles!$D$6</f>
        <v>0.1</v>
      </c>
      <c r="X137" s="385"/>
      <c r="Y137" s="205">
        <f t="shared" si="10"/>
        <v>0</v>
      </c>
      <c r="Z137" s="392"/>
      <c r="AA137" s="385"/>
      <c r="AB137" s="385">
        <f>Roles!$D$6</f>
        <v>0.1</v>
      </c>
      <c r="AC137" s="385"/>
      <c r="AD137" s="205">
        <f t="shared" si="11"/>
        <v>0</v>
      </c>
      <c r="AE137" s="392"/>
      <c r="AF137" s="385"/>
      <c r="AG137" s="385">
        <f>Roles!$D$6</f>
        <v>0.1</v>
      </c>
      <c r="AH137" s="385"/>
      <c r="AI137" s="205">
        <f t="shared" si="12"/>
        <v>0</v>
      </c>
      <c r="AJ137" s="392"/>
      <c r="AK137" s="385"/>
      <c r="AL137" s="385">
        <f>Roles!$D$6</f>
        <v>0.1</v>
      </c>
      <c r="AM137" s="385"/>
      <c r="AN137" s="205">
        <f t="shared" si="13"/>
        <v>0</v>
      </c>
      <c r="AO137" s="392"/>
      <c r="AP137" s="385"/>
      <c r="AQ137" s="385">
        <f>Roles!$D$6</f>
        <v>0.1</v>
      </c>
      <c r="AR137" s="385"/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 t="shared" si="1"/>
        <v>2</v>
      </c>
      <c r="F138" s="80">
        <v>15.0</v>
      </c>
      <c r="G138" s="105">
        <f t="shared" si="2"/>
        <v>0.01291989664</v>
      </c>
      <c r="H138" s="186">
        <f t="shared" si="119"/>
        <v>0.5047372954</v>
      </c>
      <c r="I138" s="231">
        <f t="shared" si="117"/>
        <v>18</v>
      </c>
      <c r="J138" s="172">
        <f t="shared" si="120"/>
        <v>204</v>
      </c>
      <c r="K138" s="115">
        <f t="shared" si="3"/>
        <v>0.3</v>
      </c>
      <c r="L138" s="336">
        <f t="shared" si="118"/>
        <v>7.92</v>
      </c>
      <c r="M138" s="172">
        <f t="shared" si="121"/>
        <v>89.76</v>
      </c>
      <c r="N138" s="7"/>
      <c r="O138" s="205">
        <f t="shared" si="7"/>
        <v>1.2</v>
      </c>
      <c r="P138" s="391">
        <v>18.0</v>
      </c>
      <c r="Q138" s="385"/>
      <c r="R138" s="385">
        <f>Roles!$D$5</f>
        <v>0.44</v>
      </c>
      <c r="S138" s="385">
        <f t="shared" si="8"/>
        <v>7.92</v>
      </c>
      <c r="T138" s="205">
        <f t="shared" si="9"/>
        <v>0</v>
      </c>
      <c r="U138" s="392"/>
      <c r="V138" s="385"/>
      <c r="W138" s="385">
        <f>Roles!$D$6</f>
        <v>0.1</v>
      </c>
      <c r="X138" s="385"/>
      <c r="Y138" s="205">
        <f t="shared" si="10"/>
        <v>0</v>
      </c>
      <c r="Z138" s="392"/>
      <c r="AA138" s="385"/>
      <c r="AB138" s="385">
        <f>Roles!$D$6</f>
        <v>0.1</v>
      </c>
      <c r="AC138" s="385"/>
      <c r="AD138" s="205">
        <f t="shared" si="11"/>
        <v>0</v>
      </c>
      <c r="AE138" s="392"/>
      <c r="AF138" s="385"/>
      <c r="AG138" s="385">
        <f>Roles!$D$6</f>
        <v>0.1</v>
      </c>
      <c r="AH138" s="385"/>
      <c r="AI138" s="205">
        <f t="shared" si="12"/>
        <v>0</v>
      </c>
      <c r="AJ138" s="392"/>
      <c r="AK138" s="385"/>
      <c r="AL138" s="385">
        <f>Roles!$D$6</f>
        <v>0.1</v>
      </c>
      <c r="AM138" s="385"/>
      <c r="AN138" s="205">
        <f t="shared" si="13"/>
        <v>0</v>
      </c>
      <c r="AO138" s="392"/>
      <c r="AP138" s="385"/>
      <c r="AQ138" s="385">
        <f>Roles!$D$6</f>
        <v>0.1</v>
      </c>
      <c r="AR138" s="385"/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 t="shared" si="1"/>
        <v>3</v>
      </c>
      <c r="F139" s="246">
        <f>SUM(F140:F144)</f>
        <v>28</v>
      </c>
      <c r="G139" s="105">
        <f t="shared" si="2"/>
        <v>0.0241171404</v>
      </c>
      <c r="H139" s="226">
        <f>H144</f>
        <v>0.5288544358</v>
      </c>
      <c r="I139" s="247">
        <f>SUM(I140:I144)</f>
        <v>12</v>
      </c>
      <c r="J139" s="247">
        <f>J144</f>
        <v>216</v>
      </c>
      <c r="K139" s="167">
        <f t="shared" si="3"/>
        <v>0.3176470588</v>
      </c>
      <c r="L139" s="247">
        <f>SUM(L140:L144)</f>
        <v>5.28</v>
      </c>
      <c r="M139" s="247">
        <f>M144</f>
        <v>95.04</v>
      </c>
      <c r="N139" s="7"/>
      <c r="O139" s="205">
        <f t="shared" si="7"/>
        <v>0</v>
      </c>
      <c r="P139" s="89"/>
      <c r="Q139" s="385"/>
      <c r="R139" s="385">
        <f>Roles!$D$5</f>
        <v>0.44</v>
      </c>
      <c r="S139" s="385">
        <f t="shared" si="8"/>
        <v>0</v>
      </c>
      <c r="T139" s="205">
        <f t="shared" si="9"/>
        <v>0</v>
      </c>
      <c r="U139" s="392"/>
      <c r="V139" s="385"/>
      <c r="W139" s="385">
        <f>Roles!$D$6</f>
        <v>0.1</v>
      </c>
      <c r="X139" s="385"/>
      <c r="Y139" s="205">
        <f t="shared" si="10"/>
        <v>0</v>
      </c>
      <c r="Z139" s="392"/>
      <c r="AA139" s="385"/>
      <c r="AB139" s="385">
        <f>Roles!$D$6</f>
        <v>0.1</v>
      </c>
      <c r="AC139" s="385"/>
      <c r="AD139" s="205">
        <f t="shared" si="11"/>
        <v>0</v>
      </c>
      <c r="AE139" s="392"/>
      <c r="AF139" s="385"/>
      <c r="AG139" s="385">
        <f>Roles!$D$6</f>
        <v>0.1</v>
      </c>
      <c r="AH139" s="385"/>
      <c r="AI139" s="205">
        <f t="shared" si="12"/>
        <v>0</v>
      </c>
      <c r="AJ139" s="392"/>
      <c r="AK139" s="385"/>
      <c r="AL139" s="385">
        <f>Roles!$D$6</f>
        <v>0.1</v>
      </c>
      <c r="AM139" s="385"/>
      <c r="AN139" s="205">
        <f t="shared" si="13"/>
        <v>0</v>
      </c>
      <c r="AO139" s="392"/>
      <c r="AP139" s="385"/>
      <c r="AQ139" s="385">
        <f>Roles!$D$6</f>
        <v>0.1</v>
      </c>
      <c r="AR139" s="385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 t="shared" si="1"/>
        <v>2</v>
      </c>
      <c r="F140" s="80">
        <v>10.0</v>
      </c>
      <c r="G140" s="105">
        <f t="shared" si="2"/>
        <v>0.008613264427</v>
      </c>
      <c r="H140" s="47">
        <f>H138+G140</f>
        <v>0.5133505599</v>
      </c>
      <c r="I140" s="231">
        <f t="shared" ref="I140:I144" si="122">P140+U140+Z140+AE140+AJ140+AO140</f>
        <v>12</v>
      </c>
      <c r="J140" s="172">
        <f>J138+I140</f>
        <v>216</v>
      </c>
      <c r="K140" s="115">
        <f t="shared" si="3"/>
        <v>0.3176470588</v>
      </c>
      <c r="L140" s="336">
        <f t="shared" ref="L140:L144" si="123">S140+X140+AC140+AH140+AM140+AR140</f>
        <v>5.28</v>
      </c>
      <c r="M140" s="172">
        <f>M138+L140</f>
        <v>95.04</v>
      </c>
      <c r="N140" s="7"/>
      <c r="O140" s="205">
        <f t="shared" si="7"/>
        <v>1.2</v>
      </c>
      <c r="P140" s="391">
        <v>12.0</v>
      </c>
      <c r="Q140" s="385"/>
      <c r="R140" s="385">
        <f>Roles!$D$5</f>
        <v>0.44</v>
      </c>
      <c r="S140" s="385">
        <f t="shared" si="8"/>
        <v>5.28</v>
      </c>
      <c r="T140" s="205">
        <f t="shared" si="9"/>
        <v>0</v>
      </c>
      <c r="U140" s="392"/>
      <c r="V140" s="385"/>
      <c r="W140" s="385">
        <f>Roles!$D$6</f>
        <v>0.1</v>
      </c>
      <c r="X140" s="385"/>
      <c r="Y140" s="205">
        <f t="shared" si="10"/>
        <v>0</v>
      </c>
      <c r="Z140" s="392"/>
      <c r="AA140" s="385"/>
      <c r="AB140" s="385">
        <f>Roles!$D$6</f>
        <v>0.1</v>
      </c>
      <c r="AC140" s="385"/>
      <c r="AD140" s="205">
        <f t="shared" si="11"/>
        <v>0</v>
      </c>
      <c r="AE140" s="392"/>
      <c r="AF140" s="385"/>
      <c r="AG140" s="385">
        <f>Roles!$D$6</f>
        <v>0.1</v>
      </c>
      <c r="AH140" s="385"/>
      <c r="AI140" s="205">
        <f t="shared" si="12"/>
        <v>0</v>
      </c>
      <c r="AJ140" s="392"/>
      <c r="AK140" s="385"/>
      <c r="AL140" s="385">
        <f>Roles!$D$6</f>
        <v>0.1</v>
      </c>
      <c r="AM140" s="385"/>
      <c r="AN140" s="205">
        <f t="shared" si="13"/>
        <v>0</v>
      </c>
      <c r="AO140" s="392"/>
      <c r="AP140" s="385"/>
      <c r="AQ140" s="385">
        <f>Roles!$D$6</f>
        <v>0.1</v>
      </c>
      <c r="AR140" s="385"/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 t="shared" si="1"/>
        <v>2</v>
      </c>
      <c r="F141" s="80">
        <v>4.0</v>
      </c>
      <c r="G141" s="105">
        <f t="shared" si="2"/>
        <v>0.003445305771</v>
      </c>
      <c r="H141" s="47">
        <f t="shared" ref="H141:H145" si="124">H140+G141</f>
        <v>0.5167958656</v>
      </c>
      <c r="I141" s="231">
        <f t="shared" si="122"/>
        <v>0</v>
      </c>
      <c r="J141" s="172">
        <f t="shared" ref="J141:J145" si="125">J140+I141</f>
        <v>216</v>
      </c>
      <c r="K141" s="115">
        <f t="shared" si="3"/>
        <v>0.3176470588</v>
      </c>
      <c r="L141" s="336">
        <f t="shared" si="123"/>
        <v>0</v>
      </c>
      <c r="M141" s="172">
        <f t="shared" ref="M141:M145" si="126">M140+L141</f>
        <v>95.04</v>
      </c>
      <c r="N141" s="7"/>
      <c r="O141" s="205">
        <f t="shared" si="7"/>
        <v>0</v>
      </c>
      <c r="P141" s="391">
        <v>0.0</v>
      </c>
      <c r="Q141" s="385"/>
      <c r="R141" s="385">
        <f>Roles!$D$5</f>
        <v>0.44</v>
      </c>
      <c r="S141" s="385">
        <f t="shared" si="8"/>
        <v>0</v>
      </c>
      <c r="T141" s="205">
        <f t="shared" si="9"/>
        <v>0</v>
      </c>
      <c r="U141" s="392"/>
      <c r="V141" s="385"/>
      <c r="W141" s="385">
        <f>Roles!$D$6</f>
        <v>0.1</v>
      </c>
      <c r="X141" s="385"/>
      <c r="Y141" s="205">
        <f t="shared" si="10"/>
        <v>0</v>
      </c>
      <c r="Z141" s="392"/>
      <c r="AA141" s="385"/>
      <c r="AB141" s="385">
        <f>Roles!$D$6</f>
        <v>0.1</v>
      </c>
      <c r="AC141" s="385"/>
      <c r="AD141" s="205">
        <f t="shared" si="11"/>
        <v>0</v>
      </c>
      <c r="AE141" s="392"/>
      <c r="AF141" s="385"/>
      <c r="AG141" s="385">
        <f>Roles!$D$6</f>
        <v>0.1</v>
      </c>
      <c r="AH141" s="385"/>
      <c r="AI141" s="205">
        <f t="shared" si="12"/>
        <v>0</v>
      </c>
      <c r="AJ141" s="392"/>
      <c r="AK141" s="385"/>
      <c r="AL141" s="385">
        <f>Roles!$D$6</f>
        <v>0.1</v>
      </c>
      <c r="AM141" s="385"/>
      <c r="AN141" s="205">
        <f t="shared" si="13"/>
        <v>0</v>
      </c>
      <c r="AO141" s="392"/>
      <c r="AP141" s="385"/>
      <c r="AQ141" s="385">
        <f>Roles!$D$6</f>
        <v>0.1</v>
      </c>
      <c r="AR141" s="385"/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 t="shared" si="1"/>
        <v>1</v>
      </c>
      <c r="F142" s="80">
        <v>2.0</v>
      </c>
      <c r="G142" s="105">
        <f t="shared" si="2"/>
        <v>0.001722652885</v>
      </c>
      <c r="H142" s="47">
        <f t="shared" si="124"/>
        <v>0.5185185185</v>
      </c>
      <c r="I142" s="231">
        <f t="shared" si="122"/>
        <v>0</v>
      </c>
      <c r="J142" s="172">
        <f t="shared" si="125"/>
        <v>216</v>
      </c>
      <c r="K142" s="115">
        <f t="shared" si="3"/>
        <v>0.3176470588</v>
      </c>
      <c r="L142" s="336">
        <f t="shared" si="123"/>
        <v>0</v>
      </c>
      <c r="M142" s="172">
        <f t="shared" si="126"/>
        <v>95.04</v>
      </c>
      <c r="N142" s="7"/>
      <c r="O142" s="205">
        <f t="shared" si="7"/>
        <v>0</v>
      </c>
      <c r="P142" s="391">
        <v>0.0</v>
      </c>
      <c r="Q142" s="385"/>
      <c r="R142" s="385">
        <f>Roles!$D$5</f>
        <v>0.44</v>
      </c>
      <c r="S142" s="385">
        <f t="shared" si="8"/>
        <v>0</v>
      </c>
      <c r="T142" s="205">
        <f t="shared" si="9"/>
        <v>0</v>
      </c>
      <c r="U142" s="392"/>
      <c r="V142" s="385"/>
      <c r="W142" s="385">
        <f>Roles!$D$6</f>
        <v>0.1</v>
      </c>
      <c r="X142" s="385"/>
      <c r="Y142" s="205">
        <f t="shared" si="10"/>
        <v>0</v>
      </c>
      <c r="Z142" s="392"/>
      <c r="AA142" s="385"/>
      <c r="AB142" s="385">
        <f>Roles!$D$6</f>
        <v>0.1</v>
      </c>
      <c r="AC142" s="385"/>
      <c r="AD142" s="205">
        <f t="shared" si="11"/>
        <v>0</v>
      </c>
      <c r="AE142" s="392"/>
      <c r="AF142" s="385"/>
      <c r="AG142" s="385">
        <f>Roles!$D$6</f>
        <v>0.1</v>
      </c>
      <c r="AH142" s="385"/>
      <c r="AI142" s="205">
        <f t="shared" si="12"/>
        <v>0</v>
      </c>
      <c r="AJ142" s="392"/>
      <c r="AK142" s="385"/>
      <c r="AL142" s="385">
        <f>Roles!$D$6</f>
        <v>0.1</v>
      </c>
      <c r="AM142" s="385"/>
      <c r="AN142" s="205">
        <f t="shared" si="13"/>
        <v>0</v>
      </c>
      <c r="AO142" s="392"/>
      <c r="AP142" s="385"/>
      <c r="AQ142" s="385">
        <f>Roles!$D$6</f>
        <v>0.1</v>
      </c>
      <c r="AR142" s="385"/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 t="shared" si="1"/>
        <v>2</v>
      </c>
      <c r="F143" s="80">
        <v>10.0</v>
      </c>
      <c r="G143" s="105">
        <f t="shared" si="2"/>
        <v>0.008613264427</v>
      </c>
      <c r="H143" s="47">
        <f t="shared" si="124"/>
        <v>0.5271317829</v>
      </c>
      <c r="I143" s="231">
        <f t="shared" si="122"/>
        <v>0</v>
      </c>
      <c r="J143" s="172">
        <f t="shared" si="125"/>
        <v>216</v>
      </c>
      <c r="K143" s="115">
        <f t="shared" si="3"/>
        <v>0.3176470588</v>
      </c>
      <c r="L143" s="336">
        <f t="shared" si="123"/>
        <v>0</v>
      </c>
      <c r="M143" s="172">
        <f t="shared" si="126"/>
        <v>95.04</v>
      </c>
      <c r="N143" s="7"/>
      <c r="O143" s="205">
        <f t="shared" si="7"/>
        <v>0</v>
      </c>
      <c r="P143" s="391">
        <v>0.0</v>
      </c>
      <c r="Q143" s="385"/>
      <c r="R143" s="385">
        <f>Roles!$D$5</f>
        <v>0.44</v>
      </c>
      <c r="S143" s="385">
        <f t="shared" si="8"/>
        <v>0</v>
      </c>
      <c r="T143" s="205">
        <f t="shared" si="9"/>
        <v>0</v>
      </c>
      <c r="U143" s="392"/>
      <c r="V143" s="385"/>
      <c r="W143" s="385">
        <f>Roles!$D$6</f>
        <v>0.1</v>
      </c>
      <c r="X143" s="385"/>
      <c r="Y143" s="205">
        <f t="shared" si="10"/>
        <v>0</v>
      </c>
      <c r="Z143" s="392"/>
      <c r="AA143" s="385"/>
      <c r="AB143" s="385">
        <f>Roles!$D$6</f>
        <v>0.1</v>
      </c>
      <c r="AC143" s="385"/>
      <c r="AD143" s="205">
        <f t="shared" si="11"/>
        <v>0</v>
      </c>
      <c r="AE143" s="392"/>
      <c r="AF143" s="385"/>
      <c r="AG143" s="385">
        <f>Roles!$D$6</f>
        <v>0.1</v>
      </c>
      <c r="AH143" s="385"/>
      <c r="AI143" s="205">
        <f t="shared" si="12"/>
        <v>0</v>
      </c>
      <c r="AJ143" s="392"/>
      <c r="AK143" s="385"/>
      <c r="AL143" s="385">
        <f>Roles!$D$6</f>
        <v>0.1</v>
      </c>
      <c r="AM143" s="385"/>
      <c r="AN143" s="205">
        <f t="shared" si="13"/>
        <v>0</v>
      </c>
      <c r="AO143" s="392"/>
      <c r="AP143" s="385"/>
      <c r="AQ143" s="385">
        <f>Roles!$D$6</f>
        <v>0.1</v>
      </c>
      <c r="AR143" s="385"/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 t="shared" si="1"/>
        <v>1</v>
      </c>
      <c r="F144" s="80">
        <v>2.0</v>
      </c>
      <c r="G144" s="105">
        <f t="shared" si="2"/>
        <v>0.001722652885</v>
      </c>
      <c r="H144" s="47">
        <f t="shared" si="124"/>
        <v>0.5288544358</v>
      </c>
      <c r="I144" s="231">
        <f t="shared" si="122"/>
        <v>0</v>
      </c>
      <c r="J144" s="172">
        <f t="shared" si="125"/>
        <v>216</v>
      </c>
      <c r="K144" s="115">
        <f t="shared" si="3"/>
        <v>0.3176470588</v>
      </c>
      <c r="L144" s="336">
        <f t="shared" si="123"/>
        <v>0</v>
      </c>
      <c r="M144" s="172">
        <f t="shared" si="126"/>
        <v>95.04</v>
      </c>
      <c r="N144" s="7"/>
      <c r="O144" s="205">
        <f t="shared" si="7"/>
        <v>0</v>
      </c>
      <c r="P144" s="391">
        <v>0.0</v>
      </c>
      <c r="Q144" s="385"/>
      <c r="R144" s="385">
        <f>Roles!$D$5</f>
        <v>0.44</v>
      </c>
      <c r="S144" s="385">
        <f t="shared" si="8"/>
        <v>0</v>
      </c>
      <c r="T144" s="205">
        <f t="shared" si="9"/>
        <v>0</v>
      </c>
      <c r="U144" s="392"/>
      <c r="V144" s="385"/>
      <c r="W144" s="385">
        <f>Roles!$D$6</f>
        <v>0.1</v>
      </c>
      <c r="X144" s="385"/>
      <c r="Y144" s="205">
        <f t="shared" si="10"/>
        <v>0</v>
      </c>
      <c r="Z144" s="392"/>
      <c r="AA144" s="385"/>
      <c r="AB144" s="385">
        <f>Roles!$D$6</f>
        <v>0.1</v>
      </c>
      <c r="AC144" s="385"/>
      <c r="AD144" s="205">
        <f t="shared" si="11"/>
        <v>0</v>
      </c>
      <c r="AE144" s="392"/>
      <c r="AF144" s="385"/>
      <c r="AG144" s="385">
        <f>Roles!$D$6</f>
        <v>0.1</v>
      </c>
      <c r="AH144" s="385"/>
      <c r="AI144" s="205">
        <f t="shared" si="12"/>
        <v>0</v>
      </c>
      <c r="AJ144" s="392"/>
      <c r="AK144" s="385"/>
      <c r="AL144" s="385">
        <f>Roles!$D$6</f>
        <v>0.1</v>
      </c>
      <c r="AM144" s="385"/>
      <c r="AN144" s="205">
        <f t="shared" si="13"/>
        <v>0</v>
      </c>
      <c r="AO144" s="392"/>
      <c r="AP144" s="385"/>
      <c r="AQ144" s="385">
        <f>Roles!$D$6</f>
        <v>0.1</v>
      </c>
      <c r="AR144" s="385"/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 t="shared" si="1"/>
        <v>1</v>
      </c>
      <c r="F145" s="136">
        <v>0.0</v>
      </c>
      <c r="G145" s="105">
        <f t="shared" si="2"/>
        <v>0</v>
      </c>
      <c r="H145" s="115">
        <f t="shared" si="124"/>
        <v>0.5288544358</v>
      </c>
      <c r="I145" s="110">
        <f>F145</f>
        <v>0</v>
      </c>
      <c r="J145" s="110">
        <f t="shared" si="125"/>
        <v>216</v>
      </c>
      <c r="K145" s="115">
        <f t="shared" si="3"/>
        <v>0.3176470588</v>
      </c>
      <c r="L145" s="110">
        <v>0.0</v>
      </c>
      <c r="M145" s="110">
        <f t="shared" si="126"/>
        <v>95.04</v>
      </c>
      <c r="N145" s="7"/>
      <c r="O145" s="205" t="str">
        <f t="shared" si="7"/>
        <v>#DIV/0!</v>
      </c>
      <c r="P145" s="89"/>
      <c r="Q145" s="385"/>
      <c r="R145" s="385">
        <f>Roles!$D$5</f>
        <v>0.44</v>
      </c>
      <c r="S145" s="385">
        <f t="shared" si="8"/>
        <v>0</v>
      </c>
      <c r="T145" s="205" t="str">
        <f t="shared" si="9"/>
        <v>#DIV/0!</v>
      </c>
      <c r="U145" s="392"/>
      <c r="V145" s="385"/>
      <c r="W145" s="385">
        <f>Roles!$D$6</f>
        <v>0.1</v>
      </c>
      <c r="X145" s="385"/>
      <c r="Y145" s="205" t="str">
        <f t="shared" si="10"/>
        <v>#DIV/0!</v>
      </c>
      <c r="Z145" s="392"/>
      <c r="AA145" s="385"/>
      <c r="AB145" s="385">
        <f>Roles!$D$6</f>
        <v>0.1</v>
      </c>
      <c r="AC145" s="385"/>
      <c r="AD145" s="205" t="str">
        <f t="shared" si="11"/>
        <v>#DIV/0!</v>
      </c>
      <c r="AE145" s="392"/>
      <c r="AF145" s="385"/>
      <c r="AG145" s="385">
        <f>Roles!$D$6</f>
        <v>0.1</v>
      </c>
      <c r="AH145" s="385"/>
      <c r="AI145" s="205" t="str">
        <f t="shared" si="12"/>
        <v>#DIV/0!</v>
      </c>
      <c r="AJ145" s="392"/>
      <c r="AK145" s="385"/>
      <c r="AL145" s="385">
        <f>Roles!$D$6</f>
        <v>0.1</v>
      </c>
      <c r="AM145" s="385"/>
      <c r="AN145" s="205" t="str">
        <f t="shared" si="13"/>
        <v>#DIV/0!</v>
      </c>
      <c r="AO145" s="392"/>
      <c r="AP145" s="385"/>
      <c r="AQ145" s="385">
        <f>Roles!$D$6</f>
        <v>0.1</v>
      </c>
      <c r="AR145" s="385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 t="shared" si="1"/>
        <v>21</v>
      </c>
      <c r="F146" s="240">
        <f>F147+F154+F160+F166+F170+F174+F179</f>
        <v>219</v>
      </c>
      <c r="G146" s="105">
        <f t="shared" si="2"/>
        <v>0.188630491</v>
      </c>
      <c r="H146" s="224">
        <f>H184</f>
        <v>0.7174849268</v>
      </c>
      <c r="I146" s="241">
        <f>I147+I154+I160+I166+I170+I174+I179</f>
        <v>178</v>
      </c>
      <c r="J146" s="241">
        <f>J184</f>
        <v>394</v>
      </c>
      <c r="K146" s="138">
        <f t="shared" si="3"/>
        <v>0.5794117647</v>
      </c>
      <c r="L146" s="241">
        <f>L147+L154+L160+L166+L170+L174+L179</f>
        <v>78.32</v>
      </c>
      <c r="M146" s="241">
        <f>M184</f>
        <v>173.36</v>
      </c>
      <c r="N146" s="7"/>
      <c r="O146" s="205">
        <f t="shared" si="7"/>
        <v>0</v>
      </c>
      <c r="P146" s="89"/>
      <c r="Q146" s="385"/>
      <c r="R146" s="385">
        <f>Roles!$D$5</f>
        <v>0.44</v>
      </c>
      <c r="S146" s="385">
        <f t="shared" si="8"/>
        <v>0</v>
      </c>
      <c r="T146" s="205">
        <f t="shared" si="9"/>
        <v>0</v>
      </c>
      <c r="U146" s="392"/>
      <c r="V146" s="385"/>
      <c r="W146" s="385">
        <f>Roles!$D$6</f>
        <v>0.1</v>
      </c>
      <c r="X146" s="385"/>
      <c r="Y146" s="205">
        <f t="shared" si="10"/>
        <v>0</v>
      </c>
      <c r="Z146" s="392"/>
      <c r="AA146" s="385"/>
      <c r="AB146" s="385">
        <f>Roles!$D$6</f>
        <v>0.1</v>
      </c>
      <c r="AC146" s="385"/>
      <c r="AD146" s="205">
        <f t="shared" si="11"/>
        <v>0</v>
      </c>
      <c r="AE146" s="392"/>
      <c r="AF146" s="385"/>
      <c r="AG146" s="385">
        <f>Roles!$D$6</f>
        <v>0.1</v>
      </c>
      <c r="AH146" s="385"/>
      <c r="AI146" s="205">
        <f t="shared" si="12"/>
        <v>0</v>
      </c>
      <c r="AJ146" s="392"/>
      <c r="AK146" s="385"/>
      <c r="AL146" s="385">
        <f>Roles!$D$6</f>
        <v>0.1</v>
      </c>
      <c r="AM146" s="385"/>
      <c r="AN146" s="205">
        <f t="shared" si="13"/>
        <v>0</v>
      </c>
      <c r="AO146" s="392"/>
      <c r="AP146" s="385"/>
      <c r="AQ146" s="385">
        <f>Roles!$D$6</f>
        <v>0.1</v>
      </c>
      <c r="AR146" s="385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 t="shared" si="1"/>
        <v>8</v>
      </c>
      <c r="F147" s="246">
        <f>SUM(F148:F153)</f>
        <v>20</v>
      </c>
      <c r="G147" s="105">
        <f t="shared" si="2"/>
        <v>0.01722652885</v>
      </c>
      <c r="H147" s="226">
        <f>H153</f>
        <v>0.5460809647</v>
      </c>
      <c r="I147" s="247">
        <f>SUM(I148:I153)</f>
        <v>6</v>
      </c>
      <c r="J147" s="247">
        <f>J153</f>
        <v>222</v>
      </c>
      <c r="K147" s="167">
        <f t="shared" si="3"/>
        <v>0.3264705882</v>
      </c>
      <c r="L147" s="247">
        <f>SUM(L148:L153)</f>
        <v>2.64</v>
      </c>
      <c r="M147" s="247">
        <f>M153</f>
        <v>97.68</v>
      </c>
      <c r="N147" s="7"/>
      <c r="O147" s="205">
        <f t="shared" si="7"/>
        <v>0</v>
      </c>
      <c r="P147" s="89"/>
      <c r="Q147" s="385"/>
      <c r="R147" s="385">
        <f>Roles!$D$5</f>
        <v>0.44</v>
      </c>
      <c r="S147" s="385">
        <f t="shared" si="8"/>
        <v>0</v>
      </c>
      <c r="T147" s="205">
        <f t="shared" si="9"/>
        <v>0</v>
      </c>
      <c r="U147" s="392"/>
      <c r="V147" s="385"/>
      <c r="W147" s="385">
        <f>Roles!$D$6</f>
        <v>0.1</v>
      </c>
      <c r="X147" s="385"/>
      <c r="Y147" s="205">
        <f t="shared" si="10"/>
        <v>0</v>
      </c>
      <c r="Z147" s="392"/>
      <c r="AA147" s="385"/>
      <c r="AB147" s="385">
        <f>Roles!$D$6</f>
        <v>0.1</v>
      </c>
      <c r="AC147" s="385"/>
      <c r="AD147" s="205">
        <f t="shared" si="11"/>
        <v>0</v>
      </c>
      <c r="AE147" s="392"/>
      <c r="AF147" s="385"/>
      <c r="AG147" s="385">
        <f>Roles!$D$6</f>
        <v>0.1</v>
      </c>
      <c r="AH147" s="385"/>
      <c r="AI147" s="205">
        <f t="shared" si="12"/>
        <v>0</v>
      </c>
      <c r="AJ147" s="392"/>
      <c r="AK147" s="385"/>
      <c r="AL147" s="385">
        <f>Roles!$D$6</f>
        <v>0.1</v>
      </c>
      <c r="AM147" s="385"/>
      <c r="AN147" s="205">
        <f t="shared" si="13"/>
        <v>0</v>
      </c>
      <c r="AO147" s="392"/>
      <c r="AP147" s="385"/>
      <c r="AQ147" s="385">
        <f>Roles!$D$6</f>
        <v>0.1</v>
      </c>
      <c r="AR147" s="385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 t="shared" si="1"/>
        <v>2</v>
      </c>
      <c r="F148" s="80">
        <v>4.0</v>
      </c>
      <c r="G148" s="105">
        <f t="shared" si="2"/>
        <v>0.003445305771</v>
      </c>
      <c r="H148" s="47">
        <f>H145+G148</f>
        <v>0.5322997416</v>
      </c>
      <c r="I148" s="231">
        <f t="shared" ref="I148:I153" si="127">P148+U148+Z148+AE148+AJ148+AO148</f>
        <v>0</v>
      </c>
      <c r="J148" s="172">
        <f>J145+I148</f>
        <v>216</v>
      </c>
      <c r="K148" s="115">
        <f t="shared" si="3"/>
        <v>0.3176470588</v>
      </c>
      <c r="L148" s="336">
        <f t="shared" ref="L148:L153" si="128">S148+X148+AC148+AH148+AM148+AR148</f>
        <v>0</v>
      </c>
      <c r="M148" s="172">
        <f>M145+L148</f>
        <v>95.04</v>
      </c>
      <c r="N148" s="7"/>
      <c r="O148" s="205">
        <f t="shared" si="7"/>
        <v>0</v>
      </c>
      <c r="P148" s="391">
        <v>0.0</v>
      </c>
      <c r="Q148" s="385"/>
      <c r="R148" s="385">
        <f>Roles!$D$5</f>
        <v>0.44</v>
      </c>
      <c r="S148" s="385">
        <f t="shared" si="8"/>
        <v>0</v>
      </c>
      <c r="T148" s="205">
        <f t="shared" si="9"/>
        <v>0</v>
      </c>
      <c r="U148" s="392"/>
      <c r="V148" s="385"/>
      <c r="W148" s="385">
        <f>Roles!$D$6</f>
        <v>0.1</v>
      </c>
      <c r="X148" s="385"/>
      <c r="Y148" s="205">
        <f t="shared" si="10"/>
        <v>0</v>
      </c>
      <c r="Z148" s="392"/>
      <c r="AA148" s="385"/>
      <c r="AB148" s="385">
        <f>Roles!$D$6</f>
        <v>0.1</v>
      </c>
      <c r="AC148" s="385"/>
      <c r="AD148" s="205">
        <f t="shared" si="11"/>
        <v>0</v>
      </c>
      <c r="AE148" s="392"/>
      <c r="AF148" s="385"/>
      <c r="AG148" s="385">
        <f>Roles!$D$6</f>
        <v>0.1</v>
      </c>
      <c r="AH148" s="385"/>
      <c r="AI148" s="205">
        <f t="shared" si="12"/>
        <v>0</v>
      </c>
      <c r="AJ148" s="392"/>
      <c r="AK148" s="385"/>
      <c r="AL148" s="385">
        <f>Roles!$D$6</f>
        <v>0.1</v>
      </c>
      <c r="AM148" s="385"/>
      <c r="AN148" s="205">
        <f t="shared" si="13"/>
        <v>0</v>
      </c>
      <c r="AO148" s="392"/>
      <c r="AP148" s="385"/>
      <c r="AQ148" s="385">
        <f>Roles!$D$6</f>
        <v>0.1</v>
      </c>
      <c r="AR148" s="385"/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 t="shared" si="1"/>
        <v>2</v>
      </c>
      <c r="F149" s="80">
        <v>3.0</v>
      </c>
      <c r="G149" s="105">
        <f t="shared" si="2"/>
        <v>0.002583979328</v>
      </c>
      <c r="H149" s="47">
        <f t="shared" ref="H149:H153" si="129">H148+G149</f>
        <v>0.5348837209</v>
      </c>
      <c r="I149" s="231">
        <f t="shared" si="127"/>
        <v>0</v>
      </c>
      <c r="J149" s="172">
        <f t="shared" ref="J149:J153" si="130">J148+I149</f>
        <v>216</v>
      </c>
      <c r="K149" s="115">
        <f t="shared" si="3"/>
        <v>0.3176470588</v>
      </c>
      <c r="L149" s="336">
        <f t="shared" si="128"/>
        <v>0</v>
      </c>
      <c r="M149" s="172">
        <f t="shared" ref="M149:M153" si="131">M148+L149</f>
        <v>95.04</v>
      </c>
      <c r="N149" s="7"/>
      <c r="O149" s="205">
        <f t="shared" si="7"/>
        <v>0</v>
      </c>
      <c r="P149" s="391">
        <v>0.0</v>
      </c>
      <c r="Q149" s="385"/>
      <c r="R149" s="385">
        <f>Roles!$D$5</f>
        <v>0.44</v>
      </c>
      <c r="S149" s="385">
        <f t="shared" si="8"/>
        <v>0</v>
      </c>
      <c r="T149" s="205">
        <f t="shared" si="9"/>
        <v>0</v>
      </c>
      <c r="U149" s="392"/>
      <c r="V149" s="385"/>
      <c r="W149" s="385">
        <f>Roles!$D$6</f>
        <v>0.1</v>
      </c>
      <c r="X149" s="385"/>
      <c r="Y149" s="205">
        <f t="shared" si="10"/>
        <v>0</v>
      </c>
      <c r="Z149" s="392"/>
      <c r="AA149" s="385"/>
      <c r="AB149" s="385">
        <f>Roles!$D$6</f>
        <v>0.1</v>
      </c>
      <c r="AC149" s="385"/>
      <c r="AD149" s="205">
        <f t="shared" si="11"/>
        <v>0</v>
      </c>
      <c r="AE149" s="392"/>
      <c r="AF149" s="385"/>
      <c r="AG149" s="385">
        <f>Roles!$D$6</f>
        <v>0.1</v>
      </c>
      <c r="AH149" s="385"/>
      <c r="AI149" s="205">
        <f t="shared" si="12"/>
        <v>0</v>
      </c>
      <c r="AJ149" s="392"/>
      <c r="AK149" s="385"/>
      <c r="AL149" s="385">
        <f>Roles!$D$6</f>
        <v>0.1</v>
      </c>
      <c r="AM149" s="385"/>
      <c r="AN149" s="205">
        <f t="shared" si="13"/>
        <v>0</v>
      </c>
      <c r="AO149" s="392"/>
      <c r="AP149" s="385"/>
      <c r="AQ149" s="385">
        <f>Roles!$D$6</f>
        <v>0.1</v>
      </c>
      <c r="AR149" s="385"/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 t="shared" si="1"/>
        <v>2</v>
      </c>
      <c r="F150" s="80">
        <v>4.0</v>
      </c>
      <c r="G150" s="105">
        <f t="shared" si="2"/>
        <v>0.003445305771</v>
      </c>
      <c r="H150" s="47">
        <f t="shared" si="129"/>
        <v>0.5383290267</v>
      </c>
      <c r="I150" s="231">
        <f t="shared" si="127"/>
        <v>2</v>
      </c>
      <c r="J150" s="172">
        <f t="shared" si="130"/>
        <v>218</v>
      </c>
      <c r="K150" s="115">
        <f t="shared" si="3"/>
        <v>0.3205882353</v>
      </c>
      <c r="L150" s="336">
        <f t="shared" si="128"/>
        <v>0.88</v>
      </c>
      <c r="M150" s="172">
        <f t="shared" si="131"/>
        <v>95.92</v>
      </c>
      <c r="N150" s="7"/>
      <c r="O150" s="205">
        <f t="shared" si="7"/>
        <v>0.5</v>
      </c>
      <c r="P150" s="391">
        <v>2.0</v>
      </c>
      <c r="Q150" s="385"/>
      <c r="R150" s="385">
        <f>Roles!$D$5</f>
        <v>0.44</v>
      </c>
      <c r="S150" s="385">
        <f t="shared" si="8"/>
        <v>0.88</v>
      </c>
      <c r="T150" s="205">
        <f t="shared" si="9"/>
        <v>0</v>
      </c>
      <c r="U150" s="392"/>
      <c r="V150" s="385"/>
      <c r="W150" s="385">
        <f>Roles!$D$6</f>
        <v>0.1</v>
      </c>
      <c r="X150" s="385"/>
      <c r="Y150" s="205">
        <f t="shared" si="10"/>
        <v>0</v>
      </c>
      <c r="Z150" s="392"/>
      <c r="AA150" s="385"/>
      <c r="AB150" s="385">
        <f>Roles!$D$6</f>
        <v>0.1</v>
      </c>
      <c r="AC150" s="385"/>
      <c r="AD150" s="205">
        <f t="shared" si="11"/>
        <v>0</v>
      </c>
      <c r="AE150" s="392"/>
      <c r="AF150" s="385"/>
      <c r="AG150" s="385">
        <f>Roles!$D$6</f>
        <v>0.1</v>
      </c>
      <c r="AH150" s="385"/>
      <c r="AI150" s="205">
        <f t="shared" si="12"/>
        <v>0</v>
      </c>
      <c r="AJ150" s="392"/>
      <c r="AK150" s="385"/>
      <c r="AL150" s="385">
        <f>Roles!$D$6</f>
        <v>0.1</v>
      </c>
      <c r="AM150" s="385"/>
      <c r="AN150" s="205">
        <f t="shared" si="13"/>
        <v>0</v>
      </c>
      <c r="AO150" s="392"/>
      <c r="AP150" s="385"/>
      <c r="AQ150" s="385">
        <f>Roles!$D$6</f>
        <v>0.1</v>
      </c>
      <c r="AR150" s="385"/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 t="shared" si="1"/>
        <v>2</v>
      </c>
      <c r="F151" s="80">
        <v>4.0</v>
      </c>
      <c r="G151" s="105">
        <f t="shared" si="2"/>
        <v>0.003445305771</v>
      </c>
      <c r="H151" s="47">
        <f t="shared" si="129"/>
        <v>0.5417743325</v>
      </c>
      <c r="I151" s="231">
        <f t="shared" si="127"/>
        <v>4</v>
      </c>
      <c r="J151" s="172">
        <f t="shared" si="130"/>
        <v>222</v>
      </c>
      <c r="K151" s="115">
        <f t="shared" si="3"/>
        <v>0.3264705882</v>
      </c>
      <c r="L151" s="336">
        <f t="shared" si="128"/>
        <v>1.76</v>
      </c>
      <c r="M151" s="172">
        <f t="shared" si="131"/>
        <v>97.68</v>
      </c>
      <c r="N151" s="7"/>
      <c r="O151" s="205">
        <f t="shared" si="7"/>
        <v>1</v>
      </c>
      <c r="P151" s="391">
        <v>4.0</v>
      </c>
      <c r="Q151" s="385"/>
      <c r="R151" s="385">
        <f>Roles!$D$5</f>
        <v>0.44</v>
      </c>
      <c r="S151" s="385">
        <f t="shared" si="8"/>
        <v>1.76</v>
      </c>
      <c r="T151" s="205">
        <f t="shared" si="9"/>
        <v>0</v>
      </c>
      <c r="U151" s="392"/>
      <c r="V151" s="385"/>
      <c r="W151" s="385">
        <f>Roles!$D$6</f>
        <v>0.1</v>
      </c>
      <c r="X151" s="385"/>
      <c r="Y151" s="205">
        <f t="shared" si="10"/>
        <v>0</v>
      </c>
      <c r="Z151" s="392"/>
      <c r="AA151" s="385"/>
      <c r="AB151" s="385">
        <f>Roles!$D$6</f>
        <v>0.1</v>
      </c>
      <c r="AC151" s="385"/>
      <c r="AD151" s="205">
        <f t="shared" si="11"/>
        <v>0</v>
      </c>
      <c r="AE151" s="392"/>
      <c r="AF151" s="385"/>
      <c r="AG151" s="385">
        <f>Roles!$D$6</f>
        <v>0.1</v>
      </c>
      <c r="AH151" s="385"/>
      <c r="AI151" s="205">
        <f t="shared" si="12"/>
        <v>0</v>
      </c>
      <c r="AJ151" s="392"/>
      <c r="AK151" s="385"/>
      <c r="AL151" s="385">
        <f>Roles!$D$6</f>
        <v>0.1</v>
      </c>
      <c r="AM151" s="385"/>
      <c r="AN151" s="205">
        <f t="shared" si="13"/>
        <v>0</v>
      </c>
      <c r="AO151" s="392"/>
      <c r="AP151" s="385"/>
      <c r="AQ151" s="385">
        <f>Roles!$D$6</f>
        <v>0.1</v>
      </c>
      <c r="AR151" s="385"/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 t="shared" si="1"/>
        <v>1</v>
      </c>
      <c r="F152" s="80">
        <v>2.0</v>
      </c>
      <c r="G152" s="105">
        <f t="shared" si="2"/>
        <v>0.001722652885</v>
      </c>
      <c r="H152" s="47">
        <f t="shared" si="129"/>
        <v>0.5434969854</v>
      </c>
      <c r="I152" s="231">
        <f t="shared" si="127"/>
        <v>0</v>
      </c>
      <c r="J152" s="172">
        <f t="shared" si="130"/>
        <v>222</v>
      </c>
      <c r="K152" s="115">
        <f t="shared" si="3"/>
        <v>0.3264705882</v>
      </c>
      <c r="L152" s="336">
        <f t="shared" si="128"/>
        <v>0</v>
      </c>
      <c r="M152" s="172">
        <f t="shared" si="131"/>
        <v>97.68</v>
      </c>
      <c r="N152" s="7"/>
      <c r="O152" s="205">
        <f t="shared" si="7"/>
        <v>0</v>
      </c>
      <c r="P152" s="391">
        <v>0.0</v>
      </c>
      <c r="Q152" s="385"/>
      <c r="R152" s="385">
        <f>Roles!$D$5</f>
        <v>0.44</v>
      </c>
      <c r="S152" s="385">
        <f t="shared" si="8"/>
        <v>0</v>
      </c>
      <c r="T152" s="205">
        <f t="shared" si="9"/>
        <v>0</v>
      </c>
      <c r="U152" s="392"/>
      <c r="V152" s="385"/>
      <c r="W152" s="385">
        <f>Roles!$D$6</f>
        <v>0.1</v>
      </c>
      <c r="X152" s="385"/>
      <c r="Y152" s="205">
        <f t="shared" si="10"/>
        <v>0</v>
      </c>
      <c r="Z152" s="392"/>
      <c r="AA152" s="385"/>
      <c r="AB152" s="385">
        <f>Roles!$D$6</f>
        <v>0.1</v>
      </c>
      <c r="AC152" s="385"/>
      <c r="AD152" s="205">
        <f t="shared" si="11"/>
        <v>0</v>
      </c>
      <c r="AE152" s="392"/>
      <c r="AF152" s="385"/>
      <c r="AG152" s="385">
        <f>Roles!$D$6</f>
        <v>0.1</v>
      </c>
      <c r="AH152" s="385"/>
      <c r="AI152" s="205">
        <f t="shared" si="12"/>
        <v>0</v>
      </c>
      <c r="AJ152" s="392"/>
      <c r="AK152" s="385"/>
      <c r="AL152" s="385">
        <f>Roles!$D$6</f>
        <v>0.1</v>
      </c>
      <c r="AM152" s="385"/>
      <c r="AN152" s="205">
        <f t="shared" si="13"/>
        <v>0</v>
      </c>
      <c r="AO152" s="392"/>
      <c r="AP152" s="385"/>
      <c r="AQ152" s="385">
        <f>Roles!$D$6</f>
        <v>0.1</v>
      </c>
      <c r="AR152" s="385"/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 t="shared" si="1"/>
        <v>2</v>
      </c>
      <c r="F153" s="80">
        <v>3.0</v>
      </c>
      <c r="G153" s="105">
        <f t="shared" si="2"/>
        <v>0.002583979328</v>
      </c>
      <c r="H153" s="47">
        <f t="shared" si="129"/>
        <v>0.5460809647</v>
      </c>
      <c r="I153" s="231">
        <f t="shared" si="127"/>
        <v>0</v>
      </c>
      <c r="J153" s="172">
        <f t="shared" si="130"/>
        <v>222</v>
      </c>
      <c r="K153" s="115">
        <f t="shared" si="3"/>
        <v>0.3264705882</v>
      </c>
      <c r="L153" s="336">
        <f t="shared" si="128"/>
        <v>0</v>
      </c>
      <c r="M153" s="172">
        <f t="shared" si="131"/>
        <v>97.68</v>
      </c>
      <c r="N153" s="7"/>
      <c r="O153" s="205">
        <f t="shared" si="7"/>
        <v>0</v>
      </c>
      <c r="P153" s="391">
        <v>0.0</v>
      </c>
      <c r="Q153" s="385"/>
      <c r="R153" s="385">
        <f>Roles!$D$5</f>
        <v>0.44</v>
      </c>
      <c r="S153" s="385">
        <f t="shared" si="8"/>
        <v>0</v>
      </c>
      <c r="T153" s="205">
        <f t="shared" si="9"/>
        <v>0</v>
      </c>
      <c r="U153" s="392"/>
      <c r="V153" s="385"/>
      <c r="W153" s="385">
        <f>Roles!$D$6</f>
        <v>0.1</v>
      </c>
      <c r="X153" s="385"/>
      <c r="Y153" s="205">
        <f t="shared" si="10"/>
        <v>0</v>
      </c>
      <c r="Z153" s="392"/>
      <c r="AA153" s="385"/>
      <c r="AB153" s="385">
        <f>Roles!$D$6</f>
        <v>0.1</v>
      </c>
      <c r="AC153" s="385"/>
      <c r="AD153" s="205">
        <f t="shared" si="11"/>
        <v>0</v>
      </c>
      <c r="AE153" s="392"/>
      <c r="AF153" s="385"/>
      <c r="AG153" s="385">
        <f>Roles!$D$6</f>
        <v>0.1</v>
      </c>
      <c r="AH153" s="385"/>
      <c r="AI153" s="205">
        <f t="shared" si="12"/>
        <v>0</v>
      </c>
      <c r="AJ153" s="392"/>
      <c r="AK153" s="385"/>
      <c r="AL153" s="385">
        <f>Roles!$D$6</f>
        <v>0.1</v>
      </c>
      <c r="AM153" s="385"/>
      <c r="AN153" s="205">
        <f t="shared" si="13"/>
        <v>0</v>
      </c>
      <c r="AO153" s="392"/>
      <c r="AP153" s="385"/>
      <c r="AQ153" s="385">
        <f>Roles!$D$6</f>
        <v>0.1</v>
      </c>
      <c r="AR153" s="385"/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 t="shared" si="1"/>
        <v>7</v>
      </c>
      <c r="F154" s="246">
        <f>SUM(F155:F159)</f>
        <v>13</v>
      </c>
      <c r="G154" s="105">
        <f t="shared" si="2"/>
        <v>0.01119724376</v>
      </c>
      <c r="H154" s="226">
        <f>H159</f>
        <v>0.5572782084</v>
      </c>
      <c r="I154" s="247">
        <f>SUM(I155:I159)</f>
        <v>10</v>
      </c>
      <c r="J154" s="247">
        <f>J159</f>
        <v>232</v>
      </c>
      <c r="K154" s="167">
        <f t="shared" si="3"/>
        <v>0.3411764706</v>
      </c>
      <c r="L154" s="247">
        <f>SUM(L155:L159)</f>
        <v>4.4</v>
      </c>
      <c r="M154" s="247">
        <f>M159</f>
        <v>102.08</v>
      </c>
      <c r="N154" s="7"/>
      <c r="O154" s="205">
        <f t="shared" si="7"/>
        <v>0</v>
      </c>
      <c r="P154" s="89"/>
      <c r="Q154" s="385"/>
      <c r="R154" s="385">
        <f>Roles!$D$5</f>
        <v>0.44</v>
      </c>
      <c r="S154" s="385">
        <f t="shared" si="8"/>
        <v>0</v>
      </c>
      <c r="T154" s="205">
        <f t="shared" si="9"/>
        <v>0</v>
      </c>
      <c r="U154" s="392"/>
      <c r="V154" s="385"/>
      <c r="W154" s="385">
        <f>Roles!$D$6</f>
        <v>0.1</v>
      </c>
      <c r="X154" s="385"/>
      <c r="Y154" s="205">
        <f t="shared" si="10"/>
        <v>0</v>
      </c>
      <c r="Z154" s="392"/>
      <c r="AA154" s="385"/>
      <c r="AB154" s="385">
        <f>Roles!$D$6</f>
        <v>0.1</v>
      </c>
      <c r="AC154" s="385"/>
      <c r="AD154" s="205">
        <f t="shared" si="11"/>
        <v>0</v>
      </c>
      <c r="AE154" s="392"/>
      <c r="AF154" s="385"/>
      <c r="AG154" s="385">
        <f>Roles!$D$6</f>
        <v>0.1</v>
      </c>
      <c r="AH154" s="385"/>
      <c r="AI154" s="205">
        <f t="shared" si="12"/>
        <v>0</v>
      </c>
      <c r="AJ154" s="392"/>
      <c r="AK154" s="385"/>
      <c r="AL154" s="385">
        <f>Roles!$D$6</f>
        <v>0.1</v>
      </c>
      <c r="AM154" s="385"/>
      <c r="AN154" s="205">
        <f t="shared" si="13"/>
        <v>0</v>
      </c>
      <c r="AO154" s="392"/>
      <c r="AP154" s="385"/>
      <c r="AQ154" s="385">
        <f>Roles!$D$6</f>
        <v>0.1</v>
      </c>
      <c r="AR154" s="385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 t="shared" si="1"/>
        <v>2</v>
      </c>
      <c r="F155" s="80">
        <v>3.0</v>
      </c>
      <c r="G155" s="105">
        <f t="shared" si="2"/>
        <v>0.002583979328</v>
      </c>
      <c r="H155" s="47">
        <f>H153+G155</f>
        <v>0.548664944</v>
      </c>
      <c r="I155" s="231">
        <f t="shared" ref="I155:I159" si="132">P155+U155+Z155+AE155+AJ155+AO155</f>
        <v>0</v>
      </c>
      <c r="J155" s="172">
        <f>J153+I155</f>
        <v>222</v>
      </c>
      <c r="K155" s="115">
        <f t="shared" si="3"/>
        <v>0.3264705882</v>
      </c>
      <c r="L155" s="336">
        <f t="shared" ref="L155:L159" si="133">S155+X155+AC155+AH155+AM155+AR155</f>
        <v>0</v>
      </c>
      <c r="M155" s="172">
        <f>M153+L155</f>
        <v>97.68</v>
      </c>
      <c r="N155" s="7"/>
      <c r="O155" s="205">
        <f t="shared" si="7"/>
        <v>0</v>
      </c>
      <c r="P155" s="391">
        <v>0.0</v>
      </c>
      <c r="Q155" s="385"/>
      <c r="R155" s="385">
        <f>Roles!$D$5</f>
        <v>0.44</v>
      </c>
      <c r="S155" s="385">
        <f t="shared" si="8"/>
        <v>0</v>
      </c>
      <c r="T155" s="205">
        <f t="shared" si="9"/>
        <v>0</v>
      </c>
      <c r="U155" s="392"/>
      <c r="V155" s="385"/>
      <c r="W155" s="385">
        <f>Roles!$D$6</f>
        <v>0.1</v>
      </c>
      <c r="X155" s="385"/>
      <c r="Y155" s="205">
        <f t="shared" si="10"/>
        <v>0</v>
      </c>
      <c r="Z155" s="392"/>
      <c r="AA155" s="385"/>
      <c r="AB155" s="385">
        <f>Roles!$D$6</f>
        <v>0.1</v>
      </c>
      <c r="AC155" s="385"/>
      <c r="AD155" s="205">
        <f t="shared" si="11"/>
        <v>0</v>
      </c>
      <c r="AE155" s="392"/>
      <c r="AF155" s="385"/>
      <c r="AG155" s="385">
        <f>Roles!$D$6</f>
        <v>0.1</v>
      </c>
      <c r="AH155" s="385"/>
      <c r="AI155" s="205">
        <f t="shared" si="12"/>
        <v>0</v>
      </c>
      <c r="AJ155" s="392"/>
      <c r="AK155" s="385"/>
      <c r="AL155" s="385">
        <f>Roles!$D$6</f>
        <v>0.1</v>
      </c>
      <c r="AM155" s="385"/>
      <c r="AN155" s="205">
        <f t="shared" si="13"/>
        <v>0</v>
      </c>
      <c r="AO155" s="392"/>
      <c r="AP155" s="385"/>
      <c r="AQ155" s="385">
        <f>Roles!$D$6</f>
        <v>0.1</v>
      </c>
      <c r="AR155" s="385"/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 t="shared" si="1"/>
        <v>2</v>
      </c>
      <c r="F156" s="80">
        <v>3.0</v>
      </c>
      <c r="G156" s="105">
        <f t="shared" si="2"/>
        <v>0.002583979328</v>
      </c>
      <c r="H156" s="47">
        <f t="shared" ref="H156:H159" si="134">H155+G156</f>
        <v>0.5512489233</v>
      </c>
      <c r="I156" s="231">
        <f t="shared" si="132"/>
        <v>6</v>
      </c>
      <c r="J156" s="172">
        <f t="shared" ref="J156:J159" si="135">J155+I156</f>
        <v>228</v>
      </c>
      <c r="K156" s="115">
        <f t="shared" si="3"/>
        <v>0.3352941176</v>
      </c>
      <c r="L156" s="336">
        <f t="shared" si="133"/>
        <v>2.64</v>
      </c>
      <c r="M156" s="172">
        <f t="shared" ref="M156:M159" si="136">M155+L156</f>
        <v>100.32</v>
      </c>
      <c r="N156" s="7"/>
      <c r="O156" s="205">
        <f t="shared" si="7"/>
        <v>2</v>
      </c>
      <c r="P156" s="391">
        <v>6.0</v>
      </c>
      <c r="Q156" s="385"/>
      <c r="R156" s="385">
        <f>Roles!$D$5</f>
        <v>0.44</v>
      </c>
      <c r="S156" s="385">
        <f t="shared" si="8"/>
        <v>2.64</v>
      </c>
      <c r="T156" s="205">
        <f t="shared" si="9"/>
        <v>0</v>
      </c>
      <c r="U156" s="392"/>
      <c r="V156" s="385"/>
      <c r="W156" s="385">
        <f>Roles!$D$6</f>
        <v>0.1</v>
      </c>
      <c r="X156" s="385"/>
      <c r="Y156" s="205">
        <f t="shared" si="10"/>
        <v>0</v>
      </c>
      <c r="Z156" s="392"/>
      <c r="AA156" s="385"/>
      <c r="AB156" s="385">
        <f>Roles!$D$6</f>
        <v>0.1</v>
      </c>
      <c r="AC156" s="385"/>
      <c r="AD156" s="205">
        <f t="shared" si="11"/>
        <v>0</v>
      </c>
      <c r="AE156" s="392"/>
      <c r="AF156" s="385"/>
      <c r="AG156" s="385">
        <f>Roles!$D$6</f>
        <v>0.1</v>
      </c>
      <c r="AH156" s="385"/>
      <c r="AI156" s="205">
        <f t="shared" si="12"/>
        <v>0</v>
      </c>
      <c r="AJ156" s="392"/>
      <c r="AK156" s="385"/>
      <c r="AL156" s="385">
        <f>Roles!$D$6</f>
        <v>0.1</v>
      </c>
      <c r="AM156" s="385"/>
      <c r="AN156" s="205">
        <f t="shared" si="13"/>
        <v>0</v>
      </c>
      <c r="AO156" s="392"/>
      <c r="AP156" s="385"/>
      <c r="AQ156" s="385">
        <f>Roles!$D$6</f>
        <v>0.1</v>
      </c>
      <c r="AR156" s="385"/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 t="shared" si="1"/>
        <v>2</v>
      </c>
      <c r="F157" s="80">
        <v>2.0</v>
      </c>
      <c r="G157" s="105">
        <f t="shared" si="2"/>
        <v>0.001722652885</v>
      </c>
      <c r="H157" s="47">
        <f t="shared" si="134"/>
        <v>0.5529715762</v>
      </c>
      <c r="I157" s="231">
        <f t="shared" si="132"/>
        <v>4</v>
      </c>
      <c r="J157" s="172">
        <f t="shared" si="135"/>
        <v>232</v>
      </c>
      <c r="K157" s="115">
        <f t="shared" si="3"/>
        <v>0.3411764706</v>
      </c>
      <c r="L157" s="336">
        <f t="shared" si="133"/>
        <v>1.76</v>
      </c>
      <c r="M157" s="172">
        <f t="shared" si="136"/>
        <v>102.08</v>
      </c>
      <c r="N157" s="7"/>
      <c r="O157" s="205">
        <f t="shared" si="7"/>
        <v>2</v>
      </c>
      <c r="P157" s="391">
        <v>4.0</v>
      </c>
      <c r="Q157" s="385"/>
      <c r="R157" s="385">
        <f>Roles!$D$5</f>
        <v>0.44</v>
      </c>
      <c r="S157" s="385">
        <f t="shared" si="8"/>
        <v>1.76</v>
      </c>
      <c r="T157" s="205">
        <f t="shared" si="9"/>
        <v>0</v>
      </c>
      <c r="U157" s="392"/>
      <c r="V157" s="385"/>
      <c r="W157" s="385">
        <f>Roles!$D$6</f>
        <v>0.1</v>
      </c>
      <c r="X157" s="385"/>
      <c r="Y157" s="205">
        <f t="shared" si="10"/>
        <v>0</v>
      </c>
      <c r="Z157" s="392"/>
      <c r="AA157" s="385"/>
      <c r="AB157" s="385">
        <f>Roles!$D$6</f>
        <v>0.1</v>
      </c>
      <c r="AC157" s="385"/>
      <c r="AD157" s="205">
        <f t="shared" si="11"/>
        <v>0</v>
      </c>
      <c r="AE157" s="392"/>
      <c r="AF157" s="385"/>
      <c r="AG157" s="385">
        <f>Roles!$D$6</f>
        <v>0.1</v>
      </c>
      <c r="AH157" s="385"/>
      <c r="AI157" s="205">
        <f t="shared" si="12"/>
        <v>0</v>
      </c>
      <c r="AJ157" s="392"/>
      <c r="AK157" s="385"/>
      <c r="AL157" s="385">
        <f>Roles!$D$6</f>
        <v>0.1</v>
      </c>
      <c r="AM157" s="385"/>
      <c r="AN157" s="205">
        <f t="shared" si="13"/>
        <v>0</v>
      </c>
      <c r="AO157" s="392"/>
      <c r="AP157" s="385"/>
      <c r="AQ157" s="385">
        <f>Roles!$D$6</f>
        <v>0.1</v>
      </c>
      <c r="AR157" s="385"/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 t="shared" si="1"/>
        <v>2</v>
      </c>
      <c r="F158" s="80">
        <v>3.0</v>
      </c>
      <c r="G158" s="105">
        <f t="shared" si="2"/>
        <v>0.002583979328</v>
      </c>
      <c r="H158" s="47">
        <f t="shared" si="134"/>
        <v>0.5555555556</v>
      </c>
      <c r="I158" s="231">
        <f t="shared" si="132"/>
        <v>0</v>
      </c>
      <c r="J158" s="172">
        <f t="shared" si="135"/>
        <v>232</v>
      </c>
      <c r="K158" s="115">
        <f t="shared" si="3"/>
        <v>0.3411764706</v>
      </c>
      <c r="L158" s="336">
        <f t="shared" si="133"/>
        <v>0</v>
      </c>
      <c r="M158" s="172">
        <f t="shared" si="136"/>
        <v>102.08</v>
      </c>
      <c r="N158" s="7"/>
      <c r="O158" s="205">
        <f t="shared" si="7"/>
        <v>0</v>
      </c>
      <c r="P158" s="391">
        <v>0.0</v>
      </c>
      <c r="Q158" s="385"/>
      <c r="R158" s="385">
        <f>Roles!$D$5</f>
        <v>0.44</v>
      </c>
      <c r="S158" s="385">
        <f t="shared" si="8"/>
        <v>0</v>
      </c>
      <c r="T158" s="205">
        <f t="shared" si="9"/>
        <v>0</v>
      </c>
      <c r="U158" s="392"/>
      <c r="V158" s="385"/>
      <c r="W158" s="385">
        <f>Roles!$D$6</f>
        <v>0.1</v>
      </c>
      <c r="X158" s="385"/>
      <c r="Y158" s="205">
        <f t="shared" si="10"/>
        <v>0</v>
      </c>
      <c r="Z158" s="392"/>
      <c r="AA158" s="385"/>
      <c r="AB158" s="385">
        <f>Roles!$D$6</f>
        <v>0.1</v>
      </c>
      <c r="AC158" s="385"/>
      <c r="AD158" s="205">
        <f t="shared" si="11"/>
        <v>0</v>
      </c>
      <c r="AE158" s="392"/>
      <c r="AF158" s="385"/>
      <c r="AG158" s="385">
        <f>Roles!$D$6</f>
        <v>0.1</v>
      </c>
      <c r="AH158" s="385"/>
      <c r="AI158" s="205">
        <f t="shared" si="12"/>
        <v>0</v>
      </c>
      <c r="AJ158" s="392"/>
      <c r="AK158" s="385"/>
      <c r="AL158" s="385">
        <f>Roles!$D$6</f>
        <v>0.1</v>
      </c>
      <c r="AM158" s="385"/>
      <c r="AN158" s="205">
        <f t="shared" si="13"/>
        <v>0</v>
      </c>
      <c r="AO158" s="392"/>
      <c r="AP158" s="385"/>
      <c r="AQ158" s="385">
        <f>Roles!$D$6</f>
        <v>0.1</v>
      </c>
      <c r="AR158" s="385"/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 t="shared" si="1"/>
        <v>2</v>
      </c>
      <c r="F159" s="80">
        <v>2.0</v>
      </c>
      <c r="G159" s="105">
        <f t="shared" si="2"/>
        <v>0.001722652885</v>
      </c>
      <c r="H159" s="47">
        <f t="shared" si="134"/>
        <v>0.5572782084</v>
      </c>
      <c r="I159" s="231">
        <f t="shared" si="132"/>
        <v>0</v>
      </c>
      <c r="J159" s="172">
        <f t="shared" si="135"/>
        <v>232</v>
      </c>
      <c r="K159" s="115">
        <f t="shared" si="3"/>
        <v>0.3411764706</v>
      </c>
      <c r="L159" s="336">
        <f t="shared" si="133"/>
        <v>0</v>
      </c>
      <c r="M159" s="172">
        <f t="shared" si="136"/>
        <v>102.08</v>
      </c>
      <c r="N159" s="7"/>
      <c r="O159" s="205">
        <f t="shared" si="7"/>
        <v>0</v>
      </c>
      <c r="P159" s="391">
        <v>0.0</v>
      </c>
      <c r="Q159" s="385"/>
      <c r="R159" s="385">
        <f>Roles!$D$5</f>
        <v>0.44</v>
      </c>
      <c r="S159" s="385">
        <f t="shared" si="8"/>
        <v>0</v>
      </c>
      <c r="T159" s="205">
        <f t="shared" si="9"/>
        <v>0</v>
      </c>
      <c r="U159" s="392"/>
      <c r="V159" s="385"/>
      <c r="W159" s="385">
        <f>Roles!$D$6</f>
        <v>0.1</v>
      </c>
      <c r="X159" s="385"/>
      <c r="Y159" s="205">
        <f t="shared" si="10"/>
        <v>0</v>
      </c>
      <c r="Z159" s="392"/>
      <c r="AA159" s="385"/>
      <c r="AB159" s="385">
        <f>Roles!$D$6</f>
        <v>0.1</v>
      </c>
      <c r="AC159" s="385"/>
      <c r="AD159" s="205">
        <f t="shared" si="11"/>
        <v>0</v>
      </c>
      <c r="AE159" s="392"/>
      <c r="AF159" s="385"/>
      <c r="AG159" s="385">
        <f>Roles!$D$6</f>
        <v>0.1</v>
      </c>
      <c r="AH159" s="385"/>
      <c r="AI159" s="205">
        <f t="shared" si="12"/>
        <v>0</v>
      </c>
      <c r="AJ159" s="392"/>
      <c r="AK159" s="385"/>
      <c r="AL159" s="385">
        <f>Roles!$D$6</f>
        <v>0.1</v>
      </c>
      <c r="AM159" s="385"/>
      <c r="AN159" s="205">
        <f t="shared" si="13"/>
        <v>0</v>
      </c>
      <c r="AO159" s="392"/>
      <c r="AP159" s="385"/>
      <c r="AQ159" s="385">
        <f>Roles!$D$6</f>
        <v>0.1</v>
      </c>
      <c r="AR159" s="385"/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 t="shared" si="1"/>
        <v>17</v>
      </c>
      <c r="F160" s="246">
        <f>SUM(F161:F165)</f>
        <v>17</v>
      </c>
      <c r="G160" s="105">
        <f t="shared" si="2"/>
        <v>0.01464254953</v>
      </c>
      <c r="H160" s="226">
        <f>H165</f>
        <v>0.571920758</v>
      </c>
      <c r="I160" s="247">
        <f>SUM(I161:I165)</f>
        <v>2</v>
      </c>
      <c r="J160" s="247">
        <f>J165</f>
        <v>234</v>
      </c>
      <c r="K160" s="167">
        <f t="shared" si="3"/>
        <v>0.3441176471</v>
      </c>
      <c r="L160" s="247">
        <f>SUM(L161:L165)</f>
        <v>0.88</v>
      </c>
      <c r="M160" s="247">
        <f>M165</f>
        <v>102.96</v>
      </c>
      <c r="N160" s="7"/>
      <c r="O160" s="205">
        <f t="shared" si="7"/>
        <v>0</v>
      </c>
      <c r="P160" s="89"/>
      <c r="Q160" s="385"/>
      <c r="R160" s="385">
        <f>Roles!$D$5</f>
        <v>0.44</v>
      </c>
      <c r="S160" s="385">
        <f t="shared" si="8"/>
        <v>0</v>
      </c>
      <c r="T160" s="205">
        <f t="shared" si="9"/>
        <v>0</v>
      </c>
      <c r="U160" s="392"/>
      <c r="V160" s="385"/>
      <c r="W160" s="385">
        <f>Roles!$D$6</f>
        <v>0.1</v>
      </c>
      <c r="X160" s="385"/>
      <c r="Y160" s="205">
        <f t="shared" si="10"/>
        <v>0</v>
      </c>
      <c r="Z160" s="392"/>
      <c r="AA160" s="385"/>
      <c r="AB160" s="385">
        <f>Roles!$D$6</f>
        <v>0.1</v>
      </c>
      <c r="AC160" s="385"/>
      <c r="AD160" s="205">
        <f t="shared" si="11"/>
        <v>0</v>
      </c>
      <c r="AE160" s="392"/>
      <c r="AF160" s="385"/>
      <c r="AG160" s="385">
        <f>Roles!$D$6</f>
        <v>0.1</v>
      </c>
      <c r="AH160" s="385"/>
      <c r="AI160" s="205">
        <f t="shared" si="12"/>
        <v>0</v>
      </c>
      <c r="AJ160" s="392"/>
      <c r="AK160" s="385"/>
      <c r="AL160" s="385">
        <f>Roles!$D$6</f>
        <v>0.1</v>
      </c>
      <c r="AM160" s="385"/>
      <c r="AN160" s="205">
        <f t="shared" si="13"/>
        <v>0</v>
      </c>
      <c r="AO160" s="392"/>
      <c r="AP160" s="385"/>
      <c r="AQ160" s="385">
        <f>Roles!$D$6</f>
        <v>0.1</v>
      </c>
      <c r="AR160" s="385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 t="shared" si="1"/>
        <v>2</v>
      </c>
      <c r="F161" s="80">
        <v>3.0</v>
      </c>
      <c r="G161" s="105">
        <f t="shared" si="2"/>
        <v>0.002583979328</v>
      </c>
      <c r="H161" s="47">
        <f>H159+G161</f>
        <v>0.5598621878</v>
      </c>
      <c r="I161" s="231">
        <f t="shared" ref="I161:I165" si="137">P161+U161+Z161+AE161+AJ161+AO161</f>
        <v>0</v>
      </c>
      <c r="J161" s="172">
        <f>J159+I161</f>
        <v>232</v>
      </c>
      <c r="K161" s="115">
        <f t="shared" si="3"/>
        <v>0.3411764706</v>
      </c>
      <c r="L161" s="336">
        <f t="shared" ref="L161:L165" si="138">S161+X161+AC161+AH161+AM161+AR161</f>
        <v>0</v>
      </c>
      <c r="M161" s="172">
        <f>M159+L161</f>
        <v>102.08</v>
      </c>
      <c r="N161" s="7"/>
      <c r="O161" s="205">
        <f t="shared" si="7"/>
        <v>0</v>
      </c>
      <c r="P161" s="391">
        <v>0.0</v>
      </c>
      <c r="Q161" s="385"/>
      <c r="R161" s="385">
        <f>Roles!$D$5</f>
        <v>0.44</v>
      </c>
      <c r="S161" s="385">
        <f t="shared" si="8"/>
        <v>0</v>
      </c>
      <c r="T161" s="205">
        <f t="shared" si="9"/>
        <v>0</v>
      </c>
      <c r="U161" s="392"/>
      <c r="V161" s="385"/>
      <c r="W161" s="385">
        <f>Roles!$D$6</f>
        <v>0.1</v>
      </c>
      <c r="X161" s="385"/>
      <c r="Y161" s="205">
        <f t="shared" si="10"/>
        <v>0</v>
      </c>
      <c r="Z161" s="392"/>
      <c r="AA161" s="385"/>
      <c r="AB161" s="385">
        <f>Roles!$D$6</f>
        <v>0.1</v>
      </c>
      <c r="AC161" s="385"/>
      <c r="AD161" s="205">
        <f t="shared" si="11"/>
        <v>0</v>
      </c>
      <c r="AE161" s="392"/>
      <c r="AF161" s="385"/>
      <c r="AG161" s="385">
        <f>Roles!$D$6</f>
        <v>0.1</v>
      </c>
      <c r="AH161" s="385"/>
      <c r="AI161" s="205">
        <f t="shared" si="12"/>
        <v>0</v>
      </c>
      <c r="AJ161" s="392"/>
      <c r="AK161" s="385"/>
      <c r="AL161" s="385">
        <f>Roles!$D$6</f>
        <v>0.1</v>
      </c>
      <c r="AM161" s="385"/>
      <c r="AN161" s="205">
        <f t="shared" si="13"/>
        <v>0</v>
      </c>
      <c r="AO161" s="392"/>
      <c r="AP161" s="385"/>
      <c r="AQ161" s="385">
        <f>Roles!$D$6</f>
        <v>0.1</v>
      </c>
      <c r="AR161" s="385"/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 t="shared" si="1"/>
        <v>3</v>
      </c>
      <c r="F162" s="80">
        <v>4.0</v>
      </c>
      <c r="G162" s="105">
        <f t="shared" si="2"/>
        <v>0.003445305771</v>
      </c>
      <c r="H162" s="47">
        <f t="shared" ref="H162:H165" si="139">H161+G162</f>
        <v>0.5633074935</v>
      </c>
      <c r="I162" s="231">
        <f t="shared" si="137"/>
        <v>0</v>
      </c>
      <c r="J162" s="172">
        <f t="shared" ref="J162:J165" si="140">J161+I162</f>
        <v>232</v>
      </c>
      <c r="K162" s="115">
        <f t="shared" si="3"/>
        <v>0.3411764706</v>
      </c>
      <c r="L162" s="336">
        <f t="shared" si="138"/>
        <v>0</v>
      </c>
      <c r="M162" s="172">
        <f t="shared" ref="M162:M165" si="141">M161+L162</f>
        <v>102.08</v>
      </c>
      <c r="N162" s="7"/>
      <c r="O162" s="205">
        <f t="shared" si="7"/>
        <v>0</v>
      </c>
      <c r="P162" s="391">
        <v>0.0</v>
      </c>
      <c r="Q162" s="385"/>
      <c r="R162" s="385">
        <f>Roles!$D$5</f>
        <v>0.44</v>
      </c>
      <c r="S162" s="385">
        <f t="shared" si="8"/>
        <v>0</v>
      </c>
      <c r="T162" s="205">
        <f t="shared" si="9"/>
        <v>0</v>
      </c>
      <c r="U162" s="392"/>
      <c r="V162" s="385"/>
      <c r="W162" s="385">
        <f>Roles!$D$6</f>
        <v>0.1</v>
      </c>
      <c r="X162" s="385"/>
      <c r="Y162" s="205">
        <f t="shared" si="10"/>
        <v>0</v>
      </c>
      <c r="Z162" s="392"/>
      <c r="AA162" s="385"/>
      <c r="AB162" s="385">
        <f>Roles!$D$6</f>
        <v>0.1</v>
      </c>
      <c r="AC162" s="385"/>
      <c r="AD162" s="205">
        <f t="shared" si="11"/>
        <v>0</v>
      </c>
      <c r="AE162" s="392"/>
      <c r="AF162" s="385"/>
      <c r="AG162" s="385">
        <f>Roles!$D$6</f>
        <v>0.1</v>
      </c>
      <c r="AH162" s="385"/>
      <c r="AI162" s="205">
        <f t="shared" si="12"/>
        <v>0</v>
      </c>
      <c r="AJ162" s="392"/>
      <c r="AK162" s="385"/>
      <c r="AL162" s="385">
        <f>Roles!$D$6</f>
        <v>0.1</v>
      </c>
      <c r="AM162" s="385"/>
      <c r="AN162" s="205">
        <f t="shared" si="13"/>
        <v>0</v>
      </c>
      <c r="AO162" s="392"/>
      <c r="AP162" s="385"/>
      <c r="AQ162" s="385">
        <f>Roles!$D$6</f>
        <v>0.1</v>
      </c>
      <c r="AR162" s="385"/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 t="shared" si="1"/>
        <v>2</v>
      </c>
      <c r="F163" s="80">
        <v>3.0</v>
      </c>
      <c r="G163" s="105">
        <f t="shared" si="2"/>
        <v>0.002583979328</v>
      </c>
      <c r="H163" s="47">
        <f t="shared" si="139"/>
        <v>0.5658914729</v>
      </c>
      <c r="I163" s="231">
        <f t="shared" si="137"/>
        <v>2</v>
      </c>
      <c r="J163" s="172">
        <f t="shared" si="140"/>
        <v>234</v>
      </c>
      <c r="K163" s="115">
        <f t="shared" si="3"/>
        <v>0.3441176471</v>
      </c>
      <c r="L163" s="336">
        <f t="shared" si="138"/>
        <v>0.88</v>
      </c>
      <c r="M163" s="172">
        <f t="shared" si="141"/>
        <v>102.96</v>
      </c>
      <c r="N163" s="7"/>
      <c r="O163" s="205">
        <f t="shared" si="7"/>
        <v>0.6666666667</v>
      </c>
      <c r="P163" s="391">
        <v>2.0</v>
      </c>
      <c r="Q163" s="385"/>
      <c r="R163" s="385">
        <f>Roles!$D$5</f>
        <v>0.44</v>
      </c>
      <c r="S163" s="385">
        <f t="shared" si="8"/>
        <v>0.88</v>
      </c>
      <c r="T163" s="205">
        <f t="shared" si="9"/>
        <v>0</v>
      </c>
      <c r="U163" s="392"/>
      <c r="V163" s="385"/>
      <c r="W163" s="385">
        <f>Roles!$D$6</f>
        <v>0.1</v>
      </c>
      <c r="X163" s="385"/>
      <c r="Y163" s="205">
        <f t="shared" si="10"/>
        <v>0</v>
      </c>
      <c r="Z163" s="392"/>
      <c r="AA163" s="385"/>
      <c r="AB163" s="385">
        <f>Roles!$D$6</f>
        <v>0.1</v>
      </c>
      <c r="AC163" s="385"/>
      <c r="AD163" s="205">
        <f t="shared" si="11"/>
        <v>0</v>
      </c>
      <c r="AE163" s="392"/>
      <c r="AF163" s="385"/>
      <c r="AG163" s="385">
        <f>Roles!$D$6</f>
        <v>0.1</v>
      </c>
      <c r="AH163" s="385"/>
      <c r="AI163" s="205">
        <f t="shared" si="12"/>
        <v>0</v>
      </c>
      <c r="AJ163" s="392"/>
      <c r="AK163" s="385"/>
      <c r="AL163" s="385">
        <f>Roles!$D$6</f>
        <v>0.1</v>
      </c>
      <c r="AM163" s="385"/>
      <c r="AN163" s="205">
        <f t="shared" si="13"/>
        <v>0</v>
      </c>
      <c r="AO163" s="392"/>
      <c r="AP163" s="385"/>
      <c r="AQ163" s="385">
        <f>Roles!$D$6</f>
        <v>0.1</v>
      </c>
      <c r="AR163" s="385"/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 t="shared" si="1"/>
        <v>3</v>
      </c>
      <c r="F164" s="80">
        <v>4.0</v>
      </c>
      <c r="G164" s="105">
        <f t="shared" si="2"/>
        <v>0.003445305771</v>
      </c>
      <c r="H164" s="47">
        <f t="shared" si="139"/>
        <v>0.5693367786</v>
      </c>
      <c r="I164" s="231">
        <f t="shared" si="137"/>
        <v>0</v>
      </c>
      <c r="J164" s="172">
        <f t="shared" si="140"/>
        <v>234</v>
      </c>
      <c r="K164" s="115">
        <f t="shared" si="3"/>
        <v>0.3441176471</v>
      </c>
      <c r="L164" s="336">
        <f t="shared" si="138"/>
        <v>0</v>
      </c>
      <c r="M164" s="172">
        <f t="shared" si="141"/>
        <v>102.96</v>
      </c>
      <c r="N164" s="7"/>
      <c r="O164" s="205">
        <f t="shared" si="7"/>
        <v>0</v>
      </c>
      <c r="P164" s="391">
        <v>0.0</v>
      </c>
      <c r="Q164" s="385"/>
      <c r="R164" s="385">
        <f>Roles!$D$5</f>
        <v>0.44</v>
      </c>
      <c r="S164" s="385">
        <f t="shared" si="8"/>
        <v>0</v>
      </c>
      <c r="T164" s="205">
        <f t="shared" si="9"/>
        <v>0</v>
      </c>
      <c r="U164" s="392"/>
      <c r="V164" s="385"/>
      <c r="W164" s="385">
        <f>Roles!$D$6</f>
        <v>0.1</v>
      </c>
      <c r="X164" s="385"/>
      <c r="Y164" s="205">
        <f t="shared" si="10"/>
        <v>0</v>
      </c>
      <c r="Z164" s="392"/>
      <c r="AA164" s="385"/>
      <c r="AB164" s="385">
        <f>Roles!$D$6</f>
        <v>0.1</v>
      </c>
      <c r="AC164" s="385"/>
      <c r="AD164" s="205">
        <f t="shared" si="11"/>
        <v>0</v>
      </c>
      <c r="AE164" s="392"/>
      <c r="AF164" s="385"/>
      <c r="AG164" s="385">
        <f>Roles!$D$6</f>
        <v>0.1</v>
      </c>
      <c r="AH164" s="385"/>
      <c r="AI164" s="205">
        <f t="shared" si="12"/>
        <v>0</v>
      </c>
      <c r="AJ164" s="392"/>
      <c r="AK164" s="385"/>
      <c r="AL164" s="385">
        <f>Roles!$D$6</f>
        <v>0.1</v>
      </c>
      <c r="AM164" s="385"/>
      <c r="AN164" s="205">
        <f t="shared" si="13"/>
        <v>0</v>
      </c>
      <c r="AO164" s="392"/>
      <c r="AP164" s="385"/>
      <c r="AQ164" s="385">
        <f>Roles!$D$6</f>
        <v>0.1</v>
      </c>
      <c r="AR164" s="385"/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 t="shared" si="1"/>
        <v>2</v>
      </c>
      <c r="F165" s="80">
        <v>3.0</v>
      </c>
      <c r="G165" s="105">
        <f t="shared" si="2"/>
        <v>0.002583979328</v>
      </c>
      <c r="H165" s="47">
        <f t="shared" si="139"/>
        <v>0.571920758</v>
      </c>
      <c r="I165" s="231">
        <f t="shared" si="137"/>
        <v>0</v>
      </c>
      <c r="J165" s="172">
        <f t="shared" si="140"/>
        <v>234</v>
      </c>
      <c r="K165" s="115">
        <f t="shared" si="3"/>
        <v>0.3441176471</v>
      </c>
      <c r="L165" s="336">
        <f t="shared" si="138"/>
        <v>0</v>
      </c>
      <c r="M165" s="172">
        <f t="shared" si="141"/>
        <v>102.96</v>
      </c>
      <c r="N165" s="7"/>
      <c r="O165" s="205">
        <f t="shared" si="7"/>
        <v>0</v>
      </c>
      <c r="P165" s="391">
        <v>0.0</v>
      </c>
      <c r="Q165" s="385"/>
      <c r="R165" s="385">
        <f>Roles!$D$5</f>
        <v>0.44</v>
      </c>
      <c r="S165" s="385">
        <f t="shared" si="8"/>
        <v>0</v>
      </c>
      <c r="T165" s="205">
        <f t="shared" si="9"/>
        <v>0</v>
      </c>
      <c r="U165" s="392"/>
      <c r="V165" s="385"/>
      <c r="W165" s="385">
        <f>Roles!$D$6</f>
        <v>0.1</v>
      </c>
      <c r="X165" s="385"/>
      <c r="Y165" s="205">
        <f t="shared" si="10"/>
        <v>0</v>
      </c>
      <c r="Z165" s="392"/>
      <c r="AA165" s="385"/>
      <c r="AB165" s="385">
        <f>Roles!$D$6</f>
        <v>0.1</v>
      </c>
      <c r="AC165" s="385"/>
      <c r="AD165" s="205">
        <f t="shared" si="11"/>
        <v>0</v>
      </c>
      <c r="AE165" s="392"/>
      <c r="AF165" s="385"/>
      <c r="AG165" s="385">
        <f>Roles!$D$6</f>
        <v>0.1</v>
      </c>
      <c r="AH165" s="385"/>
      <c r="AI165" s="205">
        <f t="shared" si="12"/>
        <v>0</v>
      </c>
      <c r="AJ165" s="392"/>
      <c r="AK165" s="385"/>
      <c r="AL165" s="385">
        <f>Roles!$D$6</f>
        <v>0.1</v>
      </c>
      <c r="AM165" s="385"/>
      <c r="AN165" s="205">
        <f t="shared" si="13"/>
        <v>0</v>
      </c>
      <c r="AO165" s="392"/>
      <c r="AP165" s="385"/>
      <c r="AQ165" s="385">
        <f>Roles!$D$6</f>
        <v>0.1</v>
      </c>
      <c r="AR165" s="385"/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 t="shared" si="1"/>
        <v>8</v>
      </c>
      <c r="F166" s="246">
        <f>SUM(F167:F169)</f>
        <v>61</v>
      </c>
      <c r="G166" s="105">
        <f t="shared" si="2"/>
        <v>0.05254091301</v>
      </c>
      <c r="H166" s="226">
        <f>H169</f>
        <v>0.624461671</v>
      </c>
      <c r="I166" s="247">
        <f>SUM(I167:I169)</f>
        <v>61</v>
      </c>
      <c r="J166" s="247">
        <f>J169</f>
        <v>295</v>
      </c>
      <c r="K166" s="167">
        <f t="shared" si="3"/>
        <v>0.4338235294</v>
      </c>
      <c r="L166" s="247">
        <f>SUM(L167:L169)</f>
        <v>26.84</v>
      </c>
      <c r="M166" s="247">
        <f>M169</f>
        <v>129.8</v>
      </c>
      <c r="N166" s="7"/>
      <c r="O166" s="205">
        <f t="shared" si="7"/>
        <v>0</v>
      </c>
      <c r="P166" s="89"/>
      <c r="Q166" s="385"/>
      <c r="R166" s="385">
        <f>Roles!$D$5</f>
        <v>0.44</v>
      </c>
      <c r="S166" s="385">
        <f t="shared" si="8"/>
        <v>0</v>
      </c>
      <c r="T166" s="205">
        <f t="shared" si="9"/>
        <v>0</v>
      </c>
      <c r="U166" s="392"/>
      <c r="V166" s="385"/>
      <c r="W166" s="385">
        <f>Roles!$D$6</f>
        <v>0.1</v>
      </c>
      <c r="X166" s="385"/>
      <c r="Y166" s="205">
        <f t="shared" si="10"/>
        <v>0</v>
      </c>
      <c r="Z166" s="392"/>
      <c r="AA166" s="385"/>
      <c r="AB166" s="385">
        <f>Roles!$D$6</f>
        <v>0.1</v>
      </c>
      <c r="AC166" s="385"/>
      <c r="AD166" s="205">
        <f t="shared" si="11"/>
        <v>0</v>
      </c>
      <c r="AE166" s="392"/>
      <c r="AF166" s="385"/>
      <c r="AG166" s="385">
        <f>Roles!$D$6</f>
        <v>0.1</v>
      </c>
      <c r="AH166" s="385"/>
      <c r="AI166" s="205">
        <f t="shared" si="12"/>
        <v>0</v>
      </c>
      <c r="AJ166" s="392"/>
      <c r="AK166" s="385"/>
      <c r="AL166" s="385">
        <f>Roles!$D$6</f>
        <v>0.1</v>
      </c>
      <c r="AM166" s="385"/>
      <c r="AN166" s="205">
        <f t="shared" si="13"/>
        <v>0</v>
      </c>
      <c r="AO166" s="392"/>
      <c r="AP166" s="385"/>
      <c r="AQ166" s="385">
        <f>Roles!$D$6</f>
        <v>0.1</v>
      </c>
      <c r="AR166" s="385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 t="shared" si="1"/>
        <v>4</v>
      </c>
      <c r="F167" s="80">
        <v>30.0</v>
      </c>
      <c r="G167" s="105">
        <f t="shared" si="2"/>
        <v>0.02583979328</v>
      </c>
      <c r="H167" s="47">
        <f>H165+G167</f>
        <v>0.5977605512</v>
      </c>
      <c r="I167" s="231">
        <f t="shared" ref="I167:I169" si="142">P167+U167+Z167+AE167+AJ167+AO167</f>
        <v>30</v>
      </c>
      <c r="J167" s="172">
        <f>J165+I167</f>
        <v>264</v>
      </c>
      <c r="K167" s="115">
        <f t="shared" si="3"/>
        <v>0.3882352941</v>
      </c>
      <c r="L167" s="336">
        <f t="shared" ref="L167:L169" si="143">S167+X167+AC167+AH167+AM167+AR167</f>
        <v>13.2</v>
      </c>
      <c r="M167" s="172">
        <f>M165+L167</f>
        <v>116.16</v>
      </c>
      <c r="N167" s="7"/>
      <c r="O167" s="205">
        <f t="shared" si="7"/>
        <v>1</v>
      </c>
      <c r="P167" s="391">
        <v>30.0</v>
      </c>
      <c r="Q167" s="385"/>
      <c r="R167" s="385">
        <f>Roles!$D$5</f>
        <v>0.44</v>
      </c>
      <c r="S167" s="385">
        <f t="shared" si="8"/>
        <v>13.2</v>
      </c>
      <c r="T167" s="205">
        <f t="shared" si="9"/>
        <v>0</v>
      </c>
      <c r="U167" s="392"/>
      <c r="V167" s="385"/>
      <c r="W167" s="385">
        <f>Roles!$D$6</f>
        <v>0.1</v>
      </c>
      <c r="X167" s="385"/>
      <c r="Y167" s="205">
        <f t="shared" si="10"/>
        <v>0</v>
      </c>
      <c r="Z167" s="392"/>
      <c r="AA167" s="385"/>
      <c r="AB167" s="385">
        <f>Roles!$D$6</f>
        <v>0.1</v>
      </c>
      <c r="AC167" s="385"/>
      <c r="AD167" s="205">
        <f t="shared" si="11"/>
        <v>0</v>
      </c>
      <c r="AE167" s="392"/>
      <c r="AF167" s="385"/>
      <c r="AG167" s="385">
        <f>Roles!$D$6</f>
        <v>0.1</v>
      </c>
      <c r="AH167" s="385"/>
      <c r="AI167" s="205">
        <f t="shared" si="12"/>
        <v>0</v>
      </c>
      <c r="AJ167" s="392"/>
      <c r="AK167" s="385"/>
      <c r="AL167" s="385">
        <f>Roles!$D$6</f>
        <v>0.1</v>
      </c>
      <c r="AM167" s="385"/>
      <c r="AN167" s="205">
        <f t="shared" si="13"/>
        <v>0</v>
      </c>
      <c r="AO167" s="392"/>
      <c r="AP167" s="385"/>
      <c r="AQ167" s="385">
        <f>Roles!$D$6</f>
        <v>0.1</v>
      </c>
      <c r="AR167" s="385"/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 t="shared" si="1"/>
        <v>1</v>
      </c>
      <c r="F168" s="80">
        <v>1.0</v>
      </c>
      <c r="G168" s="105">
        <f t="shared" si="2"/>
        <v>0.0008613264427</v>
      </c>
      <c r="H168" s="47">
        <f t="shared" ref="H168:H169" si="144">H167+G168</f>
        <v>0.5986218777</v>
      </c>
      <c r="I168" s="231">
        <f t="shared" si="142"/>
        <v>1</v>
      </c>
      <c r="J168" s="172">
        <f t="shared" ref="J168:J169" si="145">J167+I168</f>
        <v>265</v>
      </c>
      <c r="K168" s="115">
        <f t="shared" si="3"/>
        <v>0.3897058824</v>
      </c>
      <c r="L168" s="336">
        <f t="shared" si="143"/>
        <v>0.44</v>
      </c>
      <c r="M168" s="172">
        <f t="shared" ref="M168:M169" si="146">M167+L168</f>
        <v>116.6</v>
      </c>
      <c r="N168" s="7"/>
      <c r="O168" s="205">
        <f t="shared" si="7"/>
        <v>1</v>
      </c>
      <c r="P168" s="391">
        <v>1.0</v>
      </c>
      <c r="Q168" s="385"/>
      <c r="R168" s="385">
        <f>Roles!$D$5</f>
        <v>0.44</v>
      </c>
      <c r="S168" s="385">
        <f t="shared" si="8"/>
        <v>0.44</v>
      </c>
      <c r="T168" s="205">
        <f t="shared" si="9"/>
        <v>0</v>
      </c>
      <c r="U168" s="392"/>
      <c r="V168" s="385"/>
      <c r="W168" s="385">
        <f>Roles!$D$6</f>
        <v>0.1</v>
      </c>
      <c r="X168" s="385"/>
      <c r="Y168" s="205">
        <f t="shared" si="10"/>
        <v>0</v>
      </c>
      <c r="Z168" s="392"/>
      <c r="AA168" s="385"/>
      <c r="AB168" s="385">
        <f>Roles!$D$6</f>
        <v>0.1</v>
      </c>
      <c r="AC168" s="385"/>
      <c r="AD168" s="205">
        <f t="shared" si="11"/>
        <v>0</v>
      </c>
      <c r="AE168" s="392"/>
      <c r="AF168" s="385"/>
      <c r="AG168" s="385">
        <f>Roles!$D$6</f>
        <v>0.1</v>
      </c>
      <c r="AH168" s="385"/>
      <c r="AI168" s="205">
        <f t="shared" si="12"/>
        <v>0</v>
      </c>
      <c r="AJ168" s="392"/>
      <c r="AK168" s="385"/>
      <c r="AL168" s="385">
        <f>Roles!$D$6</f>
        <v>0.1</v>
      </c>
      <c r="AM168" s="385"/>
      <c r="AN168" s="205">
        <f t="shared" si="13"/>
        <v>0</v>
      </c>
      <c r="AO168" s="392"/>
      <c r="AP168" s="385"/>
      <c r="AQ168" s="385">
        <f>Roles!$D$6</f>
        <v>0.1</v>
      </c>
      <c r="AR168" s="385"/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 t="shared" si="1"/>
        <v>4</v>
      </c>
      <c r="F169" s="80">
        <v>30.0</v>
      </c>
      <c r="G169" s="105">
        <f t="shared" si="2"/>
        <v>0.02583979328</v>
      </c>
      <c r="H169" s="47">
        <f t="shared" si="144"/>
        <v>0.624461671</v>
      </c>
      <c r="I169" s="231">
        <f t="shared" si="142"/>
        <v>30</v>
      </c>
      <c r="J169" s="172">
        <f t="shared" si="145"/>
        <v>295</v>
      </c>
      <c r="K169" s="115">
        <f t="shared" si="3"/>
        <v>0.4338235294</v>
      </c>
      <c r="L169" s="336">
        <f t="shared" si="143"/>
        <v>13.2</v>
      </c>
      <c r="M169" s="172">
        <f t="shared" si="146"/>
        <v>129.8</v>
      </c>
      <c r="N169" s="7"/>
      <c r="O169" s="205">
        <f t="shared" si="7"/>
        <v>1</v>
      </c>
      <c r="P169" s="391">
        <v>30.0</v>
      </c>
      <c r="Q169" s="385"/>
      <c r="R169" s="385">
        <f>Roles!$D$5</f>
        <v>0.44</v>
      </c>
      <c r="S169" s="385">
        <f t="shared" si="8"/>
        <v>13.2</v>
      </c>
      <c r="T169" s="205">
        <f t="shared" si="9"/>
        <v>0</v>
      </c>
      <c r="U169" s="392"/>
      <c r="V169" s="385"/>
      <c r="W169" s="385">
        <f>Roles!$D$6</f>
        <v>0.1</v>
      </c>
      <c r="X169" s="385"/>
      <c r="Y169" s="205">
        <f t="shared" si="10"/>
        <v>0</v>
      </c>
      <c r="Z169" s="392"/>
      <c r="AA169" s="385"/>
      <c r="AB169" s="385">
        <f>Roles!$D$6</f>
        <v>0.1</v>
      </c>
      <c r="AC169" s="385"/>
      <c r="AD169" s="205">
        <f t="shared" si="11"/>
        <v>0</v>
      </c>
      <c r="AE169" s="392"/>
      <c r="AF169" s="385"/>
      <c r="AG169" s="385">
        <f>Roles!$D$6</f>
        <v>0.1</v>
      </c>
      <c r="AH169" s="385"/>
      <c r="AI169" s="205">
        <f t="shared" si="12"/>
        <v>0</v>
      </c>
      <c r="AJ169" s="392"/>
      <c r="AK169" s="385"/>
      <c r="AL169" s="385">
        <f>Roles!$D$6</f>
        <v>0.1</v>
      </c>
      <c r="AM169" s="385"/>
      <c r="AN169" s="205">
        <f t="shared" si="13"/>
        <v>0</v>
      </c>
      <c r="AO169" s="392"/>
      <c r="AP169" s="385"/>
      <c r="AQ169" s="385">
        <f>Roles!$D$6</f>
        <v>0.1</v>
      </c>
      <c r="AR169" s="385"/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 t="shared" si="1"/>
        <v>7</v>
      </c>
      <c r="F170" s="246">
        <f>SUM(F171:F173)</f>
        <v>51</v>
      </c>
      <c r="G170" s="105">
        <f t="shared" si="2"/>
        <v>0.04392764858</v>
      </c>
      <c r="H170" s="226">
        <f>H173</f>
        <v>0.6683893196</v>
      </c>
      <c r="I170" s="247">
        <f>SUM(I171:I173)</f>
        <v>56</v>
      </c>
      <c r="J170" s="247">
        <f>J173</f>
        <v>351</v>
      </c>
      <c r="K170" s="167">
        <f t="shared" si="3"/>
        <v>0.5161764706</v>
      </c>
      <c r="L170" s="247">
        <f>SUM(L171:L173)</f>
        <v>24.64</v>
      </c>
      <c r="M170" s="247">
        <f>M173</f>
        <v>154.44</v>
      </c>
      <c r="N170" s="7"/>
      <c r="O170" s="205">
        <f t="shared" si="7"/>
        <v>0</v>
      </c>
      <c r="P170" s="89"/>
      <c r="Q170" s="385"/>
      <c r="R170" s="385">
        <f>Roles!$D$5</f>
        <v>0.44</v>
      </c>
      <c r="S170" s="385">
        <f t="shared" si="8"/>
        <v>0</v>
      </c>
      <c r="T170" s="205">
        <f t="shared" si="9"/>
        <v>0</v>
      </c>
      <c r="U170" s="392"/>
      <c r="V170" s="385"/>
      <c r="W170" s="385">
        <f>Roles!$D$6</f>
        <v>0.1</v>
      </c>
      <c r="X170" s="385"/>
      <c r="Y170" s="205">
        <f t="shared" si="10"/>
        <v>0</v>
      </c>
      <c r="Z170" s="392"/>
      <c r="AA170" s="385"/>
      <c r="AB170" s="385">
        <f>Roles!$D$6</f>
        <v>0.1</v>
      </c>
      <c r="AC170" s="385"/>
      <c r="AD170" s="205">
        <f t="shared" si="11"/>
        <v>0</v>
      </c>
      <c r="AE170" s="392"/>
      <c r="AF170" s="385"/>
      <c r="AG170" s="385">
        <f>Roles!$D$6</f>
        <v>0.1</v>
      </c>
      <c r="AH170" s="385"/>
      <c r="AI170" s="205">
        <f t="shared" si="12"/>
        <v>0</v>
      </c>
      <c r="AJ170" s="392"/>
      <c r="AK170" s="385"/>
      <c r="AL170" s="385">
        <f>Roles!$D$6</f>
        <v>0.1</v>
      </c>
      <c r="AM170" s="385"/>
      <c r="AN170" s="205">
        <f t="shared" si="13"/>
        <v>0</v>
      </c>
      <c r="AO170" s="392"/>
      <c r="AP170" s="385"/>
      <c r="AQ170" s="385">
        <f>Roles!$D$6</f>
        <v>0.1</v>
      </c>
      <c r="AR170" s="385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 t="shared" si="1"/>
        <v>1</v>
      </c>
      <c r="F171" s="80">
        <v>1.0</v>
      </c>
      <c r="G171" s="105">
        <f t="shared" si="2"/>
        <v>0.0008613264427</v>
      </c>
      <c r="H171" s="47">
        <f>H169+G171</f>
        <v>0.6253229974</v>
      </c>
      <c r="I171" s="231">
        <f t="shared" ref="I171:I173" si="147">P171+U171+Z171+AE171+AJ171+AO171</f>
        <v>1</v>
      </c>
      <c r="J171" s="172">
        <f>J169+I171</f>
        <v>296</v>
      </c>
      <c r="K171" s="115">
        <f t="shared" si="3"/>
        <v>0.4352941176</v>
      </c>
      <c r="L171" s="336">
        <f t="shared" ref="L171:L173" si="148">S171+X171+AC171+AH171+AM171+AR171</f>
        <v>0.44</v>
      </c>
      <c r="M171" s="172">
        <f>M169+L171</f>
        <v>130.24</v>
      </c>
      <c r="N171" s="7"/>
      <c r="O171" s="205">
        <f t="shared" si="7"/>
        <v>1</v>
      </c>
      <c r="P171" s="391">
        <v>1.0</v>
      </c>
      <c r="Q171" s="385"/>
      <c r="R171" s="385">
        <f>Roles!$D$5</f>
        <v>0.44</v>
      </c>
      <c r="S171" s="385">
        <f t="shared" si="8"/>
        <v>0.44</v>
      </c>
      <c r="T171" s="205">
        <f t="shared" si="9"/>
        <v>0</v>
      </c>
      <c r="U171" s="392"/>
      <c r="V171" s="385"/>
      <c r="W171" s="385">
        <f>Roles!$D$6</f>
        <v>0.1</v>
      </c>
      <c r="X171" s="385"/>
      <c r="Y171" s="205">
        <f t="shared" si="10"/>
        <v>0</v>
      </c>
      <c r="Z171" s="392"/>
      <c r="AA171" s="385"/>
      <c r="AB171" s="385">
        <f>Roles!$D$6</f>
        <v>0.1</v>
      </c>
      <c r="AC171" s="385"/>
      <c r="AD171" s="205">
        <f t="shared" si="11"/>
        <v>0</v>
      </c>
      <c r="AE171" s="392"/>
      <c r="AF171" s="385"/>
      <c r="AG171" s="385">
        <f>Roles!$D$6</f>
        <v>0.1</v>
      </c>
      <c r="AH171" s="385"/>
      <c r="AI171" s="205">
        <f t="shared" si="12"/>
        <v>0</v>
      </c>
      <c r="AJ171" s="392"/>
      <c r="AK171" s="385"/>
      <c r="AL171" s="385">
        <f>Roles!$D$6</f>
        <v>0.1</v>
      </c>
      <c r="AM171" s="385"/>
      <c r="AN171" s="205">
        <f t="shared" si="13"/>
        <v>0</v>
      </c>
      <c r="AO171" s="392"/>
      <c r="AP171" s="385"/>
      <c r="AQ171" s="385">
        <f>Roles!$D$6</f>
        <v>0.1</v>
      </c>
      <c r="AR171" s="385"/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 t="shared" si="1"/>
        <v>4</v>
      </c>
      <c r="F172" s="80">
        <v>25.0</v>
      </c>
      <c r="G172" s="105">
        <f t="shared" si="2"/>
        <v>0.02153316107</v>
      </c>
      <c r="H172" s="47">
        <f t="shared" ref="H172:H173" si="149">H171+G172</f>
        <v>0.6468561585</v>
      </c>
      <c r="I172" s="231">
        <f t="shared" si="147"/>
        <v>28</v>
      </c>
      <c r="J172" s="172">
        <f t="shared" ref="J172:J173" si="150">J171+I172</f>
        <v>324</v>
      </c>
      <c r="K172" s="115">
        <f t="shared" si="3"/>
        <v>0.4764705882</v>
      </c>
      <c r="L172" s="336">
        <f t="shared" si="148"/>
        <v>12.32</v>
      </c>
      <c r="M172" s="172">
        <f t="shared" ref="M172:M173" si="151">M171+L172</f>
        <v>142.56</v>
      </c>
      <c r="N172" s="7"/>
      <c r="O172" s="205">
        <f t="shared" si="7"/>
        <v>1.12</v>
      </c>
      <c r="P172" s="391">
        <v>28.0</v>
      </c>
      <c r="Q172" s="385"/>
      <c r="R172" s="385">
        <f>Roles!$D$5</f>
        <v>0.44</v>
      </c>
      <c r="S172" s="385">
        <f t="shared" si="8"/>
        <v>12.32</v>
      </c>
      <c r="T172" s="205">
        <f t="shared" si="9"/>
        <v>0</v>
      </c>
      <c r="U172" s="392"/>
      <c r="V172" s="385"/>
      <c r="W172" s="385">
        <f>Roles!$D$6</f>
        <v>0.1</v>
      </c>
      <c r="X172" s="385"/>
      <c r="Y172" s="205">
        <f t="shared" si="10"/>
        <v>0</v>
      </c>
      <c r="Z172" s="392"/>
      <c r="AA172" s="385"/>
      <c r="AB172" s="385">
        <f>Roles!$D$6</f>
        <v>0.1</v>
      </c>
      <c r="AC172" s="385"/>
      <c r="AD172" s="205">
        <f t="shared" si="11"/>
        <v>0</v>
      </c>
      <c r="AE172" s="392"/>
      <c r="AF172" s="385"/>
      <c r="AG172" s="385">
        <f>Roles!$D$6</f>
        <v>0.1</v>
      </c>
      <c r="AH172" s="385"/>
      <c r="AI172" s="205">
        <f t="shared" si="12"/>
        <v>0</v>
      </c>
      <c r="AJ172" s="392"/>
      <c r="AK172" s="385"/>
      <c r="AL172" s="385">
        <f>Roles!$D$6</f>
        <v>0.1</v>
      </c>
      <c r="AM172" s="385"/>
      <c r="AN172" s="205">
        <f t="shared" si="13"/>
        <v>0</v>
      </c>
      <c r="AO172" s="392"/>
      <c r="AP172" s="385"/>
      <c r="AQ172" s="385">
        <f>Roles!$D$6</f>
        <v>0.1</v>
      </c>
      <c r="AR172" s="385"/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 t="shared" si="1"/>
        <v>3</v>
      </c>
      <c r="F173" s="80">
        <v>25.0</v>
      </c>
      <c r="G173" s="105">
        <f t="shared" si="2"/>
        <v>0.02153316107</v>
      </c>
      <c r="H173" s="47">
        <f t="shared" si="149"/>
        <v>0.6683893196</v>
      </c>
      <c r="I173" s="231">
        <f t="shared" si="147"/>
        <v>27</v>
      </c>
      <c r="J173" s="172">
        <f t="shared" si="150"/>
        <v>351</v>
      </c>
      <c r="K173" s="115">
        <f t="shared" si="3"/>
        <v>0.5161764706</v>
      </c>
      <c r="L173" s="336">
        <f t="shared" si="148"/>
        <v>11.88</v>
      </c>
      <c r="M173" s="172">
        <f t="shared" si="151"/>
        <v>154.44</v>
      </c>
      <c r="N173" s="7"/>
      <c r="O173" s="205">
        <f t="shared" si="7"/>
        <v>1.08</v>
      </c>
      <c r="P173" s="391">
        <v>27.0</v>
      </c>
      <c r="Q173" s="385"/>
      <c r="R173" s="385">
        <f>Roles!$D$5</f>
        <v>0.44</v>
      </c>
      <c r="S173" s="385">
        <f t="shared" si="8"/>
        <v>11.88</v>
      </c>
      <c r="T173" s="205">
        <f t="shared" si="9"/>
        <v>0</v>
      </c>
      <c r="U173" s="392"/>
      <c r="V173" s="385"/>
      <c r="W173" s="385">
        <f>Roles!$D$6</f>
        <v>0.1</v>
      </c>
      <c r="X173" s="385"/>
      <c r="Y173" s="205">
        <f t="shared" si="10"/>
        <v>0</v>
      </c>
      <c r="Z173" s="392"/>
      <c r="AA173" s="385"/>
      <c r="AB173" s="385">
        <f>Roles!$D$6</f>
        <v>0.1</v>
      </c>
      <c r="AC173" s="385"/>
      <c r="AD173" s="205">
        <f t="shared" si="11"/>
        <v>0</v>
      </c>
      <c r="AE173" s="392"/>
      <c r="AF173" s="385"/>
      <c r="AG173" s="385">
        <f>Roles!$D$6</f>
        <v>0.1</v>
      </c>
      <c r="AH173" s="385"/>
      <c r="AI173" s="205">
        <f t="shared" si="12"/>
        <v>0</v>
      </c>
      <c r="AJ173" s="392"/>
      <c r="AK173" s="385"/>
      <c r="AL173" s="385">
        <f>Roles!$D$6</f>
        <v>0.1</v>
      </c>
      <c r="AM173" s="385"/>
      <c r="AN173" s="205">
        <f t="shared" si="13"/>
        <v>0</v>
      </c>
      <c r="AO173" s="392"/>
      <c r="AP173" s="385"/>
      <c r="AQ173" s="385">
        <f>Roles!$D$6</f>
        <v>0.1</v>
      </c>
      <c r="AR173" s="385"/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 t="shared" si="1"/>
        <v>4</v>
      </c>
      <c r="F174" s="246">
        <f>SUM(F175:F178)</f>
        <v>28</v>
      </c>
      <c r="G174" s="105">
        <f t="shared" si="2"/>
        <v>0.0241171404</v>
      </c>
      <c r="H174" s="226">
        <f>H178</f>
        <v>0.6925064599</v>
      </c>
      <c r="I174" s="247">
        <f>SUM(I175:I178)</f>
        <v>31</v>
      </c>
      <c r="J174" s="247">
        <f>J178</f>
        <v>382</v>
      </c>
      <c r="K174" s="167">
        <f t="shared" si="3"/>
        <v>0.5617647059</v>
      </c>
      <c r="L174" s="247">
        <f>SUM(L175:L178)</f>
        <v>13.64</v>
      </c>
      <c r="M174" s="247">
        <f>M178</f>
        <v>168.08</v>
      </c>
      <c r="N174" s="7"/>
      <c r="O174" s="205">
        <f t="shared" si="7"/>
        <v>0</v>
      </c>
      <c r="P174" s="89"/>
      <c r="Q174" s="385"/>
      <c r="R174" s="385">
        <f>Roles!$D$5</f>
        <v>0.44</v>
      </c>
      <c r="S174" s="385">
        <f t="shared" si="8"/>
        <v>0</v>
      </c>
      <c r="T174" s="205">
        <f t="shared" si="9"/>
        <v>0</v>
      </c>
      <c r="U174" s="392"/>
      <c r="V174" s="385"/>
      <c r="W174" s="385">
        <f>Roles!$D$6</f>
        <v>0.1</v>
      </c>
      <c r="X174" s="385"/>
      <c r="Y174" s="205">
        <f t="shared" si="10"/>
        <v>0</v>
      </c>
      <c r="Z174" s="392"/>
      <c r="AA174" s="385"/>
      <c r="AB174" s="385">
        <f>Roles!$D$6</f>
        <v>0.1</v>
      </c>
      <c r="AC174" s="385"/>
      <c r="AD174" s="205">
        <f t="shared" si="11"/>
        <v>0</v>
      </c>
      <c r="AE174" s="392"/>
      <c r="AF174" s="385"/>
      <c r="AG174" s="385">
        <f>Roles!$D$6</f>
        <v>0.1</v>
      </c>
      <c r="AH174" s="385"/>
      <c r="AI174" s="205">
        <f t="shared" si="12"/>
        <v>0</v>
      </c>
      <c r="AJ174" s="392"/>
      <c r="AK174" s="385"/>
      <c r="AL174" s="385">
        <f>Roles!$D$6</f>
        <v>0.1</v>
      </c>
      <c r="AM174" s="385"/>
      <c r="AN174" s="205">
        <f t="shared" si="13"/>
        <v>0</v>
      </c>
      <c r="AO174" s="392"/>
      <c r="AP174" s="385"/>
      <c r="AQ174" s="385">
        <f>Roles!$D$6</f>
        <v>0.1</v>
      </c>
      <c r="AR174" s="385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 t="shared" si="1"/>
        <v>1</v>
      </c>
      <c r="F175" s="80">
        <v>1.0</v>
      </c>
      <c r="G175" s="105">
        <f t="shared" si="2"/>
        <v>0.0008613264427</v>
      </c>
      <c r="H175" s="47">
        <f>H173+G175</f>
        <v>0.669250646</v>
      </c>
      <c r="I175" s="231">
        <f t="shared" ref="I175:I178" si="152">P175+U175+Z175+AE175+AJ175+AO175</f>
        <v>1</v>
      </c>
      <c r="J175" s="172">
        <f>J173+I175</f>
        <v>352</v>
      </c>
      <c r="K175" s="115">
        <f t="shared" si="3"/>
        <v>0.5176470588</v>
      </c>
      <c r="L175" s="336">
        <f t="shared" ref="L175:L178" si="153">S175+X175+AC175+AH175+AM175+AR175</f>
        <v>0.44</v>
      </c>
      <c r="M175" s="172">
        <f>M173+L175</f>
        <v>154.88</v>
      </c>
      <c r="N175" s="7"/>
      <c r="O175" s="205">
        <f t="shared" si="7"/>
        <v>1</v>
      </c>
      <c r="P175" s="391">
        <v>1.0</v>
      </c>
      <c r="Q175" s="385"/>
      <c r="R175" s="385">
        <f>Roles!$D$5</f>
        <v>0.44</v>
      </c>
      <c r="S175" s="385">
        <f t="shared" si="8"/>
        <v>0.44</v>
      </c>
      <c r="T175" s="205">
        <f t="shared" si="9"/>
        <v>0</v>
      </c>
      <c r="U175" s="392"/>
      <c r="V175" s="385"/>
      <c r="W175" s="385">
        <f>Roles!$D$6</f>
        <v>0.1</v>
      </c>
      <c r="X175" s="385"/>
      <c r="Y175" s="205">
        <f t="shared" si="10"/>
        <v>0</v>
      </c>
      <c r="Z175" s="392"/>
      <c r="AA175" s="385"/>
      <c r="AB175" s="385">
        <f>Roles!$D$6</f>
        <v>0.1</v>
      </c>
      <c r="AC175" s="385"/>
      <c r="AD175" s="205">
        <f t="shared" si="11"/>
        <v>0</v>
      </c>
      <c r="AE175" s="392"/>
      <c r="AF175" s="385"/>
      <c r="AG175" s="385">
        <f>Roles!$D$6</f>
        <v>0.1</v>
      </c>
      <c r="AH175" s="385"/>
      <c r="AI175" s="205">
        <f t="shared" si="12"/>
        <v>0</v>
      </c>
      <c r="AJ175" s="392"/>
      <c r="AK175" s="385"/>
      <c r="AL175" s="385">
        <f>Roles!$D$6</f>
        <v>0.1</v>
      </c>
      <c r="AM175" s="385"/>
      <c r="AN175" s="205">
        <f t="shared" si="13"/>
        <v>0</v>
      </c>
      <c r="AO175" s="392"/>
      <c r="AP175" s="385"/>
      <c r="AQ175" s="385">
        <f>Roles!$D$6</f>
        <v>0.1</v>
      </c>
      <c r="AR175" s="385"/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 t="shared" si="1"/>
        <v>2</v>
      </c>
      <c r="F176" s="80">
        <v>15.0</v>
      </c>
      <c r="G176" s="105">
        <f t="shared" si="2"/>
        <v>0.01291989664</v>
      </c>
      <c r="H176" s="47">
        <f t="shared" ref="H176:H178" si="154">H175+G176</f>
        <v>0.6821705426</v>
      </c>
      <c r="I176" s="231">
        <f t="shared" si="152"/>
        <v>18</v>
      </c>
      <c r="J176" s="172">
        <f t="shared" ref="J176:J178" si="155">J175+I176</f>
        <v>370</v>
      </c>
      <c r="K176" s="115">
        <f t="shared" si="3"/>
        <v>0.5441176471</v>
      </c>
      <c r="L176" s="336">
        <f t="shared" si="153"/>
        <v>7.92</v>
      </c>
      <c r="M176" s="172">
        <f t="shared" ref="M176:M178" si="156">M175+L176</f>
        <v>162.8</v>
      </c>
      <c r="N176" s="7"/>
      <c r="O176" s="205">
        <f t="shared" si="7"/>
        <v>1.2</v>
      </c>
      <c r="P176" s="391">
        <v>18.0</v>
      </c>
      <c r="Q176" s="385"/>
      <c r="R176" s="385">
        <f>Roles!$D$5</f>
        <v>0.44</v>
      </c>
      <c r="S176" s="385">
        <f t="shared" si="8"/>
        <v>7.92</v>
      </c>
      <c r="T176" s="205">
        <f t="shared" si="9"/>
        <v>0</v>
      </c>
      <c r="U176" s="392"/>
      <c r="V176" s="385"/>
      <c r="W176" s="385">
        <f>Roles!$D$6</f>
        <v>0.1</v>
      </c>
      <c r="X176" s="385"/>
      <c r="Y176" s="205">
        <f t="shared" si="10"/>
        <v>0</v>
      </c>
      <c r="Z176" s="392"/>
      <c r="AA176" s="385"/>
      <c r="AB176" s="385">
        <f>Roles!$D$6</f>
        <v>0.1</v>
      </c>
      <c r="AC176" s="385"/>
      <c r="AD176" s="205">
        <f t="shared" si="11"/>
        <v>0</v>
      </c>
      <c r="AE176" s="392"/>
      <c r="AF176" s="385"/>
      <c r="AG176" s="385">
        <f>Roles!$D$6</f>
        <v>0.1</v>
      </c>
      <c r="AH176" s="385"/>
      <c r="AI176" s="205">
        <f t="shared" si="12"/>
        <v>0</v>
      </c>
      <c r="AJ176" s="392"/>
      <c r="AK176" s="385"/>
      <c r="AL176" s="385">
        <f>Roles!$D$6</f>
        <v>0.1</v>
      </c>
      <c r="AM176" s="385"/>
      <c r="AN176" s="205">
        <f t="shared" si="13"/>
        <v>0</v>
      </c>
      <c r="AO176" s="392"/>
      <c r="AP176" s="385"/>
      <c r="AQ176" s="385">
        <f>Roles!$D$6</f>
        <v>0.1</v>
      </c>
      <c r="AR176" s="385"/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 t="shared" si="1"/>
        <v>2</v>
      </c>
      <c r="F177" s="80">
        <v>2.0</v>
      </c>
      <c r="G177" s="105">
        <f t="shared" si="2"/>
        <v>0.001722652885</v>
      </c>
      <c r="H177" s="47">
        <f t="shared" si="154"/>
        <v>0.6838931955</v>
      </c>
      <c r="I177" s="231">
        <f t="shared" si="152"/>
        <v>0</v>
      </c>
      <c r="J177" s="172">
        <f t="shared" si="155"/>
        <v>370</v>
      </c>
      <c r="K177" s="115">
        <f t="shared" si="3"/>
        <v>0.5441176471</v>
      </c>
      <c r="L177" s="336">
        <f t="shared" si="153"/>
        <v>0</v>
      </c>
      <c r="M177" s="172">
        <f t="shared" si="156"/>
        <v>162.8</v>
      </c>
      <c r="N177" s="7"/>
      <c r="O177" s="205">
        <f t="shared" si="7"/>
        <v>0</v>
      </c>
      <c r="P177" s="391">
        <v>0.0</v>
      </c>
      <c r="Q177" s="385"/>
      <c r="R177" s="385">
        <f>Roles!$D$5</f>
        <v>0.44</v>
      </c>
      <c r="S177" s="385">
        <f t="shared" si="8"/>
        <v>0</v>
      </c>
      <c r="T177" s="205">
        <f t="shared" si="9"/>
        <v>0</v>
      </c>
      <c r="U177" s="392"/>
      <c r="V177" s="385"/>
      <c r="W177" s="385">
        <f>Roles!$D$6</f>
        <v>0.1</v>
      </c>
      <c r="X177" s="385"/>
      <c r="Y177" s="205">
        <f t="shared" si="10"/>
        <v>0</v>
      </c>
      <c r="Z177" s="392"/>
      <c r="AA177" s="385"/>
      <c r="AB177" s="385">
        <f>Roles!$D$6</f>
        <v>0.1</v>
      </c>
      <c r="AC177" s="385"/>
      <c r="AD177" s="205">
        <f t="shared" si="11"/>
        <v>0</v>
      </c>
      <c r="AE177" s="392"/>
      <c r="AF177" s="385"/>
      <c r="AG177" s="385">
        <f>Roles!$D$6</f>
        <v>0.1</v>
      </c>
      <c r="AH177" s="385"/>
      <c r="AI177" s="205">
        <f t="shared" si="12"/>
        <v>0</v>
      </c>
      <c r="AJ177" s="392"/>
      <c r="AK177" s="385"/>
      <c r="AL177" s="385">
        <f>Roles!$D$6</f>
        <v>0.1</v>
      </c>
      <c r="AM177" s="385"/>
      <c r="AN177" s="205">
        <f t="shared" si="13"/>
        <v>0</v>
      </c>
      <c r="AO177" s="392"/>
      <c r="AP177" s="385"/>
      <c r="AQ177" s="385">
        <f>Roles!$D$6</f>
        <v>0.1</v>
      </c>
      <c r="AR177" s="385"/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 t="shared" si="1"/>
        <v>2</v>
      </c>
      <c r="F178" s="80">
        <v>10.0</v>
      </c>
      <c r="G178" s="105">
        <f t="shared" si="2"/>
        <v>0.008613264427</v>
      </c>
      <c r="H178" s="47">
        <f t="shared" si="154"/>
        <v>0.6925064599</v>
      </c>
      <c r="I178" s="231">
        <f t="shared" si="152"/>
        <v>12</v>
      </c>
      <c r="J178" s="172">
        <f t="shared" si="155"/>
        <v>382</v>
      </c>
      <c r="K178" s="115">
        <f t="shared" si="3"/>
        <v>0.5617647059</v>
      </c>
      <c r="L178" s="336">
        <f t="shared" si="153"/>
        <v>5.28</v>
      </c>
      <c r="M178" s="172">
        <f t="shared" si="156"/>
        <v>168.08</v>
      </c>
      <c r="N178" s="7"/>
      <c r="O178" s="205">
        <f t="shared" si="7"/>
        <v>1.2</v>
      </c>
      <c r="P178" s="391">
        <v>12.0</v>
      </c>
      <c r="Q178" s="385"/>
      <c r="R178" s="385">
        <f>Roles!$D$5</f>
        <v>0.44</v>
      </c>
      <c r="S178" s="385">
        <f t="shared" si="8"/>
        <v>5.28</v>
      </c>
      <c r="T178" s="205">
        <f t="shared" si="9"/>
        <v>0</v>
      </c>
      <c r="U178" s="392"/>
      <c r="V178" s="385"/>
      <c r="W178" s="385">
        <f>Roles!$D$6</f>
        <v>0.1</v>
      </c>
      <c r="X178" s="385"/>
      <c r="Y178" s="205">
        <f t="shared" si="10"/>
        <v>0</v>
      </c>
      <c r="Z178" s="392"/>
      <c r="AA178" s="385"/>
      <c r="AB178" s="385">
        <f>Roles!$D$6</f>
        <v>0.1</v>
      </c>
      <c r="AC178" s="385"/>
      <c r="AD178" s="205">
        <f t="shared" si="11"/>
        <v>0</v>
      </c>
      <c r="AE178" s="392"/>
      <c r="AF178" s="385"/>
      <c r="AG178" s="385">
        <f>Roles!$D$6</f>
        <v>0.1</v>
      </c>
      <c r="AH178" s="385"/>
      <c r="AI178" s="205">
        <f t="shared" si="12"/>
        <v>0</v>
      </c>
      <c r="AJ178" s="392"/>
      <c r="AK178" s="385"/>
      <c r="AL178" s="385">
        <f>Roles!$D$6</f>
        <v>0.1</v>
      </c>
      <c r="AM178" s="385"/>
      <c r="AN178" s="205">
        <f t="shared" si="13"/>
        <v>0</v>
      </c>
      <c r="AO178" s="392"/>
      <c r="AP178" s="385"/>
      <c r="AQ178" s="385">
        <f>Roles!$D$6</f>
        <v>0.1</v>
      </c>
      <c r="AR178" s="385"/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 t="shared" si="1"/>
        <v>4</v>
      </c>
      <c r="F179" s="246">
        <f>SUM(F180:F184)</f>
        <v>29</v>
      </c>
      <c r="G179" s="105">
        <f t="shared" si="2"/>
        <v>0.02497846684</v>
      </c>
      <c r="H179" s="226">
        <f>H184</f>
        <v>0.7174849268</v>
      </c>
      <c r="I179" s="247">
        <f>SUM(I180:I184)</f>
        <v>12</v>
      </c>
      <c r="J179" s="247">
        <f>J184</f>
        <v>394</v>
      </c>
      <c r="K179" s="167">
        <f t="shared" si="3"/>
        <v>0.5794117647</v>
      </c>
      <c r="L179" s="247">
        <f>SUM(L180:L184)</f>
        <v>5.28</v>
      </c>
      <c r="M179" s="247">
        <f>M184</f>
        <v>173.36</v>
      </c>
      <c r="N179" s="7"/>
      <c r="O179" s="205">
        <f t="shared" si="7"/>
        <v>0</v>
      </c>
      <c r="P179" s="89"/>
      <c r="Q179" s="385"/>
      <c r="R179" s="385">
        <f>Roles!$D$5</f>
        <v>0.44</v>
      </c>
      <c r="S179" s="385">
        <f t="shared" si="8"/>
        <v>0</v>
      </c>
      <c r="T179" s="205">
        <f t="shared" si="9"/>
        <v>0</v>
      </c>
      <c r="U179" s="392"/>
      <c r="V179" s="385"/>
      <c r="W179" s="385">
        <f>Roles!$D$6</f>
        <v>0.1</v>
      </c>
      <c r="X179" s="385"/>
      <c r="Y179" s="205">
        <f t="shared" si="10"/>
        <v>0</v>
      </c>
      <c r="Z179" s="392"/>
      <c r="AA179" s="385"/>
      <c r="AB179" s="385">
        <f>Roles!$D$6</f>
        <v>0.1</v>
      </c>
      <c r="AC179" s="385"/>
      <c r="AD179" s="205">
        <f t="shared" si="11"/>
        <v>0</v>
      </c>
      <c r="AE179" s="392"/>
      <c r="AF179" s="385"/>
      <c r="AG179" s="385">
        <f>Roles!$D$6</f>
        <v>0.1</v>
      </c>
      <c r="AH179" s="385"/>
      <c r="AI179" s="205">
        <f t="shared" si="12"/>
        <v>0</v>
      </c>
      <c r="AJ179" s="392"/>
      <c r="AK179" s="385"/>
      <c r="AL179" s="385">
        <f>Roles!$D$6</f>
        <v>0.1</v>
      </c>
      <c r="AM179" s="385"/>
      <c r="AN179" s="205">
        <f t="shared" si="13"/>
        <v>0</v>
      </c>
      <c r="AO179" s="392"/>
      <c r="AP179" s="385"/>
      <c r="AQ179" s="385">
        <f>Roles!$D$6</f>
        <v>0.1</v>
      </c>
      <c r="AR179" s="385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 t="shared" si="1"/>
        <v>3</v>
      </c>
      <c r="F180" s="80">
        <v>4.0</v>
      </c>
      <c r="G180" s="105">
        <f t="shared" si="2"/>
        <v>0.003445305771</v>
      </c>
      <c r="H180" s="47">
        <f>H178+G180</f>
        <v>0.6959517657</v>
      </c>
      <c r="I180" s="231">
        <f t="shared" ref="I180:I184" si="157">P180+U180+Z180+AE180+AJ180+AO180</f>
        <v>0</v>
      </c>
      <c r="J180" s="172">
        <f>J178+I180</f>
        <v>382</v>
      </c>
      <c r="K180" s="115">
        <f t="shared" si="3"/>
        <v>0.5617647059</v>
      </c>
      <c r="L180" s="336">
        <f t="shared" ref="L180:L184" si="158">S180+X180+AC180+AH180+AM180+AR180</f>
        <v>0</v>
      </c>
      <c r="M180" s="172">
        <f>M178+L180</f>
        <v>168.08</v>
      </c>
      <c r="N180" s="7"/>
      <c r="O180" s="205">
        <f t="shared" si="7"/>
        <v>0</v>
      </c>
      <c r="P180" s="391">
        <v>0.0</v>
      </c>
      <c r="Q180" s="385"/>
      <c r="R180" s="385">
        <f>Roles!$D$5</f>
        <v>0.44</v>
      </c>
      <c r="S180" s="385">
        <f t="shared" si="8"/>
        <v>0</v>
      </c>
      <c r="T180" s="205">
        <f t="shared" si="9"/>
        <v>0</v>
      </c>
      <c r="U180" s="392"/>
      <c r="V180" s="385"/>
      <c r="W180" s="385">
        <f>Roles!$D$6</f>
        <v>0.1</v>
      </c>
      <c r="X180" s="385"/>
      <c r="Y180" s="205">
        <f t="shared" si="10"/>
        <v>0</v>
      </c>
      <c r="Z180" s="392"/>
      <c r="AA180" s="385"/>
      <c r="AB180" s="385">
        <f>Roles!$D$6</f>
        <v>0.1</v>
      </c>
      <c r="AC180" s="385"/>
      <c r="AD180" s="205">
        <f t="shared" si="11"/>
        <v>0</v>
      </c>
      <c r="AE180" s="392"/>
      <c r="AF180" s="385"/>
      <c r="AG180" s="385">
        <f>Roles!$D$6</f>
        <v>0.1</v>
      </c>
      <c r="AH180" s="385"/>
      <c r="AI180" s="205">
        <f t="shared" si="12"/>
        <v>0</v>
      </c>
      <c r="AJ180" s="392"/>
      <c r="AK180" s="385"/>
      <c r="AL180" s="385">
        <f>Roles!$D$6</f>
        <v>0.1</v>
      </c>
      <c r="AM180" s="385"/>
      <c r="AN180" s="205">
        <f t="shared" si="13"/>
        <v>0</v>
      </c>
      <c r="AO180" s="392"/>
      <c r="AP180" s="385"/>
      <c r="AQ180" s="385">
        <f>Roles!$D$6</f>
        <v>0.1</v>
      </c>
      <c r="AR180" s="385"/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 t="shared" si="1"/>
        <v>2</v>
      </c>
      <c r="F181" s="80">
        <v>10.0</v>
      </c>
      <c r="G181" s="105">
        <f t="shared" si="2"/>
        <v>0.008613264427</v>
      </c>
      <c r="H181" s="47">
        <f t="shared" ref="H181:H185" si="159">H180+G181</f>
        <v>0.7045650301</v>
      </c>
      <c r="I181" s="231">
        <f t="shared" si="157"/>
        <v>0</v>
      </c>
      <c r="J181" s="172">
        <f t="shared" ref="J181:J185" si="160">J180+I181</f>
        <v>382</v>
      </c>
      <c r="K181" s="115">
        <f t="shared" si="3"/>
        <v>0.5617647059</v>
      </c>
      <c r="L181" s="336">
        <f t="shared" si="158"/>
        <v>0</v>
      </c>
      <c r="M181" s="172">
        <f t="shared" ref="M181:M185" si="161">M180+L181</f>
        <v>168.08</v>
      </c>
      <c r="N181" s="7"/>
      <c r="O181" s="205">
        <f t="shared" si="7"/>
        <v>0</v>
      </c>
      <c r="P181" s="391">
        <v>0.0</v>
      </c>
      <c r="Q181" s="385"/>
      <c r="R181" s="385">
        <f>Roles!$D$5</f>
        <v>0.44</v>
      </c>
      <c r="S181" s="385">
        <f t="shared" si="8"/>
        <v>0</v>
      </c>
      <c r="T181" s="205">
        <f t="shared" si="9"/>
        <v>0</v>
      </c>
      <c r="U181" s="392"/>
      <c r="V181" s="385"/>
      <c r="W181" s="385">
        <f>Roles!$D$6</f>
        <v>0.1</v>
      </c>
      <c r="X181" s="385"/>
      <c r="Y181" s="205">
        <f t="shared" si="10"/>
        <v>0</v>
      </c>
      <c r="Z181" s="392"/>
      <c r="AA181" s="385"/>
      <c r="AB181" s="385">
        <f>Roles!$D$6</f>
        <v>0.1</v>
      </c>
      <c r="AC181" s="385"/>
      <c r="AD181" s="205">
        <f t="shared" si="11"/>
        <v>0</v>
      </c>
      <c r="AE181" s="392"/>
      <c r="AF181" s="385"/>
      <c r="AG181" s="385">
        <f>Roles!$D$6</f>
        <v>0.1</v>
      </c>
      <c r="AH181" s="385"/>
      <c r="AI181" s="205">
        <f t="shared" si="12"/>
        <v>0</v>
      </c>
      <c r="AJ181" s="392"/>
      <c r="AK181" s="385"/>
      <c r="AL181" s="385">
        <f>Roles!$D$6</f>
        <v>0.1</v>
      </c>
      <c r="AM181" s="385"/>
      <c r="AN181" s="205">
        <f t="shared" si="13"/>
        <v>0</v>
      </c>
      <c r="AO181" s="392"/>
      <c r="AP181" s="385"/>
      <c r="AQ181" s="385">
        <f>Roles!$D$6</f>
        <v>0.1</v>
      </c>
      <c r="AR181" s="385"/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 t="shared" si="1"/>
        <v>2</v>
      </c>
      <c r="F182" s="80">
        <v>3.0</v>
      </c>
      <c r="G182" s="105">
        <f t="shared" si="2"/>
        <v>0.002583979328</v>
      </c>
      <c r="H182" s="47">
        <f t="shared" si="159"/>
        <v>0.7071490095</v>
      </c>
      <c r="I182" s="231">
        <f t="shared" si="157"/>
        <v>0</v>
      </c>
      <c r="J182" s="172">
        <f t="shared" si="160"/>
        <v>382</v>
      </c>
      <c r="K182" s="115">
        <f t="shared" si="3"/>
        <v>0.5617647059</v>
      </c>
      <c r="L182" s="336">
        <f t="shared" si="158"/>
        <v>0</v>
      </c>
      <c r="M182" s="172">
        <f t="shared" si="161"/>
        <v>168.08</v>
      </c>
      <c r="N182" s="7"/>
      <c r="O182" s="205">
        <f t="shared" si="7"/>
        <v>0</v>
      </c>
      <c r="P182" s="391">
        <v>0.0</v>
      </c>
      <c r="Q182" s="385"/>
      <c r="R182" s="385">
        <f>Roles!$D$5</f>
        <v>0.44</v>
      </c>
      <c r="S182" s="385">
        <f t="shared" si="8"/>
        <v>0</v>
      </c>
      <c r="T182" s="205">
        <f t="shared" si="9"/>
        <v>0</v>
      </c>
      <c r="U182" s="392"/>
      <c r="V182" s="385"/>
      <c r="W182" s="385">
        <f>Roles!$D$6</f>
        <v>0.1</v>
      </c>
      <c r="X182" s="385"/>
      <c r="Y182" s="205">
        <f t="shared" si="10"/>
        <v>0</v>
      </c>
      <c r="Z182" s="392"/>
      <c r="AA182" s="385"/>
      <c r="AB182" s="385">
        <f>Roles!$D$6</f>
        <v>0.1</v>
      </c>
      <c r="AC182" s="385"/>
      <c r="AD182" s="205">
        <f t="shared" si="11"/>
        <v>0</v>
      </c>
      <c r="AE182" s="392"/>
      <c r="AF182" s="385"/>
      <c r="AG182" s="385">
        <f>Roles!$D$6</f>
        <v>0.1</v>
      </c>
      <c r="AH182" s="385"/>
      <c r="AI182" s="205">
        <f t="shared" si="12"/>
        <v>0</v>
      </c>
      <c r="AJ182" s="392"/>
      <c r="AK182" s="385"/>
      <c r="AL182" s="385">
        <f>Roles!$D$6</f>
        <v>0.1</v>
      </c>
      <c r="AM182" s="385"/>
      <c r="AN182" s="205">
        <f t="shared" si="13"/>
        <v>0</v>
      </c>
      <c r="AO182" s="392"/>
      <c r="AP182" s="385"/>
      <c r="AQ182" s="385">
        <f>Roles!$D$6</f>
        <v>0.1</v>
      </c>
      <c r="AR182" s="385"/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 t="shared" si="1"/>
        <v>1</v>
      </c>
      <c r="F183" s="80">
        <v>2.0</v>
      </c>
      <c r="G183" s="105">
        <f t="shared" si="2"/>
        <v>0.001722652885</v>
      </c>
      <c r="H183" s="47">
        <f t="shared" si="159"/>
        <v>0.7088716624</v>
      </c>
      <c r="I183" s="231">
        <f t="shared" si="157"/>
        <v>0</v>
      </c>
      <c r="J183" s="172">
        <f t="shared" si="160"/>
        <v>382</v>
      </c>
      <c r="K183" s="115">
        <f t="shared" si="3"/>
        <v>0.5617647059</v>
      </c>
      <c r="L183" s="336">
        <f t="shared" si="158"/>
        <v>0</v>
      </c>
      <c r="M183" s="172">
        <f t="shared" si="161"/>
        <v>168.08</v>
      </c>
      <c r="N183" s="7"/>
      <c r="O183" s="205">
        <f t="shared" si="7"/>
        <v>0</v>
      </c>
      <c r="P183" s="391">
        <v>0.0</v>
      </c>
      <c r="Q183" s="385"/>
      <c r="R183" s="385">
        <f>Roles!$D$5</f>
        <v>0.44</v>
      </c>
      <c r="S183" s="385">
        <f t="shared" si="8"/>
        <v>0</v>
      </c>
      <c r="T183" s="205">
        <f t="shared" si="9"/>
        <v>0</v>
      </c>
      <c r="U183" s="392"/>
      <c r="V183" s="385"/>
      <c r="W183" s="385">
        <f>Roles!$D$6</f>
        <v>0.1</v>
      </c>
      <c r="X183" s="385"/>
      <c r="Y183" s="205">
        <f t="shared" si="10"/>
        <v>0</v>
      </c>
      <c r="Z183" s="392"/>
      <c r="AA183" s="385"/>
      <c r="AB183" s="385">
        <f>Roles!$D$6</f>
        <v>0.1</v>
      </c>
      <c r="AC183" s="385"/>
      <c r="AD183" s="205">
        <f t="shared" si="11"/>
        <v>0</v>
      </c>
      <c r="AE183" s="392"/>
      <c r="AF183" s="385"/>
      <c r="AG183" s="385">
        <f>Roles!$D$6</f>
        <v>0.1</v>
      </c>
      <c r="AH183" s="385"/>
      <c r="AI183" s="205">
        <f t="shared" si="12"/>
        <v>0</v>
      </c>
      <c r="AJ183" s="392"/>
      <c r="AK183" s="385"/>
      <c r="AL183" s="385">
        <f>Roles!$D$6</f>
        <v>0.1</v>
      </c>
      <c r="AM183" s="385"/>
      <c r="AN183" s="205">
        <f t="shared" si="13"/>
        <v>0</v>
      </c>
      <c r="AO183" s="392"/>
      <c r="AP183" s="385"/>
      <c r="AQ183" s="385">
        <f>Roles!$D$6</f>
        <v>0.1</v>
      </c>
      <c r="AR183" s="385"/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 t="shared" si="1"/>
        <v>1</v>
      </c>
      <c r="F184" s="80">
        <v>10.0</v>
      </c>
      <c r="G184" s="105">
        <f t="shared" si="2"/>
        <v>0.008613264427</v>
      </c>
      <c r="H184" s="47">
        <f t="shared" si="159"/>
        <v>0.7174849268</v>
      </c>
      <c r="I184" s="231">
        <f t="shared" si="157"/>
        <v>12</v>
      </c>
      <c r="J184" s="172">
        <f t="shared" si="160"/>
        <v>394</v>
      </c>
      <c r="K184" s="115">
        <f t="shared" si="3"/>
        <v>0.5794117647</v>
      </c>
      <c r="L184" s="336">
        <f t="shared" si="158"/>
        <v>5.28</v>
      </c>
      <c r="M184" s="172">
        <f t="shared" si="161"/>
        <v>173.36</v>
      </c>
      <c r="N184" s="7"/>
      <c r="O184" s="205">
        <f t="shared" si="7"/>
        <v>1.2</v>
      </c>
      <c r="P184" s="391">
        <v>12.0</v>
      </c>
      <c r="Q184" s="385"/>
      <c r="R184" s="385">
        <f>Roles!$D$5</f>
        <v>0.44</v>
      </c>
      <c r="S184" s="385">
        <f t="shared" si="8"/>
        <v>5.28</v>
      </c>
      <c r="T184" s="205">
        <f t="shared" si="9"/>
        <v>0</v>
      </c>
      <c r="U184" s="392"/>
      <c r="V184" s="385"/>
      <c r="W184" s="385">
        <f>Roles!$D$6</f>
        <v>0.1</v>
      </c>
      <c r="X184" s="385"/>
      <c r="Y184" s="205">
        <f t="shared" si="10"/>
        <v>0</v>
      </c>
      <c r="Z184" s="392"/>
      <c r="AA184" s="385"/>
      <c r="AB184" s="385">
        <f>Roles!$D$6</f>
        <v>0.1</v>
      </c>
      <c r="AC184" s="385"/>
      <c r="AD184" s="205">
        <f t="shared" si="11"/>
        <v>0</v>
      </c>
      <c r="AE184" s="392"/>
      <c r="AF184" s="385"/>
      <c r="AG184" s="385">
        <f>Roles!$D$6</f>
        <v>0.1</v>
      </c>
      <c r="AH184" s="385"/>
      <c r="AI184" s="205">
        <f t="shared" si="12"/>
        <v>0</v>
      </c>
      <c r="AJ184" s="392"/>
      <c r="AK184" s="385"/>
      <c r="AL184" s="385">
        <f>Roles!$D$6</f>
        <v>0.1</v>
      </c>
      <c r="AM184" s="385"/>
      <c r="AN184" s="205">
        <f t="shared" si="13"/>
        <v>0</v>
      </c>
      <c r="AO184" s="392"/>
      <c r="AP184" s="385"/>
      <c r="AQ184" s="385">
        <f>Roles!$D$6</f>
        <v>0.1</v>
      </c>
      <c r="AR184" s="385"/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 t="shared" si="1"/>
        <v>1</v>
      </c>
      <c r="F185" s="136">
        <v>0.0</v>
      </c>
      <c r="G185" s="105">
        <f t="shared" si="2"/>
        <v>0</v>
      </c>
      <c r="H185" s="115">
        <f t="shared" si="159"/>
        <v>0.7174849268</v>
      </c>
      <c r="I185" s="110">
        <f>F185</f>
        <v>0</v>
      </c>
      <c r="J185" s="110">
        <f t="shared" si="160"/>
        <v>394</v>
      </c>
      <c r="K185" s="115">
        <f t="shared" si="3"/>
        <v>0.5794117647</v>
      </c>
      <c r="L185" s="110">
        <v>0.0</v>
      </c>
      <c r="M185" s="110">
        <f t="shared" si="161"/>
        <v>173.36</v>
      </c>
      <c r="N185" s="7"/>
      <c r="O185" s="205" t="str">
        <f t="shared" si="7"/>
        <v>#DIV/0!</v>
      </c>
      <c r="P185" s="89"/>
      <c r="Q185" s="385"/>
      <c r="R185" s="385">
        <f>Roles!$D$5</f>
        <v>0.44</v>
      </c>
      <c r="S185" s="385">
        <f t="shared" si="8"/>
        <v>0</v>
      </c>
      <c r="T185" s="205" t="str">
        <f t="shared" si="9"/>
        <v>#DIV/0!</v>
      </c>
      <c r="U185" s="392"/>
      <c r="V185" s="385"/>
      <c r="W185" s="385">
        <f>Roles!$D$6</f>
        <v>0.1</v>
      </c>
      <c r="X185" s="385"/>
      <c r="Y185" s="205" t="str">
        <f t="shared" si="10"/>
        <v>#DIV/0!</v>
      </c>
      <c r="Z185" s="392"/>
      <c r="AA185" s="385"/>
      <c r="AB185" s="385">
        <f>Roles!$D$6</f>
        <v>0.1</v>
      </c>
      <c r="AC185" s="385"/>
      <c r="AD185" s="205" t="str">
        <f t="shared" si="11"/>
        <v>#DIV/0!</v>
      </c>
      <c r="AE185" s="392"/>
      <c r="AF185" s="385"/>
      <c r="AG185" s="385">
        <f>Roles!$D$6</f>
        <v>0.1</v>
      </c>
      <c r="AH185" s="385"/>
      <c r="AI185" s="205" t="str">
        <f t="shared" si="12"/>
        <v>#DIV/0!</v>
      </c>
      <c r="AJ185" s="392"/>
      <c r="AK185" s="385"/>
      <c r="AL185" s="385">
        <f>Roles!$D$6</f>
        <v>0.1</v>
      </c>
      <c r="AM185" s="385"/>
      <c r="AN185" s="205" t="str">
        <f t="shared" si="13"/>
        <v>#DIV/0!</v>
      </c>
      <c r="AO185" s="392"/>
      <c r="AP185" s="385"/>
      <c r="AQ185" s="385">
        <f>Roles!$D$6</f>
        <v>0.1</v>
      </c>
      <c r="AR185" s="385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 t="shared" si="1"/>
        <v>21</v>
      </c>
      <c r="F186" s="240">
        <f>F187+F194+F198+F202+F206</f>
        <v>209</v>
      </c>
      <c r="G186" s="105">
        <f t="shared" si="2"/>
        <v>0.1800172265</v>
      </c>
      <c r="H186" s="224">
        <f>H211</f>
        <v>0.8975021533</v>
      </c>
      <c r="I186" s="241">
        <f>I187+I194+I198+I202+I206</f>
        <v>206</v>
      </c>
      <c r="J186" s="241">
        <f>J211</f>
        <v>600</v>
      </c>
      <c r="K186" s="138">
        <f t="shared" si="3"/>
        <v>0.8823529412</v>
      </c>
      <c r="L186" s="241">
        <f>L187+L194+L198+L202+L206</f>
        <v>90.64</v>
      </c>
      <c r="M186" s="241">
        <f>M211</f>
        <v>264</v>
      </c>
      <c r="N186" s="7"/>
      <c r="O186" s="205">
        <f t="shared" si="7"/>
        <v>0</v>
      </c>
      <c r="P186" s="89"/>
      <c r="Q186" s="385"/>
      <c r="R186" s="385">
        <f>Roles!$D$5</f>
        <v>0.44</v>
      </c>
      <c r="S186" s="385">
        <f t="shared" si="8"/>
        <v>0</v>
      </c>
      <c r="T186" s="205">
        <f t="shared" si="9"/>
        <v>0</v>
      </c>
      <c r="U186" s="392"/>
      <c r="V186" s="385"/>
      <c r="W186" s="385">
        <f>Roles!$D$6</f>
        <v>0.1</v>
      </c>
      <c r="X186" s="385"/>
      <c r="Y186" s="205">
        <f t="shared" si="10"/>
        <v>0</v>
      </c>
      <c r="Z186" s="392"/>
      <c r="AA186" s="385"/>
      <c r="AB186" s="385">
        <f>Roles!$D$6</f>
        <v>0.1</v>
      </c>
      <c r="AC186" s="385"/>
      <c r="AD186" s="205">
        <f t="shared" si="11"/>
        <v>0</v>
      </c>
      <c r="AE186" s="392"/>
      <c r="AF186" s="385"/>
      <c r="AG186" s="385">
        <f>Roles!$D$6</f>
        <v>0.1</v>
      </c>
      <c r="AH186" s="385"/>
      <c r="AI186" s="205">
        <f t="shared" si="12"/>
        <v>0</v>
      </c>
      <c r="AJ186" s="392"/>
      <c r="AK186" s="385"/>
      <c r="AL186" s="385">
        <f>Roles!$D$6</f>
        <v>0.1</v>
      </c>
      <c r="AM186" s="385"/>
      <c r="AN186" s="205">
        <f t="shared" si="13"/>
        <v>0</v>
      </c>
      <c r="AO186" s="392"/>
      <c r="AP186" s="385"/>
      <c r="AQ186" s="385">
        <f>Roles!$D$6</f>
        <v>0.1</v>
      </c>
      <c r="AR186" s="385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 t="shared" si="1"/>
        <v>14</v>
      </c>
      <c r="F187" s="246">
        <f>SUM(F188:F193)</f>
        <v>19</v>
      </c>
      <c r="G187" s="105">
        <f t="shared" si="2"/>
        <v>0.01636520241</v>
      </c>
      <c r="H187" s="226">
        <f>H193</f>
        <v>0.7338501292</v>
      </c>
      <c r="I187" s="247">
        <f>SUM(I188:I193)</f>
        <v>4</v>
      </c>
      <c r="J187" s="247">
        <f>J193</f>
        <v>398</v>
      </c>
      <c r="K187" s="167">
        <f t="shared" si="3"/>
        <v>0.5852941176</v>
      </c>
      <c r="L187" s="247">
        <f>SUM(L188:L193)</f>
        <v>1.76</v>
      </c>
      <c r="M187" s="247">
        <f>M193</f>
        <v>175.12</v>
      </c>
      <c r="N187" s="7"/>
      <c r="O187" s="205">
        <f t="shared" si="7"/>
        <v>0</v>
      </c>
      <c r="P187" s="89"/>
      <c r="Q187" s="385"/>
      <c r="R187" s="385">
        <f>Roles!$D$5</f>
        <v>0.44</v>
      </c>
      <c r="S187" s="385">
        <f t="shared" si="8"/>
        <v>0</v>
      </c>
      <c r="T187" s="205">
        <f t="shared" si="9"/>
        <v>0</v>
      </c>
      <c r="U187" s="392"/>
      <c r="V187" s="385"/>
      <c r="W187" s="385">
        <f>Roles!$D$6</f>
        <v>0.1</v>
      </c>
      <c r="X187" s="385"/>
      <c r="Y187" s="205">
        <f t="shared" si="10"/>
        <v>0</v>
      </c>
      <c r="Z187" s="392"/>
      <c r="AA187" s="385"/>
      <c r="AB187" s="385">
        <f>Roles!$D$6</f>
        <v>0.1</v>
      </c>
      <c r="AC187" s="385"/>
      <c r="AD187" s="205">
        <f t="shared" si="11"/>
        <v>0</v>
      </c>
      <c r="AE187" s="392"/>
      <c r="AF187" s="385"/>
      <c r="AG187" s="385">
        <f>Roles!$D$6</f>
        <v>0.1</v>
      </c>
      <c r="AH187" s="385"/>
      <c r="AI187" s="205">
        <f t="shared" si="12"/>
        <v>0</v>
      </c>
      <c r="AJ187" s="392"/>
      <c r="AK187" s="385"/>
      <c r="AL187" s="385">
        <f>Roles!$D$6</f>
        <v>0.1</v>
      </c>
      <c r="AM187" s="385"/>
      <c r="AN187" s="205">
        <f t="shared" si="13"/>
        <v>0</v>
      </c>
      <c r="AO187" s="392"/>
      <c r="AP187" s="385"/>
      <c r="AQ187" s="385">
        <f>Roles!$D$6</f>
        <v>0.1</v>
      </c>
      <c r="AR187" s="385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 t="shared" si="1"/>
        <v>2</v>
      </c>
      <c r="F188" s="80">
        <v>3.0</v>
      </c>
      <c r="G188" s="105">
        <f t="shared" si="2"/>
        <v>0.002583979328</v>
      </c>
      <c r="H188" s="47">
        <f>H185+G188</f>
        <v>0.7200689061</v>
      </c>
      <c r="I188" s="231">
        <f t="shared" ref="I188:I193" si="162">P188+U188+Z188+AE188+AJ188+AO188</f>
        <v>0</v>
      </c>
      <c r="J188" s="172">
        <f>J185+I188</f>
        <v>394</v>
      </c>
      <c r="K188" s="115">
        <f t="shared" si="3"/>
        <v>0.5794117647</v>
      </c>
      <c r="L188" s="336">
        <f t="shared" ref="L188:L193" si="163">S188+X188+AC188+AH188+AM188+AR188</f>
        <v>0</v>
      </c>
      <c r="M188" s="172">
        <f>M185+L188</f>
        <v>173.36</v>
      </c>
      <c r="N188" s="7"/>
      <c r="O188" s="205">
        <f t="shared" si="7"/>
        <v>0</v>
      </c>
      <c r="P188" s="391">
        <v>0.0</v>
      </c>
      <c r="Q188" s="385"/>
      <c r="R188" s="385">
        <f>Roles!$D$5</f>
        <v>0.44</v>
      </c>
      <c r="S188" s="385">
        <f t="shared" si="8"/>
        <v>0</v>
      </c>
      <c r="T188" s="205">
        <f t="shared" si="9"/>
        <v>0</v>
      </c>
      <c r="U188" s="392"/>
      <c r="V188" s="385"/>
      <c r="W188" s="385">
        <f>Roles!$D$6</f>
        <v>0.1</v>
      </c>
      <c r="X188" s="385"/>
      <c r="Y188" s="205">
        <f t="shared" si="10"/>
        <v>0</v>
      </c>
      <c r="Z188" s="392"/>
      <c r="AA188" s="385"/>
      <c r="AB188" s="385">
        <f>Roles!$D$6</f>
        <v>0.1</v>
      </c>
      <c r="AC188" s="385"/>
      <c r="AD188" s="205">
        <f t="shared" si="11"/>
        <v>0</v>
      </c>
      <c r="AE188" s="392"/>
      <c r="AF188" s="385"/>
      <c r="AG188" s="385">
        <f>Roles!$D$6</f>
        <v>0.1</v>
      </c>
      <c r="AH188" s="385"/>
      <c r="AI188" s="205">
        <f t="shared" si="12"/>
        <v>0</v>
      </c>
      <c r="AJ188" s="392"/>
      <c r="AK188" s="385"/>
      <c r="AL188" s="385">
        <f>Roles!$D$6</f>
        <v>0.1</v>
      </c>
      <c r="AM188" s="385"/>
      <c r="AN188" s="205">
        <f t="shared" si="13"/>
        <v>0</v>
      </c>
      <c r="AO188" s="392"/>
      <c r="AP188" s="385"/>
      <c r="AQ188" s="385">
        <f>Roles!$D$6</f>
        <v>0.1</v>
      </c>
      <c r="AR188" s="385"/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 t="shared" si="1"/>
        <v>3</v>
      </c>
      <c r="F189" s="80">
        <v>4.0</v>
      </c>
      <c r="G189" s="105">
        <f t="shared" si="2"/>
        <v>0.003445305771</v>
      </c>
      <c r="H189" s="47">
        <f t="shared" ref="H189:H193" si="164">H188+G189</f>
        <v>0.7235142119</v>
      </c>
      <c r="I189" s="231">
        <f t="shared" si="162"/>
        <v>4</v>
      </c>
      <c r="J189" s="172">
        <f t="shared" ref="J189:J193" si="165">J188+I189</f>
        <v>398</v>
      </c>
      <c r="K189" s="115">
        <f t="shared" si="3"/>
        <v>0.5852941176</v>
      </c>
      <c r="L189" s="336">
        <f t="shared" si="163"/>
        <v>1.76</v>
      </c>
      <c r="M189" s="172">
        <f t="shared" ref="M189:M193" si="166">M188+L189</f>
        <v>175.12</v>
      </c>
      <c r="N189" s="7"/>
      <c r="O189" s="205">
        <f t="shared" si="7"/>
        <v>1</v>
      </c>
      <c r="P189" s="391">
        <v>4.0</v>
      </c>
      <c r="Q189" s="385"/>
      <c r="R189" s="385">
        <f>Roles!$D$5</f>
        <v>0.44</v>
      </c>
      <c r="S189" s="385">
        <f t="shared" si="8"/>
        <v>1.76</v>
      </c>
      <c r="T189" s="205">
        <f t="shared" si="9"/>
        <v>0</v>
      </c>
      <c r="U189" s="392"/>
      <c r="V189" s="385"/>
      <c r="W189" s="385">
        <f>Roles!$D$6</f>
        <v>0.1</v>
      </c>
      <c r="X189" s="385"/>
      <c r="Y189" s="205">
        <f t="shared" si="10"/>
        <v>0</v>
      </c>
      <c r="Z189" s="392"/>
      <c r="AA189" s="385"/>
      <c r="AB189" s="385">
        <f>Roles!$D$6</f>
        <v>0.1</v>
      </c>
      <c r="AC189" s="385"/>
      <c r="AD189" s="205">
        <f t="shared" si="11"/>
        <v>0</v>
      </c>
      <c r="AE189" s="392"/>
      <c r="AF189" s="385"/>
      <c r="AG189" s="385">
        <f>Roles!$D$6</f>
        <v>0.1</v>
      </c>
      <c r="AH189" s="385"/>
      <c r="AI189" s="205">
        <f t="shared" si="12"/>
        <v>0</v>
      </c>
      <c r="AJ189" s="392"/>
      <c r="AK189" s="385"/>
      <c r="AL189" s="385">
        <f>Roles!$D$6</f>
        <v>0.1</v>
      </c>
      <c r="AM189" s="385"/>
      <c r="AN189" s="205">
        <f t="shared" si="13"/>
        <v>0</v>
      </c>
      <c r="AO189" s="392"/>
      <c r="AP189" s="385"/>
      <c r="AQ189" s="385">
        <f>Roles!$D$6</f>
        <v>0.1</v>
      </c>
      <c r="AR189" s="385"/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 t="shared" si="1"/>
        <v>2</v>
      </c>
      <c r="F190" s="80">
        <v>3.0</v>
      </c>
      <c r="G190" s="105">
        <f t="shared" si="2"/>
        <v>0.002583979328</v>
      </c>
      <c r="H190" s="47">
        <f t="shared" si="164"/>
        <v>0.7260981912</v>
      </c>
      <c r="I190" s="231">
        <f t="shared" si="162"/>
        <v>0</v>
      </c>
      <c r="J190" s="172">
        <f t="shared" si="165"/>
        <v>398</v>
      </c>
      <c r="K190" s="115">
        <f t="shared" si="3"/>
        <v>0.5852941176</v>
      </c>
      <c r="L190" s="336">
        <f t="shared" si="163"/>
        <v>0</v>
      </c>
      <c r="M190" s="172">
        <f t="shared" si="166"/>
        <v>175.12</v>
      </c>
      <c r="N190" s="7"/>
      <c r="O190" s="205">
        <f t="shared" si="7"/>
        <v>0</v>
      </c>
      <c r="P190" s="391">
        <v>0.0</v>
      </c>
      <c r="Q190" s="385"/>
      <c r="R190" s="385">
        <f>Roles!$D$5</f>
        <v>0.44</v>
      </c>
      <c r="S190" s="385">
        <f t="shared" si="8"/>
        <v>0</v>
      </c>
      <c r="T190" s="205">
        <f t="shared" si="9"/>
        <v>0</v>
      </c>
      <c r="U190" s="392"/>
      <c r="V190" s="385"/>
      <c r="W190" s="385">
        <f>Roles!$D$6</f>
        <v>0.1</v>
      </c>
      <c r="X190" s="385"/>
      <c r="Y190" s="205">
        <f t="shared" si="10"/>
        <v>0</v>
      </c>
      <c r="Z190" s="392"/>
      <c r="AA190" s="385"/>
      <c r="AB190" s="385">
        <f>Roles!$D$6</f>
        <v>0.1</v>
      </c>
      <c r="AC190" s="385"/>
      <c r="AD190" s="205">
        <f t="shared" si="11"/>
        <v>0</v>
      </c>
      <c r="AE190" s="392"/>
      <c r="AF190" s="385"/>
      <c r="AG190" s="385">
        <f>Roles!$D$6</f>
        <v>0.1</v>
      </c>
      <c r="AH190" s="385"/>
      <c r="AI190" s="205">
        <f t="shared" si="12"/>
        <v>0</v>
      </c>
      <c r="AJ190" s="392"/>
      <c r="AK190" s="385"/>
      <c r="AL190" s="385">
        <f>Roles!$D$6</f>
        <v>0.1</v>
      </c>
      <c r="AM190" s="385"/>
      <c r="AN190" s="205">
        <f t="shared" si="13"/>
        <v>0</v>
      </c>
      <c r="AO190" s="392"/>
      <c r="AP190" s="385"/>
      <c r="AQ190" s="385">
        <f>Roles!$D$6</f>
        <v>0.1</v>
      </c>
      <c r="AR190" s="385"/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 t="shared" si="1"/>
        <v>2</v>
      </c>
      <c r="F191" s="80">
        <v>3.0</v>
      </c>
      <c r="G191" s="105">
        <f t="shared" si="2"/>
        <v>0.002583979328</v>
      </c>
      <c r="H191" s="47">
        <f t="shared" si="164"/>
        <v>0.7286821705</v>
      </c>
      <c r="I191" s="231">
        <f t="shared" si="162"/>
        <v>0</v>
      </c>
      <c r="J191" s="172">
        <f t="shared" si="165"/>
        <v>398</v>
      </c>
      <c r="K191" s="115">
        <f t="shared" si="3"/>
        <v>0.5852941176</v>
      </c>
      <c r="L191" s="336">
        <f t="shared" si="163"/>
        <v>0</v>
      </c>
      <c r="M191" s="172">
        <f t="shared" si="166"/>
        <v>175.12</v>
      </c>
      <c r="N191" s="7"/>
      <c r="O191" s="205">
        <f t="shared" si="7"/>
        <v>0</v>
      </c>
      <c r="P191" s="391">
        <v>0.0</v>
      </c>
      <c r="Q191" s="385"/>
      <c r="R191" s="385">
        <f>Roles!$D$5</f>
        <v>0.44</v>
      </c>
      <c r="S191" s="385">
        <f t="shared" si="8"/>
        <v>0</v>
      </c>
      <c r="T191" s="205">
        <f t="shared" si="9"/>
        <v>0</v>
      </c>
      <c r="U191" s="392"/>
      <c r="V191" s="385"/>
      <c r="W191" s="385">
        <f>Roles!$D$6</f>
        <v>0.1</v>
      </c>
      <c r="X191" s="385"/>
      <c r="Y191" s="205">
        <f t="shared" si="10"/>
        <v>0</v>
      </c>
      <c r="Z191" s="392"/>
      <c r="AA191" s="385"/>
      <c r="AB191" s="385">
        <f>Roles!$D$6</f>
        <v>0.1</v>
      </c>
      <c r="AC191" s="385"/>
      <c r="AD191" s="205">
        <f t="shared" si="11"/>
        <v>0</v>
      </c>
      <c r="AE191" s="392"/>
      <c r="AF191" s="385"/>
      <c r="AG191" s="385">
        <f>Roles!$D$6</f>
        <v>0.1</v>
      </c>
      <c r="AH191" s="385"/>
      <c r="AI191" s="205">
        <f t="shared" si="12"/>
        <v>0</v>
      </c>
      <c r="AJ191" s="392"/>
      <c r="AK191" s="385"/>
      <c r="AL191" s="385">
        <f>Roles!$D$6</f>
        <v>0.1</v>
      </c>
      <c r="AM191" s="385"/>
      <c r="AN191" s="205">
        <f t="shared" si="13"/>
        <v>0</v>
      </c>
      <c r="AO191" s="392"/>
      <c r="AP191" s="385"/>
      <c r="AQ191" s="385">
        <f>Roles!$D$6</f>
        <v>0.1</v>
      </c>
      <c r="AR191" s="385"/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 t="shared" si="1"/>
        <v>2</v>
      </c>
      <c r="F192" s="80">
        <v>3.0</v>
      </c>
      <c r="G192" s="105">
        <f t="shared" si="2"/>
        <v>0.002583979328</v>
      </c>
      <c r="H192" s="47">
        <f t="shared" si="164"/>
        <v>0.7312661499</v>
      </c>
      <c r="I192" s="231">
        <f t="shared" si="162"/>
        <v>0</v>
      </c>
      <c r="J192" s="172">
        <f t="shared" si="165"/>
        <v>398</v>
      </c>
      <c r="K192" s="115">
        <f t="shared" si="3"/>
        <v>0.5852941176</v>
      </c>
      <c r="L192" s="336">
        <f t="shared" si="163"/>
        <v>0</v>
      </c>
      <c r="M192" s="172">
        <f t="shared" si="166"/>
        <v>175.12</v>
      </c>
      <c r="N192" s="7"/>
      <c r="O192" s="205">
        <f t="shared" si="7"/>
        <v>0</v>
      </c>
      <c r="P192" s="391">
        <v>0.0</v>
      </c>
      <c r="Q192" s="385"/>
      <c r="R192" s="385">
        <f>Roles!$D$5</f>
        <v>0.44</v>
      </c>
      <c r="S192" s="385">
        <f t="shared" si="8"/>
        <v>0</v>
      </c>
      <c r="T192" s="205">
        <f t="shared" si="9"/>
        <v>0</v>
      </c>
      <c r="U192" s="392"/>
      <c r="V192" s="385"/>
      <c r="W192" s="385">
        <f>Roles!$D$6</f>
        <v>0.1</v>
      </c>
      <c r="X192" s="385"/>
      <c r="Y192" s="205">
        <f t="shared" si="10"/>
        <v>0</v>
      </c>
      <c r="Z192" s="392"/>
      <c r="AA192" s="385"/>
      <c r="AB192" s="385">
        <f>Roles!$D$6</f>
        <v>0.1</v>
      </c>
      <c r="AC192" s="385"/>
      <c r="AD192" s="205">
        <f t="shared" si="11"/>
        <v>0</v>
      </c>
      <c r="AE192" s="392"/>
      <c r="AF192" s="385"/>
      <c r="AG192" s="385">
        <f>Roles!$D$6</f>
        <v>0.1</v>
      </c>
      <c r="AH192" s="385"/>
      <c r="AI192" s="205">
        <f t="shared" si="12"/>
        <v>0</v>
      </c>
      <c r="AJ192" s="392"/>
      <c r="AK192" s="385"/>
      <c r="AL192" s="385">
        <f>Roles!$D$6</f>
        <v>0.1</v>
      </c>
      <c r="AM192" s="385"/>
      <c r="AN192" s="205">
        <f t="shared" si="13"/>
        <v>0</v>
      </c>
      <c r="AO192" s="392"/>
      <c r="AP192" s="385"/>
      <c r="AQ192" s="385">
        <f>Roles!$D$6</f>
        <v>0.1</v>
      </c>
      <c r="AR192" s="385"/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 t="shared" si="1"/>
        <v>2</v>
      </c>
      <c r="F193" s="80">
        <v>3.0</v>
      </c>
      <c r="G193" s="105">
        <f t="shared" si="2"/>
        <v>0.002583979328</v>
      </c>
      <c r="H193" s="47">
        <f t="shared" si="164"/>
        <v>0.7338501292</v>
      </c>
      <c r="I193" s="231">
        <f t="shared" si="162"/>
        <v>0</v>
      </c>
      <c r="J193" s="172">
        <f t="shared" si="165"/>
        <v>398</v>
      </c>
      <c r="K193" s="115">
        <f t="shared" si="3"/>
        <v>0.5852941176</v>
      </c>
      <c r="L193" s="336">
        <f t="shared" si="163"/>
        <v>0</v>
      </c>
      <c r="M193" s="172">
        <f t="shared" si="166"/>
        <v>175.12</v>
      </c>
      <c r="N193" s="7"/>
      <c r="O193" s="205">
        <f t="shared" si="7"/>
        <v>0</v>
      </c>
      <c r="P193" s="391">
        <v>0.0</v>
      </c>
      <c r="Q193" s="385"/>
      <c r="R193" s="385">
        <f>Roles!$D$5</f>
        <v>0.44</v>
      </c>
      <c r="S193" s="385">
        <f t="shared" si="8"/>
        <v>0</v>
      </c>
      <c r="T193" s="205">
        <f t="shared" si="9"/>
        <v>0</v>
      </c>
      <c r="U193" s="392"/>
      <c r="V193" s="385"/>
      <c r="W193" s="385">
        <f>Roles!$D$6</f>
        <v>0.1</v>
      </c>
      <c r="X193" s="385"/>
      <c r="Y193" s="205">
        <f t="shared" si="10"/>
        <v>0</v>
      </c>
      <c r="Z193" s="392"/>
      <c r="AA193" s="385"/>
      <c r="AB193" s="385">
        <f>Roles!$D$6</f>
        <v>0.1</v>
      </c>
      <c r="AC193" s="385"/>
      <c r="AD193" s="205">
        <f t="shared" si="11"/>
        <v>0</v>
      </c>
      <c r="AE193" s="392"/>
      <c r="AF193" s="385"/>
      <c r="AG193" s="385">
        <f>Roles!$D$6</f>
        <v>0.1</v>
      </c>
      <c r="AH193" s="385"/>
      <c r="AI193" s="205">
        <f t="shared" si="12"/>
        <v>0</v>
      </c>
      <c r="AJ193" s="392"/>
      <c r="AK193" s="385"/>
      <c r="AL193" s="385">
        <f>Roles!$D$6</f>
        <v>0.1</v>
      </c>
      <c r="AM193" s="385"/>
      <c r="AN193" s="205">
        <f t="shared" si="13"/>
        <v>0</v>
      </c>
      <c r="AO193" s="392"/>
      <c r="AP193" s="385"/>
      <c r="AQ193" s="385">
        <f>Roles!$D$6</f>
        <v>0.1</v>
      </c>
      <c r="AR193" s="385"/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 t="shared" si="1"/>
        <v>8</v>
      </c>
      <c r="F194" s="246">
        <f>SUM(F195:F197)</f>
        <v>71</v>
      </c>
      <c r="G194" s="105">
        <f t="shared" si="2"/>
        <v>0.06115417743</v>
      </c>
      <c r="H194" s="226">
        <f>H197</f>
        <v>0.7950043066</v>
      </c>
      <c r="I194" s="247">
        <f>SUM(I195:I197)</f>
        <v>73</v>
      </c>
      <c r="J194" s="247">
        <f>J197</f>
        <v>471</v>
      </c>
      <c r="K194" s="167">
        <f t="shared" si="3"/>
        <v>0.6926470588</v>
      </c>
      <c r="L194" s="247">
        <f>SUM(L195:L197)</f>
        <v>32.12</v>
      </c>
      <c r="M194" s="247">
        <f>M197</f>
        <v>207.24</v>
      </c>
      <c r="N194" s="7"/>
      <c r="O194" s="205">
        <f t="shared" si="7"/>
        <v>0</v>
      </c>
      <c r="P194" s="89"/>
      <c r="Q194" s="385"/>
      <c r="R194" s="385">
        <f>Roles!$D$5</f>
        <v>0.44</v>
      </c>
      <c r="S194" s="385">
        <f t="shared" si="8"/>
        <v>0</v>
      </c>
      <c r="T194" s="205">
        <f t="shared" si="9"/>
        <v>0</v>
      </c>
      <c r="U194" s="392"/>
      <c r="V194" s="385"/>
      <c r="W194" s="385">
        <f>Roles!$D$6</f>
        <v>0.1</v>
      </c>
      <c r="X194" s="385"/>
      <c r="Y194" s="205">
        <f t="shared" si="10"/>
        <v>0</v>
      </c>
      <c r="Z194" s="392"/>
      <c r="AA194" s="385"/>
      <c r="AB194" s="385">
        <f>Roles!$D$6</f>
        <v>0.1</v>
      </c>
      <c r="AC194" s="385"/>
      <c r="AD194" s="205">
        <f t="shared" si="11"/>
        <v>0</v>
      </c>
      <c r="AE194" s="392"/>
      <c r="AF194" s="385"/>
      <c r="AG194" s="385">
        <f>Roles!$D$6</f>
        <v>0.1</v>
      </c>
      <c r="AH194" s="385"/>
      <c r="AI194" s="205">
        <f t="shared" si="12"/>
        <v>0</v>
      </c>
      <c r="AJ194" s="392"/>
      <c r="AK194" s="385"/>
      <c r="AL194" s="385">
        <f>Roles!$D$6</f>
        <v>0.1</v>
      </c>
      <c r="AM194" s="385"/>
      <c r="AN194" s="205">
        <f t="shared" si="13"/>
        <v>0</v>
      </c>
      <c r="AO194" s="392"/>
      <c r="AP194" s="385"/>
      <c r="AQ194" s="385">
        <f>Roles!$D$6</f>
        <v>0.1</v>
      </c>
      <c r="AR194" s="385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 t="shared" si="1"/>
        <v>4</v>
      </c>
      <c r="F195" s="80">
        <v>35.0</v>
      </c>
      <c r="G195" s="105">
        <f t="shared" si="2"/>
        <v>0.0301464255</v>
      </c>
      <c r="H195" s="47">
        <f>H193+G195</f>
        <v>0.7639965547</v>
      </c>
      <c r="I195" s="231">
        <f t="shared" ref="I195:I197" si="167">P195+U195+Z195+AE195+AJ195+AO195</f>
        <v>36</v>
      </c>
      <c r="J195" s="172">
        <f>J193+I195</f>
        <v>434</v>
      </c>
      <c r="K195" s="115">
        <f t="shared" si="3"/>
        <v>0.6382352941</v>
      </c>
      <c r="L195" s="336">
        <f t="shared" ref="L195:L197" si="168">S195+X195+AC195+AH195+AM195+AR195</f>
        <v>15.84</v>
      </c>
      <c r="M195" s="172">
        <f>M193+L195</f>
        <v>190.96</v>
      </c>
      <c r="N195" s="7"/>
      <c r="O195" s="205">
        <f t="shared" si="7"/>
        <v>1.028571429</v>
      </c>
      <c r="P195" s="391">
        <v>36.0</v>
      </c>
      <c r="Q195" s="385"/>
      <c r="R195" s="385">
        <f>Roles!$D$5</f>
        <v>0.44</v>
      </c>
      <c r="S195" s="385">
        <f t="shared" si="8"/>
        <v>15.84</v>
      </c>
      <c r="T195" s="205">
        <f t="shared" si="9"/>
        <v>0</v>
      </c>
      <c r="U195" s="392"/>
      <c r="V195" s="385"/>
      <c r="W195" s="385">
        <f>Roles!$D$6</f>
        <v>0.1</v>
      </c>
      <c r="X195" s="385"/>
      <c r="Y195" s="205">
        <f t="shared" si="10"/>
        <v>0</v>
      </c>
      <c r="Z195" s="392"/>
      <c r="AA195" s="385"/>
      <c r="AB195" s="385">
        <f>Roles!$D$6</f>
        <v>0.1</v>
      </c>
      <c r="AC195" s="385"/>
      <c r="AD195" s="205">
        <f t="shared" si="11"/>
        <v>0</v>
      </c>
      <c r="AE195" s="392"/>
      <c r="AF195" s="385"/>
      <c r="AG195" s="385">
        <f>Roles!$D$6</f>
        <v>0.1</v>
      </c>
      <c r="AH195" s="385"/>
      <c r="AI195" s="205">
        <f t="shared" si="12"/>
        <v>0</v>
      </c>
      <c r="AJ195" s="392"/>
      <c r="AK195" s="385"/>
      <c r="AL195" s="385">
        <f>Roles!$D$6</f>
        <v>0.1</v>
      </c>
      <c r="AM195" s="385"/>
      <c r="AN195" s="205">
        <f t="shared" si="13"/>
        <v>0</v>
      </c>
      <c r="AO195" s="392"/>
      <c r="AP195" s="385"/>
      <c r="AQ195" s="385">
        <f>Roles!$D$6</f>
        <v>0.1</v>
      </c>
      <c r="AR195" s="385"/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 t="shared" si="1"/>
        <v>1</v>
      </c>
      <c r="F196" s="80">
        <v>1.0</v>
      </c>
      <c r="G196" s="105">
        <f t="shared" si="2"/>
        <v>0.0008613264427</v>
      </c>
      <c r="H196" s="186">
        <f t="shared" ref="H196:H197" si="169">H195+G196</f>
        <v>0.7648578811</v>
      </c>
      <c r="I196" s="231">
        <f t="shared" si="167"/>
        <v>1</v>
      </c>
      <c r="J196" s="233">
        <f t="shared" ref="J196:J197" si="170">J195+I196</f>
        <v>435</v>
      </c>
      <c r="K196" s="340">
        <f t="shared" si="3"/>
        <v>0.6397058824</v>
      </c>
      <c r="L196" s="336">
        <f t="shared" si="168"/>
        <v>0.44</v>
      </c>
      <c r="M196" s="233">
        <f t="shared" ref="M196:M197" si="171">M195+L196</f>
        <v>191.4</v>
      </c>
      <c r="N196" s="7"/>
      <c r="O196" s="205">
        <f t="shared" si="7"/>
        <v>1</v>
      </c>
      <c r="P196" s="391">
        <v>1.0</v>
      </c>
      <c r="Q196" s="385"/>
      <c r="R196" s="385">
        <f>Roles!$D$5</f>
        <v>0.44</v>
      </c>
      <c r="S196" s="385">
        <f t="shared" si="8"/>
        <v>0.44</v>
      </c>
      <c r="T196" s="205">
        <f t="shared" si="9"/>
        <v>0</v>
      </c>
      <c r="U196" s="392"/>
      <c r="V196" s="385"/>
      <c r="W196" s="385">
        <f>Roles!$D$6</f>
        <v>0.1</v>
      </c>
      <c r="X196" s="385"/>
      <c r="Y196" s="205">
        <f t="shared" si="10"/>
        <v>0</v>
      </c>
      <c r="Z196" s="392"/>
      <c r="AA196" s="385"/>
      <c r="AB196" s="385">
        <f>Roles!$D$6</f>
        <v>0.1</v>
      </c>
      <c r="AC196" s="385"/>
      <c r="AD196" s="205">
        <f t="shared" si="11"/>
        <v>0</v>
      </c>
      <c r="AE196" s="392"/>
      <c r="AF196" s="385"/>
      <c r="AG196" s="385">
        <f>Roles!$D$6</f>
        <v>0.1</v>
      </c>
      <c r="AH196" s="385"/>
      <c r="AI196" s="205">
        <f t="shared" si="12"/>
        <v>0</v>
      </c>
      <c r="AJ196" s="392"/>
      <c r="AK196" s="385"/>
      <c r="AL196" s="385">
        <f>Roles!$D$6</f>
        <v>0.1</v>
      </c>
      <c r="AM196" s="385"/>
      <c r="AN196" s="205">
        <f t="shared" si="13"/>
        <v>0</v>
      </c>
      <c r="AO196" s="392"/>
      <c r="AP196" s="385"/>
      <c r="AQ196" s="385">
        <f>Roles!$D$6</f>
        <v>0.1</v>
      </c>
      <c r="AR196" s="385"/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 t="shared" si="1"/>
        <v>4</v>
      </c>
      <c r="F197" s="80">
        <v>35.0</v>
      </c>
      <c r="G197" s="105">
        <f t="shared" si="2"/>
        <v>0.0301464255</v>
      </c>
      <c r="H197" s="186">
        <f t="shared" si="169"/>
        <v>0.7950043066</v>
      </c>
      <c r="I197" s="231">
        <f t="shared" si="167"/>
        <v>36</v>
      </c>
      <c r="J197" s="233">
        <f t="shared" si="170"/>
        <v>471</v>
      </c>
      <c r="K197" s="340">
        <f t="shared" si="3"/>
        <v>0.6926470588</v>
      </c>
      <c r="L197" s="336">
        <f t="shared" si="168"/>
        <v>15.84</v>
      </c>
      <c r="M197" s="233">
        <f t="shared" si="171"/>
        <v>207.24</v>
      </c>
      <c r="N197" s="7"/>
      <c r="O197" s="205">
        <f t="shared" si="7"/>
        <v>1.028571429</v>
      </c>
      <c r="P197" s="391">
        <v>36.0</v>
      </c>
      <c r="Q197" s="385"/>
      <c r="R197" s="385">
        <f>Roles!$D$5</f>
        <v>0.44</v>
      </c>
      <c r="S197" s="385">
        <f t="shared" si="8"/>
        <v>15.84</v>
      </c>
      <c r="T197" s="205">
        <f t="shared" si="9"/>
        <v>0</v>
      </c>
      <c r="U197" s="392"/>
      <c r="V197" s="385"/>
      <c r="W197" s="385">
        <f>Roles!$D$6</f>
        <v>0.1</v>
      </c>
      <c r="X197" s="385"/>
      <c r="Y197" s="205">
        <f t="shared" si="10"/>
        <v>0</v>
      </c>
      <c r="Z197" s="392"/>
      <c r="AA197" s="385"/>
      <c r="AB197" s="385">
        <f>Roles!$D$6</f>
        <v>0.1</v>
      </c>
      <c r="AC197" s="385"/>
      <c r="AD197" s="205">
        <f t="shared" si="11"/>
        <v>0</v>
      </c>
      <c r="AE197" s="392"/>
      <c r="AF197" s="385"/>
      <c r="AG197" s="385">
        <f>Roles!$D$6</f>
        <v>0.1</v>
      </c>
      <c r="AH197" s="385"/>
      <c r="AI197" s="205">
        <f t="shared" si="12"/>
        <v>0</v>
      </c>
      <c r="AJ197" s="392"/>
      <c r="AK197" s="385"/>
      <c r="AL197" s="385">
        <f>Roles!$D$6</f>
        <v>0.1</v>
      </c>
      <c r="AM197" s="385"/>
      <c r="AN197" s="205">
        <f t="shared" si="13"/>
        <v>0</v>
      </c>
      <c r="AO197" s="392"/>
      <c r="AP197" s="385"/>
      <c r="AQ197" s="385">
        <f>Roles!$D$6</f>
        <v>0.1</v>
      </c>
      <c r="AR197" s="385"/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 t="shared" si="1"/>
        <v>7</v>
      </c>
      <c r="F198" s="246">
        <f>SUM(F199:F201)</f>
        <v>61</v>
      </c>
      <c r="G198" s="105">
        <f t="shared" si="2"/>
        <v>0.05254091301</v>
      </c>
      <c r="H198" s="226">
        <f>H201</f>
        <v>0.8475452196</v>
      </c>
      <c r="I198" s="247">
        <f>SUM(I199:I201)</f>
        <v>73</v>
      </c>
      <c r="J198" s="247">
        <f>J201</f>
        <v>544</v>
      </c>
      <c r="K198" s="167">
        <f t="shared" si="3"/>
        <v>0.8</v>
      </c>
      <c r="L198" s="247">
        <f>SUM(L199:L201)</f>
        <v>32.12</v>
      </c>
      <c r="M198" s="247">
        <f>M201</f>
        <v>239.36</v>
      </c>
      <c r="N198" s="7"/>
      <c r="O198" s="205">
        <f t="shared" si="7"/>
        <v>0</v>
      </c>
      <c r="P198" s="89"/>
      <c r="Q198" s="385"/>
      <c r="R198" s="385">
        <f>Roles!$D$5</f>
        <v>0.44</v>
      </c>
      <c r="S198" s="385">
        <f t="shared" si="8"/>
        <v>0</v>
      </c>
      <c r="T198" s="205">
        <f t="shared" si="9"/>
        <v>0</v>
      </c>
      <c r="U198" s="392"/>
      <c r="V198" s="385"/>
      <c r="W198" s="385">
        <f>Roles!$D$6</f>
        <v>0.1</v>
      </c>
      <c r="X198" s="385"/>
      <c r="Y198" s="205">
        <f t="shared" si="10"/>
        <v>0</v>
      </c>
      <c r="Z198" s="392"/>
      <c r="AA198" s="385"/>
      <c r="AB198" s="385">
        <f>Roles!$D$6</f>
        <v>0.1</v>
      </c>
      <c r="AC198" s="385"/>
      <c r="AD198" s="205">
        <f t="shared" si="11"/>
        <v>0</v>
      </c>
      <c r="AE198" s="392"/>
      <c r="AF198" s="385"/>
      <c r="AG198" s="385">
        <f>Roles!$D$6</f>
        <v>0.1</v>
      </c>
      <c r="AH198" s="385"/>
      <c r="AI198" s="205">
        <f t="shared" si="12"/>
        <v>0</v>
      </c>
      <c r="AJ198" s="392"/>
      <c r="AK198" s="385"/>
      <c r="AL198" s="385">
        <f>Roles!$D$6</f>
        <v>0.1</v>
      </c>
      <c r="AM198" s="385"/>
      <c r="AN198" s="205">
        <f t="shared" si="13"/>
        <v>0</v>
      </c>
      <c r="AO198" s="392"/>
      <c r="AP198" s="385"/>
      <c r="AQ198" s="385">
        <f>Roles!$D$6</f>
        <v>0.1</v>
      </c>
      <c r="AR198" s="385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 t="shared" si="1"/>
        <v>1</v>
      </c>
      <c r="F199" s="80">
        <v>1.0</v>
      </c>
      <c r="G199" s="105">
        <f t="shared" si="2"/>
        <v>0.0008613264427</v>
      </c>
      <c r="H199" s="47">
        <f>H197+G199</f>
        <v>0.7958656331</v>
      </c>
      <c r="I199" s="231">
        <f t="shared" ref="I199:I201" si="172">P199+U199+Z199+AE199+AJ199+AO199</f>
        <v>1</v>
      </c>
      <c r="J199" s="172">
        <f>J197+I199</f>
        <v>472</v>
      </c>
      <c r="K199" s="115">
        <f t="shared" si="3"/>
        <v>0.6941176471</v>
      </c>
      <c r="L199" s="336">
        <f t="shared" ref="L199:L201" si="173">S199+X199+AC199+AH199+AM199+AR199</f>
        <v>0.44</v>
      </c>
      <c r="M199" s="172">
        <f>M197+L199</f>
        <v>207.68</v>
      </c>
      <c r="N199" s="7"/>
      <c r="O199" s="205">
        <f t="shared" si="7"/>
        <v>1</v>
      </c>
      <c r="P199" s="391">
        <v>1.0</v>
      </c>
      <c r="Q199" s="385"/>
      <c r="R199" s="385">
        <f>Roles!$D$5</f>
        <v>0.44</v>
      </c>
      <c r="S199" s="385">
        <f t="shared" si="8"/>
        <v>0.44</v>
      </c>
      <c r="T199" s="205">
        <f t="shared" si="9"/>
        <v>0</v>
      </c>
      <c r="U199" s="392"/>
      <c r="V199" s="385"/>
      <c r="W199" s="385">
        <f>Roles!$D$6</f>
        <v>0.1</v>
      </c>
      <c r="X199" s="385"/>
      <c r="Y199" s="205">
        <f t="shared" si="10"/>
        <v>0</v>
      </c>
      <c r="Z199" s="392"/>
      <c r="AA199" s="385"/>
      <c r="AB199" s="385">
        <f>Roles!$D$6</f>
        <v>0.1</v>
      </c>
      <c r="AC199" s="385"/>
      <c r="AD199" s="205">
        <f t="shared" si="11"/>
        <v>0</v>
      </c>
      <c r="AE199" s="392"/>
      <c r="AF199" s="385"/>
      <c r="AG199" s="385">
        <f>Roles!$D$6</f>
        <v>0.1</v>
      </c>
      <c r="AH199" s="385"/>
      <c r="AI199" s="205">
        <f t="shared" si="12"/>
        <v>0</v>
      </c>
      <c r="AJ199" s="392"/>
      <c r="AK199" s="385"/>
      <c r="AL199" s="385">
        <f>Roles!$D$6</f>
        <v>0.1</v>
      </c>
      <c r="AM199" s="385"/>
      <c r="AN199" s="205">
        <f t="shared" si="13"/>
        <v>0</v>
      </c>
      <c r="AO199" s="392"/>
      <c r="AP199" s="385"/>
      <c r="AQ199" s="385">
        <f>Roles!$D$6</f>
        <v>0.1</v>
      </c>
      <c r="AR199" s="385"/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 t="shared" si="1"/>
        <v>4</v>
      </c>
      <c r="F200" s="80">
        <v>30.0</v>
      </c>
      <c r="G200" s="105">
        <f t="shared" si="2"/>
        <v>0.02583979328</v>
      </c>
      <c r="H200" s="186">
        <f t="shared" ref="H200:H201" si="174">H199+G200</f>
        <v>0.8217054264</v>
      </c>
      <c r="I200" s="231">
        <f t="shared" si="172"/>
        <v>36</v>
      </c>
      <c r="J200" s="233">
        <f t="shared" ref="J200:J201" si="175">J199+I200</f>
        <v>508</v>
      </c>
      <c r="K200" s="340">
        <f t="shared" si="3"/>
        <v>0.7470588235</v>
      </c>
      <c r="L200" s="336">
        <f t="shared" si="173"/>
        <v>15.84</v>
      </c>
      <c r="M200" s="233">
        <f t="shared" ref="M200:M201" si="176">M199+L200</f>
        <v>223.52</v>
      </c>
      <c r="N200" s="7"/>
      <c r="O200" s="205">
        <f t="shared" si="7"/>
        <v>1.2</v>
      </c>
      <c r="P200" s="391">
        <v>36.0</v>
      </c>
      <c r="Q200" s="385"/>
      <c r="R200" s="385">
        <f>Roles!$D$5</f>
        <v>0.44</v>
      </c>
      <c r="S200" s="385">
        <f t="shared" si="8"/>
        <v>15.84</v>
      </c>
      <c r="T200" s="205">
        <f t="shared" si="9"/>
        <v>0</v>
      </c>
      <c r="U200" s="392"/>
      <c r="V200" s="385"/>
      <c r="W200" s="385">
        <f>Roles!$D$6</f>
        <v>0.1</v>
      </c>
      <c r="X200" s="385"/>
      <c r="Y200" s="205">
        <f t="shared" si="10"/>
        <v>0</v>
      </c>
      <c r="Z200" s="392"/>
      <c r="AA200" s="385"/>
      <c r="AB200" s="385">
        <f>Roles!$D$6</f>
        <v>0.1</v>
      </c>
      <c r="AC200" s="385"/>
      <c r="AD200" s="205">
        <f t="shared" si="11"/>
        <v>0</v>
      </c>
      <c r="AE200" s="392"/>
      <c r="AF200" s="385"/>
      <c r="AG200" s="385">
        <f>Roles!$D$6</f>
        <v>0.1</v>
      </c>
      <c r="AH200" s="385"/>
      <c r="AI200" s="205">
        <f t="shared" si="12"/>
        <v>0</v>
      </c>
      <c r="AJ200" s="392"/>
      <c r="AK200" s="385"/>
      <c r="AL200" s="385">
        <f>Roles!$D$6</f>
        <v>0.1</v>
      </c>
      <c r="AM200" s="385"/>
      <c r="AN200" s="205">
        <f t="shared" si="13"/>
        <v>0</v>
      </c>
      <c r="AO200" s="392"/>
      <c r="AP200" s="385"/>
      <c r="AQ200" s="385">
        <f>Roles!$D$6</f>
        <v>0.1</v>
      </c>
      <c r="AR200" s="385"/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 t="shared" si="1"/>
        <v>3</v>
      </c>
      <c r="F201" s="80">
        <v>30.0</v>
      </c>
      <c r="G201" s="105">
        <f t="shared" si="2"/>
        <v>0.02583979328</v>
      </c>
      <c r="H201" s="186">
        <f t="shared" si="174"/>
        <v>0.8475452196</v>
      </c>
      <c r="I201" s="231">
        <f t="shared" si="172"/>
        <v>36</v>
      </c>
      <c r="J201" s="233">
        <f t="shared" si="175"/>
        <v>544</v>
      </c>
      <c r="K201" s="340">
        <f t="shared" si="3"/>
        <v>0.8</v>
      </c>
      <c r="L201" s="336">
        <f t="shared" si="173"/>
        <v>15.84</v>
      </c>
      <c r="M201" s="233">
        <f t="shared" si="176"/>
        <v>239.36</v>
      </c>
      <c r="N201" s="7"/>
      <c r="O201" s="205">
        <f t="shared" si="7"/>
        <v>1.2</v>
      </c>
      <c r="P201" s="391">
        <v>36.0</v>
      </c>
      <c r="Q201" s="385"/>
      <c r="R201" s="385">
        <f>Roles!$D$5</f>
        <v>0.44</v>
      </c>
      <c r="S201" s="385">
        <f t="shared" si="8"/>
        <v>15.84</v>
      </c>
      <c r="T201" s="205">
        <f t="shared" si="9"/>
        <v>0</v>
      </c>
      <c r="U201" s="392"/>
      <c r="V201" s="385"/>
      <c r="W201" s="385">
        <f>Roles!$D$6</f>
        <v>0.1</v>
      </c>
      <c r="X201" s="385"/>
      <c r="Y201" s="205">
        <f t="shared" si="10"/>
        <v>0</v>
      </c>
      <c r="Z201" s="392"/>
      <c r="AA201" s="385"/>
      <c r="AB201" s="385">
        <f>Roles!$D$6</f>
        <v>0.1</v>
      </c>
      <c r="AC201" s="385"/>
      <c r="AD201" s="205">
        <f t="shared" si="11"/>
        <v>0</v>
      </c>
      <c r="AE201" s="392"/>
      <c r="AF201" s="385"/>
      <c r="AG201" s="385">
        <f>Roles!$D$6</f>
        <v>0.1</v>
      </c>
      <c r="AH201" s="385"/>
      <c r="AI201" s="205">
        <f t="shared" si="12"/>
        <v>0</v>
      </c>
      <c r="AJ201" s="392"/>
      <c r="AK201" s="385"/>
      <c r="AL201" s="385">
        <f>Roles!$D$6</f>
        <v>0.1</v>
      </c>
      <c r="AM201" s="385"/>
      <c r="AN201" s="205">
        <f t="shared" si="13"/>
        <v>0</v>
      </c>
      <c r="AO201" s="392"/>
      <c r="AP201" s="385"/>
      <c r="AQ201" s="385">
        <f>Roles!$D$6</f>
        <v>0.1</v>
      </c>
      <c r="AR201" s="385"/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 t="shared" si="1"/>
        <v>3</v>
      </c>
      <c r="F202" s="246">
        <f>SUM(F203:F205)</f>
        <v>31</v>
      </c>
      <c r="G202" s="105">
        <f t="shared" si="2"/>
        <v>0.02670111972</v>
      </c>
      <c r="H202" s="226">
        <f>H205</f>
        <v>0.8742463394</v>
      </c>
      <c r="I202" s="247">
        <f>SUM(I203:I205)</f>
        <v>37</v>
      </c>
      <c r="J202" s="247">
        <f>J205</f>
        <v>581</v>
      </c>
      <c r="K202" s="167">
        <f t="shared" si="3"/>
        <v>0.8544117647</v>
      </c>
      <c r="L202" s="247">
        <f>SUM(L203:L205)</f>
        <v>16.28</v>
      </c>
      <c r="M202" s="247">
        <f>M205</f>
        <v>255.64</v>
      </c>
      <c r="N202" s="7"/>
      <c r="O202" s="205">
        <f t="shared" si="7"/>
        <v>0</v>
      </c>
      <c r="P202" s="89"/>
      <c r="Q202" s="385"/>
      <c r="R202" s="385">
        <f>Roles!$D$5</f>
        <v>0.44</v>
      </c>
      <c r="S202" s="385">
        <f t="shared" si="8"/>
        <v>0</v>
      </c>
      <c r="T202" s="205">
        <f t="shared" si="9"/>
        <v>0</v>
      </c>
      <c r="U202" s="392"/>
      <c r="V202" s="385"/>
      <c r="W202" s="385">
        <f>Roles!$D$6</f>
        <v>0.1</v>
      </c>
      <c r="X202" s="385"/>
      <c r="Y202" s="205">
        <f t="shared" si="10"/>
        <v>0</v>
      </c>
      <c r="Z202" s="392"/>
      <c r="AA202" s="385"/>
      <c r="AB202" s="385">
        <f>Roles!$D$6</f>
        <v>0.1</v>
      </c>
      <c r="AC202" s="385"/>
      <c r="AD202" s="205">
        <f t="shared" si="11"/>
        <v>0</v>
      </c>
      <c r="AE202" s="392"/>
      <c r="AF202" s="385"/>
      <c r="AG202" s="385">
        <f>Roles!$D$6</f>
        <v>0.1</v>
      </c>
      <c r="AH202" s="385"/>
      <c r="AI202" s="205">
        <f t="shared" si="12"/>
        <v>0</v>
      </c>
      <c r="AJ202" s="392"/>
      <c r="AK202" s="385"/>
      <c r="AL202" s="385">
        <f>Roles!$D$6</f>
        <v>0.1</v>
      </c>
      <c r="AM202" s="385"/>
      <c r="AN202" s="205">
        <f t="shared" si="13"/>
        <v>0</v>
      </c>
      <c r="AO202" s="392"/>
      <c r="AP202" s="385"/>
      <c r="AQ202" s="385">
        <f>Roles!$D$6</f>
        <v>0.1</v>
      </c>
      <c r="AR202" s="385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 t="shared" si="1"/>
        <v>1</v>
      </c>
      <c r="F203" s="80">
        <v>1.0</v>
      </c>
      <c r="G203" s="105">
        <f t="shared" si="2"/>
        <v>0.0008613264427</v>
      </c>
      <c r="H203" s="47">
        <f>H201+G203</f>
        <v>0.8484065461</v>
      </c>
      <c r="I203" s="231">
        <f t="shared" ref="I203:I205" si="177">P203+U203+Z203+AE203+AJ203+AO203</f>
        <v>1</v>
      </c>
      <c r="J203" s="172">
        <f>J201+I203</f>
        <v>545</v>
      </c>
      <c r="K203" s="115">
        <f t="shared" si="3"/>
        <v>0.8014705882</v>
      </c>
      <c r="L203" s="336">
        <f t="shared" ref="L203:L205" si="178">S203+X203+AC203+AH203+AM203+AR203</f>
        <v>0.44</v>
      </c>
      <c r="M203" s="172">
        <f>M201+L203</f>
        <v>239.8</v>
      </c>
      <c r="N203" s="7"/>
      <c r="O203" s="205">
        <f t="shared" si="7"/>
        <v>1</v>
      </c>
      <c r="P203" s="391">
        <v>1.0</v>
      </c>
      <c r="Q203" s="385"/>
      <c r="R203" s="385">
        <f>Roles!$D$5</f>
        <v>0.44</v>
      </c>
      <c r="S203" s="385">
        <f t="shared" si="8"/>
        <v>0.44</v>
      </c>
      <c r="T203" s="205">
        <f t="shared" si="9"/>
        <v>0</v>
      </c>
      <c r="U203" s="392"/>
      <c r="V203" s="385"/>
      <c r="W203" s="385">
        <f>Roles!$D$6</f>
        <v>0.1</v>
      </c>
      <c r="X203" s="385"/>
      <c r="Y203" s="205">
        <f t="shared" si="10"/>
        <v>0</v>
      </c>
      <c r="Z203" s="392"/>
      <c r="AA203" s="385"/>
      <c r="AB203" s="385">
        <f>Roles!$D$6</f>
        <v>0.1</v>
      </c>
      <c r="AC203" s="385"/>
      <c r="AD203" s="205">
        <f t="shared" si="11"/>
        <v>0</v>
      </c>
      <c r="AE203" s="392"/>
      <c r="AF203" s="385"/>
      <c r="AG203" s="385">
        <f>Roles!$D$6</f>
        <v>0.1</v>
      </c>
      <c r="AH203" s="385"/>
      <c r="AI203" s="205">
        <f t="shared" si="12"/>
        <v>0</v>
      </c>
      <c r="AJ203" s="392"/>
      <c r="AK203" s="385"/>
      <c r="AL203" s="385">
        <f>Roles!$D$6</f>
        <v>0.1</v>
      </c>
      <c r="AM203" s="385"/>
      <c r="AN203" s="205">
        <f t="shared" si="13"/>
        <v>0</v>
      </c>
      <c r="AO203" s="392"/>
      <c r="AP203" s="385"/>
      <c r="AQ203" s="385">
        <f>Roles!$D$6</f>
        <v>0.1</v>
      </c>
      <c r="AR203" s="385"/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 t="shared" si="1"/>
        <v>2</v>
      </c>
      <c r="F204" s="80">
        <v>20.0</v>
      </c>
      <c r="G204" s="105">
        <f t="shared" si="2"/>
        <v>0.01722652885</v>
      </c>
      <c r="H204" s="186">
        <f t="shared" ref="H204:H205" si="179">H203+G204</f>
        <v>0.8656330749</v>
      </c>
      <c r="I204" s="231">
        <f t="shared" si="177"/>
        <v>24</v>
      </c>
      <c r="J204" s="233">
        <f t="shared" ref="J204:J205" si="180">J203+I204</f>
        <v>569</v>
      </c>
      <c r="K204" s="340">
        <f t="shared" si="3"/>
        <v>0.8367647059</v>
      </c>
      <c r="L204" s="336">
        <f t="shared" si="178"/>
        <v>10.56</v>
      </c>
      <c r="M204" s="233">
        <f t="shared" ref="M204:M205" si="181">M203+L204</f>
        <v>250.36</v>
      </c>
      <c r="N204" s="7"/>
      <c r="O204" s="205">
        <f t="shared" si="7"/>
        <v>1.2</v>
      </c>
      <c r="P204" s="391">
        <v>24.0</v>
      </c>
      <c r="Q204" s="385"/>
      <c r="R204" s="385">
        <f>Roles!$D$5</f>
        <v>0.44</v>
      </c>
      <c r="S204" s="385">
        <f t="shared" si="8"/>
        <v>10.56</v>
      </c>
      <c r="T204" s="205">
        <f t="shared" si="9"/>
        <v>0</v>
      </c>
      <c r="U204" s="392"/>
      <c r="V204" s="385"/>
      <c r="W204" s="385">
        <f>Roles!$D$6</f>
        <v>0.1</v>
      </c>
      <c r="X204" s="385"/>
      <c r="Y204" s="205">
        <f t="shared" si="10"/>
        <v>0</v>
      </c>
      <c r="Z204" s="392"/>
      <c r="AA204" s="385"/>
      <c r="AB204" s="385">
        <f>Roles!$D$6</f>
        <v>0.1</v>
      </c>
      <c r="AC204" s="385"/>
      <c r="AD204" s="205">
        <f t="shared" si="11"/>
        <v>0</v>
      </c>
      <c r="AE204" s="392"/>
      <c r="AF204" s="385"/>
      <c r="AG204" s="385">
        <f>Roles!$D$6</f>
        <v>0.1</v>
      </c>
      <c r="AH204" s="385"/>
      <c r="AI204" s="205">
        <f t="shared" si="12"/>
        <v>0</v>
      </c>
      <c r="AJ204" s="392"/>
      <c r="AK204" s="385"/>
      <c r="AL204" s="385">
        <f>Roles!$D$6</f>
        <v>0.1</v>
      </c>
      <c r="AM204" s="385"/>
      <c r="AN204" s="205">
        <f t="shared" si="13"/>
        <v>0</v>
      </c>
      <c r="AO204" s="392"/>
      <c r="AP204" s="385"/>
      <c r="AQ204" s="385">
        <f>Roles!$D$6</f>
        <v>0.1</v>
      </c>
      <c r="AR204" s="385"/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 t="shared" si="1"/>
        <v>1</v>
      </c>
      <c r="F205" s="80">
        <v>10.0</v>
      </c>
      <c r="G205" s="105">
        <f t="shared" si="2"/>
        <v>0.008613264427</v>
      </c>
      <c r="H205" s="186">
        <f t="shared" si="179"/>
        <v>0.8742463394</v>
      </c>
      <c r="I205" s="231">
        <f t="shared" si="177"/>
        <v>12</v>
      </c>
      <c r="J205" s="233">
        <f t="shared" si="180"/>
        <v>581</v>
      </c>
      <c r="K205" s="340">
        <f t="shared" si="3"/>
        <v>0.8544117647</v>
      </c>
      <c r="L205" s="336">
        <f t="shared" si="178"/>
        <v>5.28</v>
      </c>
      <c r="M205" s="233">
        <f t="shared" si="181"/>
        <v>255.64</v>
      </c>
      <c r="N205" s="7"/>
      <c r="O205" s="205">
        <f t="shared" si="7"/>
        <v>1.2</v>
      </c>
      <c r="P205" s="391">
        <v>12.0</v>
      </c>
      <c r="Q205" s="385"/>
      <c r="R205" s="385">
        <f>Roles!$D$5</f>
        <v>0.44</v>
      </c>
      <c r="S205" s="385">
        <f t="shared" si="8"/>
        <v>5.28</v>
      </c>
      <c r="T205" s="205">
        <f t="shared" si="9"/>
        <v>0</v>
      </c>
      <c r="U205" s="392"/>
      <c r="V205" s="385"/>
      <c r="W205" s="385">
        <f>Roles!$D$6</f>
        <v>0.1</v>
      </c>
      <c r="X205" s="385"/>
      <c r="Y205" s="205">
        <f t="shared" si="10"/>
        <v>0</v>
      </c>
      <c r="Z205" s="392"/>
      <c r="AA205" s="385"/>
      <c r="AB205" s="385">
        <f>Roles!$D$6</f>
        <v>0.1</v>
      </c>
      <c r="AC205" s="385"/>
      <c r="AD205" s="205">
        <f t="shared" si="11"/>
        <v>0</v>
      </c>
      <c r="AE205" s="392"/>
      <c r="AF205" s="385"/>
      <c r="AG205" s="385">
        <f>Roles!$D$6</f>
        <v>0.1</v>
      </c>
      <c r="AH205" s="385"/>
      <c r="AI205" s="205">
        <f t="shared" si="12"/>
        <v>0</v>
      </c>
      <c r="AJ205" s="392"/>
      <c r="AK205" s="385"/>
      <c r="AL205" s="385">
        <f>Roles!$D$6</f>
        <v>0.1</v>
      </c>
      <c r="AM205" s="385"/>
      <c r="AN205" s="205">
        <f t="shared" si="13"/>
        <v>0</v>
      </c>
      <c r="AO205" s="392"/>
      <c r="AP205" s="385"/>
      <c r="AQ205" s="385">
        <f>Roles!$D$6</f>
        <v>0.1</v>
      </c>
      <c r="AR205" s="385"/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 t="shared" si="1"/>
        <v>3</v>
      </c>
      <c r="F206" s="246">
        <f>SUM(F207:F211)</f>
        <v>27</v>
      </c>
      <c r="G206" s="105">
        <f t="shared" si="2"/>
        <v>0.02325581395</v>
      </c>
      <c r="H206" s="226">
        <f>H211</f>
        <v>0.8975021533</v>
      </c>
      <c r="I206" s="247">
        <f>SUM(I207:I211)</f>
        <v>19</v>
      </c>
      <c r="J206" s="247">
        <f>J211</f>
        <v>600</v>
      </c>
      <c r="K206" s="167">
        <f t="shared" si="3"/>
        <v>0.8823529412</v>
      </c>
      <c r="L206" s="247">
        <f>SUM(L207:L211)</f>
        <v>8.36</v>
      </c>
      <c r="M206" s="247">
        <f>M211</f>
        <v>264</v>
      </c>
      <c r="N206" s="7"/>
      <c r="O206" s="205">
        <f t="shared" si="7"/>
        <v>0</v>
      </c>
      <c r="P206" s="89"/>
      <c r="Q206" s="385"/>
      <c r="R206" s="385">
        <f>Roles!$D$5</f>
        <v>0.44</v>
      </c>
      <c r="S206" s="385">
        <f t="shared" si="8"/>
        <v>0</v>
      </c>
      <c r="T206" s="205">
        <f t="shared" si="9"/>
        <v>0</v>
      </c>
      <c r="U206" s="392"/>
      <c r="V206" s="385"/>
      <c r="W206" s="385">
        <f>Roles!$D$6</f>
        <v>0.1</v>
      </c>
      <c r="X206" s="385"/>
      <c r="Y206" s="205">
        <f t="shared" si="10"/>
        <v>0</v>
      </c>
      <c r="Z206" s="392"/>
      <c r="AA206" s="385"/>
      <c r="AB206" s="385">
        <f>Roles!$D$6</f>
        <v>0.1</v>
      </c>
      <c r="AC206" s="385"/>
      <c r="AD206" s="205">
        <f t="shared" si="11"/>
        <v>0</v>
      </c>
      <c r="AE206" s="392"/>
      <c r="AF206" s="385"/>
      <c r="AG206" s="385">
        <f>Roles!$D$6</f>
        <v>0.1</v>
      </c>
      <c r="AH206" s="385"/>
      <c r="AI206" s="205">
        <f t="shared" si="12"/>
        <v>0</v>
      </c>
      <c r="AJ206" s="392"/>
      <c r="AK206" s="385"/>
      <c r="AL206" s="385">
        <f>Roles!$D$6</f>
        <v>0.1</v>
      </c>
      <c r="AM206" s="385"/>
      <c r="AN206" s="205">
        <f t="shared" si="13"/>
        <v>0</v>
      </c>
      <c r="AO206" s="392"/>
      <c r="AP206" s="385"/>
      <c r="AQ206" s="385">
        <f>Roles!$D$6</f>
        <v>0.1</v>
      </c>
      <c r="AR206" s="385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 t="shared" si="1"/>
        <v>2</v>
      </c>
      <c r="F207" s="80">
        <v>10.0</v>
      </c>
      <c r="G207" s="105">
        <f t="shared" si="2"/>
        <v>0.008613264427</v>
      </c>
      <c r="H207" s="47">
        <f>H205+G207</f>
        <v>0.8828596038</v>
      </c>
      <c r="I207" s="231">
        <f t="shared" ref="I207:I211" si="182">P207+U207+Z207+AE207+AJ207+AO207</f>
        <v>12</v>
      </c>
      <c r="J207" s="172">
        <f>J205+I207</f>
        <v>593</v>
      </c>
      <c r="K207" s="115">
        <f t="shared" si="3"/>
        <v>0.8720588235</v>
      </c>
      <c r="L207" s="336">
        <f t="shared" ref="L207:L211" si="183">S207+X207+AC207+AH207+AM207+AR207</f>
        <v>5.28</v>
      </c>
      <c r="M207" s="172">
        <f>M205+L207</f>
        <v>260.92</v>
      </c>
      <c r="N207" s="7"/>
      <c r="O207" s="205">
        <f t="shared" si="7"/>
        <v>1.2</v>
      </c>
      <c r="P207" s="391">
        <v>12.0</v>
      </c>
      <c r="Q207" s="385"/>
      <c r="R207" s="385">
        <f>Roles!$D$5</f>
        <v>0.44</v>
      </c>
      <c r="S207" s="385">
        <f t="shared" si="8"/>
        <v>5.28</v>
      </c>
      <c r="T207" s="205">
        <f t="shared" si="9"/>
        <v>0</v>
      </c>
      <c r="U207" s="392"/>
      <c r="V207" s="385"/>
      <c r="W207" s="385">
        <f>Roles!$D$6</f>
        <v>0.1</v>
      </c>
      <c r="X207" s="385"/>
      <c r="Y207" s="205">
        <f t="shared" si="10"/>
        <v>0</v>
      </c>
      <c r="Z207" s="392"/>
      <c r="AA207" s="385"/>
      <c r="AB207" s="385">
        <f>Roles!$D$6</f>
        <v>0.1</v>
      </c>
      <c r="AC207" s="385"/>
      <c r="AD207" s="205">
        <f t="shared" si="11"/>
        <v>0</v>
      </c>
      <c r="AE207" s="392"/>
      <c r="AF207" s="385"/>
      <c r="AG207" s="385">
        <f>Roles!$D$6</f>
        <v>0.1</v>
      </c>
      <c r="AH207" s="385"/>
      <c r="AI207" s="205">
        <f t="shared" si="12"/>
        <v>0</v>
      </c>
      <c r="AJ207" s="392"/>
      <c r="AK207" s="385"/>
      <c r="AL207" s="385">
        <f>Roles!$D$6</f>
        <v>0.1</v>
      </c>
      <c r="AM207" s="385"/>
      <c r="AN207" s="205">
        <f t="shared" si="13"/>
        <v>0</v>
      </c>
      <c r="AO207" s="392"/>
      <c r="AP207" s="385"/>
      <c r="AQ207" s="385">
        <f>Roles!$D$6</f>
        <v>0.1</v>
      </c>
      <c r="AR207" s="385"/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 t="shared" si="1"/>
        <v>2</v>
      </c>
      <c r="F208" s="80">
        <v>3.0</v>
      </c>
      <c r="G208" s="105">
        <f t="shared" si="2"/>
        <v>0.002583979328</v>
      </c>
      <c r="H208" s="47">
        <f t="shared" ref="H208:H212" si="184">H207+G208</f>
        <v>0.8854435831</v>
      </c>
      <c r="I208" s="231">
        <f t="shared" si="182"/>
        <v>6</v>
      </c>
      <c r="J208" s="172">
        <f t="shared" ref="J208:J212" si="185">J207+I208</f>
        <v>599</v>
      </c>
      <c r="K208" s="115">
        <f t="shared" si="3"/>
        <v>0.8808823529</v>
      </c>
      <c r="L208" s="336">
        <f t="shared" si="183"/>
        <v>2.64</v>
      </c>
      <c r="M208" s="172">
        <f t="shared" ref="M208:M212" si="186">M207+L208</f>
        <v>263.56</v>
      </c>
      <c r="N208" s="7"/>
      <c r="O208" s="205">
        <f t="shared" si="7"/>
        <v>2</v>
      </c>
      <c r="P208" s="391">
        <v>6.0</v>
      </c>
      <c r="Q208" s="385"/>
      <c r="R208" s="385">
        <f>Roles!$D$5</f>
        <v>0.44</v>
      </c>
      <c r="S208" s="385">
        <f t="shared" si="8"/>
        <v>2.64</v>
      </c>
      <c r="T208" s="205">
        <f t="shared" si="9"/>
        <v>0</v>
      </c>
      <c r="U208" s="392"/>
      <c r="V208" s="385"/>
      <c r="W208" s="385">
        <f>Roles!$D$6</f>
        <v>0.1</v>
      </c>
      <c r="X208" s="385"/>
      <c r="Y208" s="205">
        <f t="shared" si="10"/>
        <v>0</v>
      </c>
      <c r="Z208" s="392"/>
      <c r="AA208" s="385"/>
      <c r="AB208" s="385">
        <f>Roles!$D$6</f>
        <v>0.1</v>
      </c>
      <c r="AC208" s="385"/>
      <c r="AD208" s="205">
        <f t="shared" si="11"/>
        <v>0</v>
      </c>
      <c r="AE208" s="392"/>
      <c r="AF208" s="385"/>
      <c r="AG208" s="385">
        <f>Roles!$D$6</f>
        <v>0.1</v>
      </c>
      <c r="AH208" s="385"/>
      <c r="AI208" s="205">
        <f t="shared" si="12"/>
        <v>0</v>
      </c>
      <c r="AJ208" s="392"/>
      <c r="AK208" s="385"/>
      <c r="AL208" s="385">
        <f>Roles!$D$6</f>
        <v>0.1</v>
      </c>
      <c r="AM208" s="385"/>
      <c r="AN208" s="205">
        <f t="shared" si="13"/>
        <v>0</v>
      </c>
      <c r="AO208" s="392"/>
      <c r="AP208" s="385"/>
      <c r="AQ208" s="385">
        <f>Roles!$D$6</f>
        <v>0.1</v>
      </c>
      <c r="AR208" s="385"/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 t="shared" si="1"/>
        <v>1</v>
      </c>
      <c r="F209" s="80">
        <v>2.0</v>
      </c>
      <c r="G209" s="105">
        <f t="shared" si="2"/>
        <v>0.001722652885</v>
      </c>
      <c r="H209" s="47">
        <f t="shared" si="184"/>
        <v>0.887166236</v>
      </c>
      <c r="I209" s="231">
        <f t="shared" si="182"/>
        <v>0</v>
      </c>
      <c r="J209" s="172">
        <f t="shared" si="185"/>
        <v>599</v>
      </c>
      <c r="K209" s="115">
        <f t="shared" si="3"/>
        <v>0.8808823529</v>
      </c>
      <c r="L209" s="336">
        <f t="shared" si="183"/>
        <v>0</v>
      </c>
      <c r="M209" s="172">
        <f t="shared" si="186"/>
        <v>263.56</v>
      </c>
      <c r="N209" s="7"/>
      <c r="O209" s="205">
        <f t="shared" si="7"/>
        <v>0</v>
      </c>
      <c r="P209" s="391">
        <v>0.0</v>
      </c>
      <c r="Q209" s="385"/>
      <c r="R209" s="385">
        <f>Roles!$D$5</f>
        <v>0.44</v>
      </c>
      <c r="S209" s="385">
        <f t="shared" si="8"/>
        <v>0</v>
      </c>
      <c r="T209" s="205">
        <f t="shared" si="9"/>
        <v>0</v>
      </c>
      <c r="U209" s="392"/>
      <c r="V209" s="385"/>
      <c r="W209" s="385">
        <f>Roles!$D$6</f>
        <v>0.1</v>
      </c>
      <c r="X209" s="385"/>
      <c r="Y209" s="205">
        <f t="shared" si="10"/>
        <v>0</v>
      </c>
      <c r="Z209" s="392"/>
      <c r="AA209" s="385"/>
      <c r="AB209" s="385">
        <f>Roles!$D$6</f>
        <v>0.1</v>
      </c>
      <c r="AC209" s="385"/>
      <c r="AD209" s="205">
        <f t="shared" si="11"/>
        <v>0</v>
      </c>
      <c r="AE209" s="392"/>
      <c r="AF209" s="385"/>
      <c r="AG209" s="385">
        <f>Roles!$D$6</f>
        <v>0.1</v>
      </c>
      <c r="AH209" s="385"/>
      <c r="AI209" s="205">
        <f t="shared" si="12"/>
        <v>0</v>
      </c>
      <c r="AJ209" s="392"/>
      <c r="AK209" s="385"/>
      <c r="AL209" s="385">
        <f>Roles!$D$6</f>
        <v>0.1</v>
      </c>
      <c r="AM209" s="385"/>
      <c r="AN209" s="205">
        <f t="shared" si="13"/>
        <v>0</v>
      </c>
      <c r="AO209" s="392"/>
      <c r="AP209" s="385"/>
      <c r="AQ209" s="385">
        <f>Roles!$D$6</f>
        <v>0.1</v>
      </c>
      <c r="AR209" s="385"/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 t="shared" si="1"/>
        <v>1</v>
      </c>
      <c r="F210" s="80">
        <v>10.0</v>
      </c>
      <c r="G210" s="105">
        <f t="shared" si="2"/>
        <v>0.008613264427</v>
      </c>
      <c r="H210" s="47">
        <f t="shared" si="184"/>
        <v>0.8957795004</v>
      </c>
      <c r="I210" s="231">
        <f t="shared" si="182"/>
        <v>1</v>
      </c>
      <c r="J210" s="351">
        <f t="shared" si="185"/>
        <v>600</v>
      </c>
      <c r="K210" s="352">
        <f t="shared" si="3"/>
        <v>0.8823529412</v>
      </c>
      <c r="L210" s="336">
        <f t="shared" si="183"/>
        <v>0.44</v>
      </c>
      <c r="M210" s="351">
        <f t="shared" si="186"/>
        <v>264</v>
      </c>
      <c r="N210" s="7"/>
      <c r="O210" s="205">
        <f t="shared" si="7"/>
        <v>0.1</v>
      </c>
      <c r="P210" s="391">
        <v>1.0</v>
      </c>
      <c r="Q210" s="385"/>
      <c r="R210" s="385">
        <f>Roles!$D$5</f>
        <v>0.44</v>
      </c>
      <c r="S210" s="385">
        <f t="shared" si="8"/>
        <v>0.44</v>
      </c>
      <c r="T210" s="205">
        <f t="shared" si="9"/>
        <v>0</v>
      </c>
      <c r="U210" s="392"/>
      <c r="V210" s="385"/>
      <c r="W210" s="385">
        <f>Roles!$D$6</f>
        <v>0.1</v>
      </c>
      <c r="X210" s="385"/>
      <c r="Y210" s="205">
        <f t="shared" si="10"/>
        <v>0</v>
      </c>
      <c r="Z210" s="392"/>
      <c r="AA210" s="385"/>
      <c r="AB210" s="385">
        <f>Roles!$D$6</f>
        <v>0.1</v>
      </c>
      <c r="AC210" s="385"/>
      <c r="AD210" s="205">
        <f t="shared" si="11"/>
        <v>0</v>
      </c>
      <c r="AE210" s="392"/>
      <c r="AF210" s="385"/>
      <c r="AG210" s="385">
        <f>Roles!$D$6</f>
        <v>0.1</v>
      </c>
      <c r="AH210" s="385"/>
      <c r="AI210" s="205">
        <f t="shared" si="12"/>
        <v>0</v>
      </c>
      <c r="AJ210" s="392"/>
      <c r="AK210" s="385"/>
      <c r="AL210" s="385">
        <f>Roles!$D$6</f>
        <v>0.1</v>
      </c>
      <c r="AM210" s="385"/>
      <c r="AN210" s="205">
        <f t="shared" si="13"/>
        <v>0</v>
      </c>
      <c r="AO210" s="392"/>
      <c r="AP210" s="385"/>
      <c r="AQ210" s="385">
        <f>Roles!$D$6</f>
        <v>0.1</v>
      </c>
      <c r="AR210" s="385"/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 t="shared" si="1"/>
        <v>1</v>
      </c>
      <c r="F211" s="80">
        <v>2.0</v>
      </c>
      <c r="G211" s="105">
        <f t="shared" si="2"/>
        <v>0.001722652885</v>
      </c>
      <c r="H211" s="47">
        <f t="shared" si="184"/>
        <v>0.8975021533</v>
      </c>
      <c r="I211" s="231">
        <f t="shared" si="182"/>
        <v>0</v>
      </c>
      <c r="J211" s="172">
        <f t="shared" si="185"/>
        <v>600</v>
      </c>
      <c r="K211" s="115">
        <f t="shared" si="3"/>
        <v>0.8823529412</v>
      </c>
      <c r="L211" s="336">
        <f t="shared" si="183"/>
        <v>0</v>
      </c>
      <c r="M211" s="172">
        <f t="shared" si="186"/>
        <v>264</v>
      </c>
      <c r="N211" s="7"/>
      <c r="O211" s="205">
        <f t="shared" si="7"/>
        <v>0</v>
      </c>
      <c r="P211" s="391">
        <v>0.0</v>
      </c>
      <c r="Q211" s="385"/>
      <c r="R211" s="385">
        <f>Roles!$D$5</f>
        <v>0.44</v>
      </c>
      <c r="S211" s="385">
        <f t="shared" si="8"/>
        <v>0</v>
      </c>
      <c r="T211" s="205">
        <f t="shared" si="9"/>
        <v>0</v>
      </c>
      <c r="U211" s="392"/>
      <c r="V211" s="385"/>
      <c r="W211" s="385">
        <f>Roles!$D$6</f>
        <v>0.1</v>
      </c>
      <c r="X211" s="385"/>
      <c r="Y211" s="205">
        <f t="shared" si="10"/>
        <v>0</v>
      </c>
      <c r="Z211" s="392"/>
      <c r="AA211" s="385"/>
      <c r="AB211" s="385">
        <f>Roles!$D$6</f>
        <v>0.1</v>
      </c>
      <c r="AC211" s="385"/>
      <c r="AD211" s="205">
        <f t="shared" si="11"/>
        <v>0</v>
      </c>
      <c r="AE211" s="392"/>
      <c r="AF211" s="385"/>
      <c r="AG211" s="385">
        <f>Roles!$D$6</f>
        <v>0.1</v>
      </c>
      <c r="AH211" s="385"/>
      <c r="AI211" s="205">
        <f t="shared" si="12"/>
        <v>0</v>
      </c>
      <c r="AJ211" s="392"/>
      <c r="AK211" s="385"/>
      <c r="AL211" s="385">
        <f>Roles!$D$6</f>
        <v>0.1</v>
      </c>
      <c r="AM211" s="385"/>
      <c r="AN211" s="205">
        <f t="shared" si="13"/>
        <v>0</v>
      </c>
      <c r="AO211" s="392"/>
      <c r="AP211" s="385"/>
      <c r="AQ211" s="385">
        <f>Roles!$D$6</f>
        <v>0.1</v>
      </c>
      <c r="AR211" s="385"/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 t="shared" si="1"/>
        <v>1</v>
      </c>
      <c r="F212" s="136">
        <v>0.0</v>
      </c>
      <c r="G212" s="105">
        <f t="shared" si="2"/>
        <v>0</v>
      </c>
      <c r="H212" s="115">
        <f t="shared" si="184"/>
        <v>0.8975021533</v>
      </c>
      <c r="I212" s="110">
        <f>F212</f>
        <v>0</v>
      </c>
      <c r="J212" s="110">
        <f t="shared" si="185"/>
        <v>600</v>
      </c>
      <c r="K212" s="115">
        <f t="shared" si="3"/>
        <v>0.8823529412</v>
      </c>
      <c r="L212" s="110">
        <v>0.0</v>
      </c>
      <c r="M212" s="110">
        <f t="shared" si="186"/>
        <v>264</v>
      </c>
      <c r="N212" s="7"/>
      <c r="O212" s="205" t="str">
        <f t="shared" si="7"/>
        <v>#DIV/0!</v>
      </c>
      <c r="P212" s="89"/>
      <c r="Q212" s="385"/>
      <c r="R212" s="385">
        <f>Roles!$D$5</f>
        <v>0.44</v>
      </c>
      <c r="S212" s="385">
        <f t="shared" si="8"/>
        <v>0</v>
      </c>
      <c r="T212" s="205" t="str">
        <f t="shared" si="9"/>
        <v>#DIV/0!</v>
      </c>
      <c r="U212" s="392"/>
      <c r="V212" s="385"/>
      <c r="W212" s="385">
        <f>Roles!$D$6</f>
        <v>0.1</v>
      </c>
      <c r="X212" s="385"/>
      <c r="Y212" s="205" t="str">
        <f t="shared" si="10"/>
        <v>#DIV/0!</v>
      </c>
      <c r="Z212" s="392"/>
      <c r="AA212" s="385"/>
      <c r="AB212" s="385">
        <f>Roles!$D$6</f>
        <v>0.1</v>
      </c>
      <c r="AC212" s="385"/>
      <c r="AD212" s="205" t="str">
        <f t="shared" si="11"/>
        <v>#DIV/0!</v>
      </c>
      <c r="AE212" s="392"/>
      <c r="AF212" s="385"/>
      <c r="AG212" s="385">
        <f>Roles!$D$6</f>
        <v>0.1</v>
      </c>
      <c r="AH212" s="385"/>
      <c r="AI212" s="205" t="str">
        <f t="shared" si="12"/>
        <v>#DIV/0!</v>
      </c>
      <c r="AJ212" s="392"/>
      <c r="AK212" s="385"/>
      <c r="AL212" s="385">
        <f>Roles!$D$6</f>
        <v>0.1</v>
      </c>
      <c r="AM212" s="385"/>
      <c r="AN212" s="205" t="str">
        <f t="shared" si="13"/>
        <v>#DIV/0!</v>
      </c>
      <c r="AO212" s="392"/>
      <c r="AP212" s="385"/>
      <c r="AQ212" s="385">
        <f>Roles!$D$6</f>
        <v>0.1</v>
      </c>
      <c r="AR212" s="385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 t="shared" si="1"/>
        <v>15</v>
      </c>
      <c r="F213" s="240">
        <f>F214+F218+F223+F229+F232</f>
        <v>119</v>
      </c>
      <c r="G213" s="105">
        <f t="shared" si="2"/>
        <v>0.1024978467</v>
      </c>
      <c r="H213" s="224">
        <f>H237</f>
        <v>1</v>
      </c>
      <c r="I213" s="241">
        <f>I214+I218+I223+I229+I232</f>
        <v>80</v>
      </c>
      <c r="J213" s="241">
        <f>J237</f>
        <v>680</v>
      </c>
      <c r="K213" s="138">
        <f t="shared" si="3"/>
        <v>1</v>
      </c>
      <c r="L213" s="241">
        <f>L214+L218+L223+L229+L232</f>
        <v>35.2</v>
      </c>
      <c r="M213" s="241">
        <f>M237</f>
        <v>299.2</v>
      </c>
      <c r="N213" s="7"/>
      <c r="O213" s="205">
        <f t="shared" si="7"/>
        <v>0</v>
      </c>
      <c r="P213" s="89"/>
      <c r="Q213" s="385"/>
      <c r="R213" s="385">
        <f>Roles!$D$5</f>
        <v>0.44</v>
      </c>
      <c r="S213" s="385">
        <f t="shared" si="8"/>
        <v>0</v>
      </c>
      <c r="T213" s="205">
        <f t="shared" si="9"/>
        <v>0</v>
      </c>
      <c r="U213" s="392"/>
      <c r="V213" s="385"/>
      <c r="W213" s="385">
        <f>Roles!$D$6</f>
        <v>0.1</v>
      </c>
      <c r="X213" s="385"/>
      <c r="Y213" s="205">
        <f t="shared" si="10"/>
        <v>0</v>
      </c>
      <c r="Z213" s="392"/>
      <c r="AA213" s="385"/>
      <c r="AB213" s="385">
        <f>Roles!$D$6</f>
        <v>0.1</v>
      </c>
      <c r="AC213" s="385"/>
      <c r="AD213" s="205">
        <f t="shared" si="11"/>
        <v>0</v>
      </c>
      <c r="AE213" s="392"/>
      <c r="AF213" s="385"/>
      <c r="AG213" s="385">
        <f>Roles!$D$6</f>
        <v>0.1</v>
      </c>
      <c r="AH213" s="385"/>
      <c r="AI213" s="205">
        <f t="shared" si="12"/>
        <v>0</v>
      </c>
      <c r="AJ213" s="392"/>
      <c r="AK213" s="385"/>
      <c r="AL213" s="385">
        <f>Roles!$D$6</f>
        <v>0.1</v>
      </c>
      <c r="AM213" s="385"/>
      <c r="AN213" s="205">
        <f t="shared" si="13"/>
        <v>0</v>
      </c>
      <c r="AO213" s="392"/>
      <c r="AP213" s="385"/>
      <c r="AQ213" s="385">
        <f>Roles!$D$6</f>
        <v>0.1</v>
      </c>
      <c r="AR213" s="385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 t="shared" si="1"/>
        <v>6</v>
      </c>
      <c r="F214" s="246">
        <f>SUM(F215:F217)</f>
        <v>31</v>
      </c>
      <c r="G214" s="105">
        <f t="shared" si="2"/>
        <v>0.02670111972</v>
      </c>
      <c r="H214" s="226">
        <f>H217</f>
        <v>0.924203273</v>
      </c>
      <c r="I214" s="247">
        <f>SUM(I215:I217)</f>
        <v>37</v>
      </c>
      <c r="J214" s="247">
        <f>J217</f>
        <v>637</v>
      </c>
      <c r="K214" s="167">
        <f t="shared" si="3"/>
        <v>0.9367647059</v>
      </c>
      <c r="L214" s="247">
        <f>SUM(L215:L217)</f>
        <v>16.28</v>
      </c>
      <c r="M214" s="247">
        <f>M217</f>
        <v>280.28</v>
      </c>
      <c r="N214" s="7"/>
      <c r="O214" s="205">
        <f t="shared" si="7"/>
        <v>0</v>
      </c>
      <c r="P214" s="89"/>
      <c r="Q214" s="385"/>
      <c r="R214" s="385">
        <f>Roles!$D$5</f>
        <v>0.44</v>
      </c>
      <c r="S214" s="385">
        <f t="shared" si="8"/>
        <v>0</v>
      </c>
      <c r="T214" s="205">
        <f t="shared" si="9"/>
        <v>0</v>
      </c>
      <c r="U214" s="392"/>
      <c r="V214" s="385"/>
      <c r="W214" s="385">
        <f>Roles!$D$6</f>
        <v>0.1</v>
      </c>
      <c r="X214" s="385"/>
      <c r="Y214" s="205">
        <f t="shared" si="10"/>
        <v>0</v>
      </c>
      <c r="Z214" s="392"/>
      <c r="AA214" s="385"/>
      <c r="AB214" s="385">
        <f>Roles!$D$6</f>
        <v>0.1</v>
      </c>
      <c r="AC214" s="385"/>
      <c r="AD214" s="205">
        <f t="shared" si="11"/>
        <v>0</v>
      </c>
      <c r="AE214" s="392"/>
      <c r="AF214" s="385"/>
      <c r="AG214" s="385">
        <f>Roles!$D$6</f>
        <v>0.1</v>
      </c>
      <c r="AH214" s="385"/>
      <c r="AI214" s="205">
        <f t="shared" si="12"/>
        <v>0</v>
      </c>
      <c r="AJ214" s="392"/>
      <c r="AK214" s="385"/>
      <c r="AL214" s="385">
        <f>Roles!$D$6</f>
        <v>0.1</v>
      </c>
      <c r="AM214" s="385"/>
      <c r="AN214" s="205">
        <f t="shared" si="13"/>
        <v>0</v>
      </c>
      <c r="AO214" s="392"/>
      <c r="AP214" s="385"/>
      <c r="AQ214" s="385">
        <f>Roles!$D$6</f>
        <v>0.1</v>
      </c>
      <c r="AR214" s="385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 t="shared" si="1"/>
        <v>3</v>
      </c>
      <c r="F215" s="80">
        <v>15.0</v>
      </c>
      <c r="G215" s="105">
        <f t="shared" si="2"/>
        <v>0.01291989664</v>
      </c>
      <c r="H215" s="353">
        <f>H212+G215</f>
        <v>0.91042205</v>
      </c>
      <c r="I215" s="231">
        <f t="shared" ref="I215:I217" si="187">P215+U215+Z215+AE215+AJ215+AO215</f>
        <v>18</v>
      </c>
      <c r="J215" s="351">
        <f>J212+I215</f>
        <v>618</v>
      </c>
      <c r="K215" s="352">
        <f t="shared" si="3"/>
        <v>0.9088235294</v>
      </c>
      <c r="L215" s="336">
        <f t="shared" ref="L215:L217" si="188">S215+X215+AC215+AH215+AM215+AR215</f>
        <v>7.92</v>
      </c>
      <c r="M215" s="351">
        <f>M212+L215</f>
        <v>271.92</v>
      </c>
      <c r="N215" s="7"/>
      <c r="O215" s="205">
        <f t="shared" si="7"/>
        <v>1.2</v>
      </c>
      <c r="P215" s="391">
        <v>18.0</v>
      </c>
      <c r="Q215" s="385"/>
      <c r="R215" s="385">
        <f>Roles!$D$5</f>
        <v>0.44</v>
      </c>
      <c r="S215" s="385">
        <f t="shared" si="8"/>
        <v>7.92</v>
      </c>
      <c r="T215" s="205">
        <f t="shared" si="9"/>
        <v>0</v>
      </c>
      <c r="U215" s="392"/>
      <c r="V215" s="385"/>
      <c r="W215" s="385">
        <f>Roles!$D$6</f>
        <v>0.1</v>
      </c>
      <c r="X215" s="385"/>
      <c r="Y215" s="205">
        <f t="shared" si="10"/>
        <v>0</v>
      </c>
      <c r="Z215" s="392"/>
      <c r="AA215" s="385"/>
      <c r="AB215" s="385">
        <f>Roles!$D$6</f>
        <v>0.1</v>
      </c>
      <c r="AC215" s="385"/>
      <c r="AD215" s="205">
        <f t="shared" si="11"/>
        <v>0</v>
      </c>
      <c r="AE215" s="392"/>
      <c r="AF215" s="385"/>
      <c r="AG215" s="385">
        <f>Roles!$D$6</f>
        <v>0.1</v>
      </c>
      <c r="AH215" s="385"/>
      <c r="AI215" s="205">
        <f t="shared" si="12"/>
        <v>0</v>
      </c>
      <c r="AJ215" s="392"/>
      <c r="AK215" s="385"/>
      <c r="AL215" s="385">
        <f>Roles!$D$6</f>
        <v>0.1</v>
      </c>
      <c r="AM215" s="385"/>
      <c r="AN215" s="205">
        <f t="shared" si="13"/>
        <v>0</v>
      </c>
      <c r="AO215" s="392"/>
      <c r="AP215" s="385"/>
      <c r="AQ215" s="385">
        <f>Roles!$D$6</f>
        <v>0.1</v>
      </c>
      <c r="AR215" s="385"/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 t="shared" si="1"/>
        <v>1</v>
      </c>
      <c r="F216" s="80">
        <v>1.0</v>
      </c>
      <c r="G216" s="105">
        <f t="shared" si="2"/>
        <v>0.0008613264427</v>
      </c>
      <c r="H216" s="47">
        <f t="shared" ref="H216:H217" si="189">H215+G216</f>
        <v>0.9112833764</v>
      </c>
      <c r="I216" s="231">
        <f t="shared" si="187"/>
        <v>1</v>
      </c>
      <c r="J216" s="172">
        <f t="shared" ref="J216:J217" si="190">J215+I216</f>
        <v>619</v>
      </c>
      <c r="K216" s="115">
        <f t="shared" si="3"/>
        <v>0.9102941176</v>
      </c>
      <c r="L216" s="336">
        <f t="shared" si="188"/>
        <v>0.44</v>
      </c>
      <c r="M216" s="172">
        <f t="shared" ref="M216:M217" si="191">M215+L216</f>
        <v>272.36</v>
      </c>
      <c r="N216" s="7"/>
      <c r="O216" s="205">
        <f t="shared" si="7"/>
        <v>1</v>
      </c>
      <c r="P216" s="391">
        <v>1.0</v>
      </c>
      <c r="Q216" s="385"/>
      <c r="R216" s="385">
        <f>Roles!$D$5</f>
        <v>0.44</v>
      </c>
      <c r="S216" s="385">
        <f t="shared" si="8"/>
        <v>0.44</v>
      </c>
      <c r="T216" s="205">
        <f t="shared" si="9"/>
        <v>0</v>
      </c>
      <c r="U216" s="392"/>
      <c r="V216" s="385"/>
      <c r="W216" s="385">
        <f>Roles!$D$6</f>
        <v>0.1</v>
      </c>
      <c r="X216" s="385"/>
      <c r="Y216" s="205">
        <f t="shared" si="10"/>
        <v>0</v>
      </c>
      <c r="Z216" s="392"/>
      <c r="AA216" s="385"/>
      <c r="AB216" s="385">
        <f>Roles!$D$6</f>
        <v>0.1</v>
      </c>
      <c r="AC216" s="385"/>
      <c r="AD216" s="205">
        <f t="shared" si="11"/>
        <v>0</v>
      </c>
      <c r="AE216" s="392"/>
      <c r="AF216" s="385"/>
      <c r="AG216" s="385">
        <f>Roles!$D$6</f>
        <v>0.1</v>
      </c>
      <c r="AH216" s="385"/>
      <c r="AI216" s="205">
        <f t="shared" si="12"/>
        <v>0</v>
      </c>
      <c r="AJ216" s="392"/>
      <c r="AK216" s="385"/>
      <c r="AL216" s="385">
        <f>Roles!$D$6</f>
        <v>0.1</v>
      </c>
      <c r="AM216" s="385"/>
      <c r="AN216" s="205">
        <f t="shared" si="13"/>
        <v>0</v>
      </c>
      <c r="AO216" s="392"/>
      <c r="AP216" s="385"/>
      <c r="AQ216" s="385">
        <f>Roles!$D$6</f>
        <v>0.1</v>
      </c>
      <c r="AR216" s="385"/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 t="shared" si="1"/>
        <v>3</v>
      </c>
      <c r="F217" s="80">
        <v>15.0</v>
      </c>
      <c r="G217" s="105">
        <f t="shared" si="2"/>
        <v>0.01291989664</v>
      </c>
      <c r="H217" s="47">
        <f t="shared" si="189"/>
        <v>0.924203273</v>
      </c>
      <c r="I217" s="231">
        <f t="shared" si="187"/>
        <v>18</v>
      </c>
      <c r="J217" s="351">
        <f t="shared" si="190"/>
        <v>637</v>
      </c>
      <c r="K217" s="352">
        <f t="shared" si="3"/>
        <v>0.9367647059</v>
      </c>
      <c r="L217" s="336">
        <f t="shared" si="188"/>
        <v>7.92</v>
      </c>
      <c r="M217" s="351">
        <f t="shared" si="191"/>
        <v>280.28</v>
      </c>
      <c r="N217" s="7"/>
      <c r="O217" s="205">
        <f t="shared" si="7"/>
        <v>1.2</v>
      </c>
      <c r="P217" s="391">
        <v>18.0</v>
      </c>
      <c r="Q217" s="385"/>
      <c r="R217" s="385">
        <f>Roles!$D$5</f>
        <v>0.44</v>
      </c>
      <c r="S217" s="385">
        <f t="shared" si="8"/>
        <v>7.92</v>
      </c>
      <c r="T217" s="205">
        <f t="shared" si="9"/>
        <v>0</v>
      </c>
      <c r="U217" s="392"/>
      <c r="V217" s="385"/>
      <c r="W217" s="385">
        <f>Roles!$D$6</f>
        <v>0.1</v>
      </c>
      <c r="X217" s="385"/>
      <c r="Y217" s="205">
        <f t="shared" si="10"/>
        <v>0</v>
      </c>
      <c r="Z217" s="392"/>
      <c r="AA217" s="385"/>
      <c r="AB217" s="385">
        <f>Roles!$D$6</f>
        <v>0.1</v>
      </c>
      <c r="AC217" s="385"/>
      <c r="AD217" s="205">
        <f t="shared" si="11"/>
        <v>0</v>
      </c>
      <c r="AE217" s="392"/>
      <c r="AF217" s="385"/>
      <c r="AG217" s="385">
        <f>Roles!$D$6</f>
        <v>0.1</v>
      </c>
      <c r="AH217" s="385"/>
      <c r="AI217" s="205">
        <f t="shared" si="12"/>
        <v>0</v>
      </c>
      <c r="AJ217" s="392"/>
      <c r="AK217" s="385"/>
      <c r="AL217" s="385">
        <f>Roles!$D$6</f>
        <v>0.1</v>
      </c>
      <c r="AM217" s="385"/>
      <c r="AN217" s="205">
        <f t="shared" si="13"/>
        <v>0</v>
      </c>
      <c r="AO217" s="392"/>
      <c r="AP217" s="385"/>
      <c r="AQ217" s="385">
        <f>Roles!$D$6</f>
        <v>0.1</v>
      </c>
      <c r="AR217" s="385"/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 t="shared" si="1"/>
        <v>4</v>
      </c>
      <c r="F218" s="246">
        <f>SUM(F219:F222)</f>
        <v>30</v>
      </c>
      <c r="G218" s="105">
        <f t="shared" si="2"/>
        <v>0.02583979328</v>
      </c>
      <c r="H218" s="226">
        <f>H222</f>
        <v>0.9500430663</v>
      </c>
      <c r="I218" s="247">
        <f>SUM(I219:I222)</f>
        <v>25</v>
      </c>
      <c r="J218" s="247">
        <f>J222</f>
        <v>662</v>
      </c>
      <c r="K218" s="167">
        <f t="shared" si="3"/>
        <v>0.9735294118</v>
      </c>
      <c r="L218" s="247">
        <f>SUM(L219:L222)</f>
        <v>11</v>
      </c>
      <c r="M218" s="247">
        <f>M222</f>
        <v>291.28</v>
      </c>
      <c r="N218" s="7"/>
      <c r="O218" s="205">
        <f t="shared" si="7"/>
        <v>0</v>
      </c>
      <c r="P218" s="89"/>
      <c r="Q218" s="385"/>
      <c r="R218" s="385">
        <f>Roles!$D$5</f>
        <v>0.44</v>
      </c>
      <c r="S218" s="385">
        <f t="shared" si="8"/>
        <v>0</v>
      </c>
      <c r="T218" s="205">
        <f t="shared" si="9"/>
        <v>0</v>
      </c>
      <c r="U218" s="392"/>
      <c r="V218" s="385"/>
      <c r="W218" s="385">
        <f>Roles!$D$6</f>
        <v>0.1</v>
      </c>
      <c r="X218" s="385"/>
      <c r="Y218" s="205">
        <f t="shared" si="10"/>
        <v>0</v>
      </c>
      <c r="Z218" s="392"/>
      <c r="AA218" s="385"/>
      <c r="AB218" s="385">
        <f>Roles!$D$6</f>
        <v>0.1</v>
      </c>
      <c r="AC218" s="385"/>
      <c r="AD218" s="205">
        <f t="shared" si="11"/>
        <v>0</v>
      </c>
      <c r="AE218" s="392"/>
      <c r="AF218" s="385"/>
      <c r="AG218" s="385">
        <f>Roles!$D$6</f>
        <v>0.1</v>
      </c>
      <c r="AH218" s="385"/>
      <c r="AI218" s="205">
        <f t="shared" si="12"/>
        <v>0</v>
      </c>
      <c r="AJ218" s="392"/>
      <c r="AK218" s="385"/>
      <c r="AL218" s="385">
        <f>Roles!$D$6</f>
        <v>0.1</v>
      </c>
      <c r="AM218" s="385"/>
      <c r="AN218" s="205">
        <f t="shared" si="13"/>
        <v>0</v>
      </c>
      <c r="AO218" s="392"/>
      <c r="AP218" s="385"/>
      <c r="AQ218" s="385">
        <f>Roles!$D$6</f>
        <v>0.1</v>
      </c>
      <c r="AR218" s="385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 t="shared" si="1"/>
        <v>2</v>
      </c>
      <c r="F219" s="80">
        <v>15.0</v>
      </c>
      <c r="G219" s="105">
        <f t="shared" si="2"/>
        <v>0.01291989664</v>
      </c>
      <c r="H219" s="47">
        <f>H217+G219</f>
        <v>0.9371231697</v>
      </c>
      <c r="I219" s="231">
        <f t="shared" ref="I219:I222" si="192">P219+U219+Z219+AE219+AJ219+AO219</f>
        <v>10</v>
      </c>
      <c r="J219" s="172">
        <f>J217+I219</f>
        <v>647</v>
      </c>
      <c r="K219" s="115">
        <f t="shared" si="3"/>
        <v>0.9514705882</v>
      </c>
      <c r="L219" s="336">
        <f t="shared" ref="L219:L222" si="193">S219+X219+AC219+AH219+AM219+AR219</f>
        <v>4.4</v>
      </c>
      <c r="M219" s="172">
        <f>M217+L219</f>
        <v>284.68</v>
      </c>
      <c r="N219" s="7"/>
      <c r="O219" s="205">
        <f t="shared" si="7"/>
        <v>0.6666666667</v>
      </c>
      <c r="P219" s="391">
        <v>10.0</v>
      </c>
      <c r="Q219" s="385"/>
      <c r="R219" s="385">
        <f>Roles!$D$5</f>
        <v>0.44</v>
      </c>
      <c r="S219" s="385">
        <f t="shared" si="8"/>
        <v>4.4</v>
      </c>
      <c r="T219" s="205">
        <f t="shared" si="9"/>
        <v>0</v>
      </c>
      <c r="U219" s="392"/>
      <c r="V219" s="385"/>
      <c r="W219" s="385">
        <f>Roles!$D$6</f>
        <v>0.1</v>
      </c>
      <c r="X219" s="385"/>
      <c r="Y219" s="205">
        <f t="shared" si="10"/>
        <v>0</v>
      </c>
      <c r="Z219" s="392"/>
      <c r="AA219" s="385"/>
      <c r="AB219" s="385">
        <f>Roles!$D$6</f>
        <v>0.1</v>
      </c>
      <c r="AC219" s="385"/>
      <c r="AD219" s="205">
        <f t="shared" si="11"/>
        <v>0</v>
      </c>
      <c r="AE219" s="392"/>
      <c r="AF219" s="385"/>
      <c r="AG219" s="385">
        <f>Roles!$D$6</f>
        <v>0.1</v>
      </c>
      <c r="AH219" s="385"/>
      <c r="AI219" s="205">
        <f t="shared" si="12"/>
        <v>0</v>
      </c>
      <c r="AJ219" s="392"/>
      <c r="AK219" s="385"/>
      <c r="AL219" s="385">
        <f>Roles!$D$6</f>
        <v>0.1</v>
      </c>
      <c r="AM219" s="385"/>
      <c r="AN219" s="205">
        <f t="shared" si="13"/>
        <v>0</v>
      </c>
      <c r="AO219" s="392"/>
      <c r="AP219" s="385"/>
      <c r="AQ219" s="385">
        <f>Roles!$D$6</f>
        <v>0.1</v>
      </c>
      <c r="AR219" s="385"/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 t="shared" si="1"/>
        <v>4</v>
      </c>
      <c r="F220" s="80">
        <v>4.0</v>
      </c>
      <c r="G220" s="105">
        <f t="shared" si="2"/>
        <v>0.003445305771</v>
      </c>
      <c r="H220" s="47">
        <f t="shared" ref="H220:H222" si="194">H219+G220</f>
        <v>0.9405684755</v>
      </c>
      <c r="I220" s="231">
        <f t="shared" si="192"/>
        <v>6</v>
      </c>
      <c r="J220" s="172">
        <f t="shared" ref="J220:J222" si="195">J219+I220</f>
        <v>653</v>
      </c>
      <c r="K220" s="115">
        <f t="shared" si="3"/>
        <v>0.9602941176</v>
      </c>
      <c r="L220" s="336">
        <f t="shared" si="193"/>
        <v>2.64</v>
      </c>
      <c r="M220" s="172">
        <f t="shared" ref="M220:M222" si="196">M219+L220</f>
        <v>287.32</v>
      </c>
      <c r="N220" s="7"/>
      <c r="O220" s="205">
        <f t="shared" si="7"/>
        <v>1.5</v>
      </c>
      <c r="P220" s="391">
        <v>6.0</v>
      </c>
      <c r="Q220" s="385"/>
      <c r="R220" s="385">
        <f>Roles!$D$5</f>
        <v>0.44</v>
      </c>
      <c r="S220" s="385">
        <f t="shared" si="8"/>
        <v>2.64</v>
      </c>
      <c r="T220" s="205">
        <f t="shared" si="9"/>
        <v>0</v>
      </c>
      <c r="U220" s="392"/>
      <c r="V220" s="385"/>
      <c r="W220" s="385">
        <f>Roles!$D$6</f>
        <v>0.1</v>
      </c>
      <c r="X220" s="385"/>
      <c r="Y220" s="205">
        <f t="shared" si="10"/>
        <v>0</v>
      </c>
      <c r="Z220" s="392"/>
      <c r="AA220" s="385"/>
      <c r="AB220" s="385">
        <f>Roles!$D$6</f>
        <v>0.1</v>
      </c>
      <c r="AC220" s="385"/>
      <c r="AD220" s="205">
        <f t="shared" si="11"/>
        <v>0</v>
      </c>
      <c r="AE220" s="392"/>
      <c r="AF220" s="385"/>
      <c r="AG220" s="385">
        <f>Roles!$D$6</f>
        <v>0.1</v>
      </c>
      <c r="AH220" s="385"/>
      <c r="AI220" s="205">
        <f t="shared" si="12"/>
        <v>0</v>
      </c>
      <c r="AJ220" s="392"/>
      <c r="AK220" s="385"/>
      <c r="AL220" s="385">
        <f>Roles!$D$6</f>
        <v>0.1</v>
      </c>
      <c r="AM220" s="385"/>
      <c r="AN220" s="205">
        <f t="shared" si="13"/>
        <v>0</v>
      </c>
      <c r="AO220" s="392"/>
      <c r="AP220" s="385"/>
      <c r="AQ220" s="385">
        <f>Roles!$D$6</f>
        <v>0.1</v>
      </c>
      <c r="AR220" s="385"/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 t="shared" si="1"/>
        <v>1</v>
      </c>
      <c r="F221" s="80">
        <v>1.0</v>
      </c>
      <c r="G221" s="105">
        <f t="shared" si="2"/>
        <v>0.0008613264427</v>
      </c>
      <c r="H221" s="47">
        <f t="shared" si="194"/>
        <v>0.9414298019</v>
      </c>
      <c r="I221" s="231">
        <f t="shared" si="192"/>
        <v>1</v>
      </c>
      <c r="J221" s="351">
        <f t="shared" si="195"/>
        <v>654</v>
      </c>
      <c r="K221" s="352">
        <f t="shared" si="3"/>
        <v>0.9617647059</v>
      </c>
      <c r="L221" s="336">
        <f t="shared" si="193"/>
        <v>0.44</v>
      </c>
      <c r="M221" s="351">
        <f t="shared" si="196"/>
        <v>287.76</v>
      </c>
      <c r="N221" s="7"/>
      <c r="O221" s="205">
        <f t="shared" si="7"/>
        <v>1</v>
      </c>
      <c r="P221" s="391">
        <v>1.0</v>
      </c>
      <c r="Q221" s="385"/>
      <c r="R221" s="385">
        <f>Roles!$D$5</f>
        <v>0.44</v>
      </c>
      <c r="S221" s="385">
        <f t="shared" si="8"/>
        <v>0.44</v>
      </c>
      <c r="T221" s="205">
        <f t="shared" si="9"/>
        <v>0</v>
      </c>
      <c r="U221" s="392"/>
      <c r="V221" s="385"/>
      <c r="W221" s="385">
        <f>Roles!$D$6</f>
        <v>0.1</v>
      </c>
      <c r="X221" s="385"/>
      <c r="Y221" s="205">
        <f t="shared" si="10"/>
        <v>0</v>
      </c>
      <c r="Z221" s="392"/>
      <c r="AA221" s="385"/>
      <c r="AB221" s="385">
        <f>Roles!$D$6</f>
        <v>0.1</v>
      </c>
      <c r="AC221" s="385"/>
      <c r="AD221" s="205">
        <f t="shared" si="11"/>
        <v>0</v>
      </c>
      <c r="AE221" s="392"/>
      <c r="AF221" s="385"/>
      <c r="AG221" s="385">
        <f>Roles!$D$6</f>
        <v>0.1</v>
      </c>
      <c r="AH221" s="385"/>
      <c r="AI221" s="205">
        <f t="shared" si="12"/>
        <v>0</v>
      </c>
      <c r="AJ221" s="392"/>
      <c r="AK221" s="385"/>
      <c r="AL221" s="385">
        <f>Roles!$D$6</f>
        <v>0.1</v>
      </c>
      <c r="AM221" s="385"/>
      <c r="AN221" s="205">
        <f t="shared" si="13"/>
        <v>0</v>
      </c>
      <c r="AO221" s="392"/>
      <c r="AP221" s="385"/>
      <c r="AQ221" s="385">
        <f>Roles!$D$6</f>
        <v>0.1</v>
      </c>
      <c r="AR221" s="385"/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 t="shared" si="1"/>
        <v>2</v>
      </c>
      <c r="F222" s="80">
        <v>10.0</v>
      </c>
      <c r="G222" s="105">
        <f t="shared" si="2"/>
        <v>0.008613264427</v>
      </c>
      <c r="H222" s="47">
        <f t="shared" si="194"/>
        <v>0.9500430663</v>
      </c>
      <c r="I222" s="231">
        <f t="shared" si="192"/>
        <v>8</v>
      </c>
      <c r="J222" s="351">
        <f t="shared" si="195"/>
        <v>662</v>
      </c>
      <c r="K222" s="352">
        <f t="shared" si="3"/>
        <v>0.9735294118</v>
      </c>
      <c r="L222" s="336">
        <f t="shared" si="193"/>
        <v>3.52</v>
      </c>
      <c r="M222" s="351">
        <f t="shared" si="196"/>
        <v>291.28</v>
      </c>
      <c r="N222" s="7"/>
      <c r="O222" s="205">
        <f t="shared" si="7"/>
        <v>0.8</v>
      </c>
      <c r="P222" s="391">
        <v>8.0</v>
      </c>
      <c r="Q222" s="385"/>
      <c r="R222" s="385">
        <f>Roles!$D$5</f>
        <v>0.44</v>
      </c>
      <c r="S222" s="385">
        <f t="shared" si="8"/>
        <v>3.52</v>
      </c>
      <c r="T222" s="205">
        <f t="shared" si="9"/>
        <v>0</v>
      </c>
      <c r="U222" s="392"/>
      <c r="V222" s="385"/>
      <c r="W222" s="385">
        <f>Roles!$D$6</f>
        <v>0.1</v>
      </c>
      <c r="X222" s="385"/>
      <c r="Y222" s="205">
        <f t="shared" si="10"/>
        <v>0</v>
      </c>
      <c r="Z222" s="392"/>
      <c r="AA222" s="385"/>
      <c r="AB222" s="385">
        <f>Roles!$D$6</f>
        <v>0.1</v>
      </c>
      <c r="AC222" s="385"/>
      <c r="AD222" s="205">
        <f t="shared" si="11"/>
        <v>0</v>
      </c>
      <c r="AE222" s="392"/>
      <c r="AF222" s="385"/>
      <c r="AG222" s="385">
        <f>Roles!$D$6</f>
        <v>0.1</v>
      </c>
      <c r="AH222" s="385"/>
      <c r="AI222" s="205">
        <f t="shared" si="12"/>
        <v>0</v>
      </c>
      <c r="AJ222" s="392"/>
      <c r="AK222" s="385"/>
      <c r="AL222" s="385">
        <f>Roles!$D$6</f>
        <v>0.1</v>
      </c>
      <c r="AM222" s="385"/>
      <c r="AN222" s="205">
        <f t="shared" si="13"/>
        <v>0</v>
      </c>
      <c r="AO222" s="392"/>
      <c r="AP222" s="385"/>
      <c r="AQ222" s="385">
        <f>Roles!$D$6</f>
        <v>0.1</v>
      </c>
      <c r="AR222" s="385"/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 t="shared" si="1"/>
        <v>4</v>
      </c>
      <c r="F223" s="246">
        <f>SUM(F224:F228)</f>
        <v>15</v>
      </c>
      <c r="G223" s="105">
        <f t="shared" si="2"/>
        <v>0.01291989664</v>
      </c>
      <c r="H223" s="226">
        <f>H228</f>
        <v>0.962962963</v>
      </c>
      <c r="I223" s="247">
        <f>SUM(I224:I228)</f>
        <v>0</v>
      </c>
      <c r="J223" s="247">
        <f>J228</f>
        <v>662</v>
      </c>
      <c r="K223" s="167">
        <f t="shared" si="3"/>
        <v>0.9735294118</v>
      </c>
      <c r="L223" s="247">
        <f>SUM(L224:L228)</f>
        <v>0</v>
      </c>
      <c r="M223" s="247">
        <f>M228</f>
        <v>291.28</v>
      </c>
      <c r="N223" s="7"/>
      <c r="O223" s="205">
        <f t="shared" si="7"/>
        <v>0</v>
      </c>
      <c r="P223" s="89"/>
      <c r="Q223" s="385"/>
      <c r="R223" s="385">
        <f>Roles!$D$5</f>
        <v>0.44</v>
      </c>
      <c r="S223" s="385">
        <f t="shared" si="8"/>
        <v>0</v>
      </c>
      <c r="T223" s="205">
        <f t="shared" si="9"/>
        <v>0</v>
      </c>
      <c r="U223" s="392"/>
      <c r="V223" s="385"/>
      <c r="W223" s="385">
        <f>Roles!$D$6</f>
        <v>0.1</v>
      </c>
      <c r="X223" s="385"/>
      <c r="Y223" s="205">
        <f t="shared" si="10"/>
        <v>0</v>
      </c>
      <c r="Z223" s="392"/>
      <c r="AA223" s="385"/>
      <c r="AB223" s="385">
        <f>Roles!$D$6</f>
        <v>0.1</v>
      </c>
      <c r="AC223" s="385"/>
      <c r="AD223" s="205">
        <f t="shared" si="11"/>
        <v>0</v>
      </c>
      <c r="AE223" s="392"/>
      <c r="AF223" s="385"/>
      <c r="AG223" s="385">
        <f>Roles!$D$6</f>
        <v>0.1</v>
      </c>
      <c r="AH223" s="385"/>
      <c r="AI223" s="205">
        <f t="shared" si="12"/>
        <v>0</v>
      </c>
      <c r="AJ223" s="392"/>
      <c r="AK223" s="385"/>
      <c r="AL223" s="385">
        <f>Roles!$D$6</f>
        <v>0.1</v>
      </c>
      <c r="AM223" s="385"/>
      <c r="AN223" s="205">
        <f t="shared" si="13"/>
        <v>0</v>
      </c>
      <c r="AO223" s="392"/>
      <c r="AP223" s="385"/>
      <c r="AQ223" s="385">
        <f>Roles!$D$6</f>
        <v>0.1</v>
      </c>
      <c r="AR223" s="385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 t="shared" si="1"/>
        <v>2</v>
      </c>
      <c r="F224" s="80">
        <v>4.0</v>
      </c>
      <c r="G224" s="105">
        <f t="shared" si="2"/>
        <v>0.003445305771</v>
      </c>
      <c r="H224" s="47">
        <f>H222+G224</f>
        <v>0.9534883721</v>
      </c>
      <c r="I224" s="231">
        <f t="shared" ref="I224:I228" si="197">P224+U224+Z224+AE224+AJ224+AO224</f>
        <v>0</v>
      </c>
      <c r="J224" s="172">
        <f>J222+I224</f>
        <v>662</v>
      </c>
      <c r="K224" s="115">
        <f t="shared" si="3"/>
        <v>0.9735294118</v>
      </c>
      <c r="L224" s="336">
        <f t="shared" ref="L224:L228" si="198">S224+X224+AC224+AH224+AM224+AR224</f>
        <v>0</v>
      </c>
      <c r="M224" s="172">
        <f>M222+L224</f>
        <v>291.28</v>
      </c>
      <c r="N224" s="7"/>
      <c r="O224" s="205">
        <f t="shared" si="7"/>
        <v>0</v>
      </c>
      <c r="P224" s="391">
        <v>0.0</v>
      </c>
      <c r="Q224" s="385"/>
      <c r="R224" s="385">
        <f>Roles!$D$5</f>
        <v>0.44</v>
      </c>
      <c r="S224" s="385">
        <f t="shared" si="8"/>
        <v>0</v>
      </c>
      <c r="T224" s="205">
        <f t="shared" si="9"/>
        <v>0</v>
      </c>
      <c r="U224" s="392"/>
      <c r="V224" s="385"/>
      <c r="W224" s="385">
        <f>Roles!$D$6</f>
        <v>0.1</v>
      </c>
      <c r="X224" s="385"/>
      <c r="Y224" s="205">
        <f t="shared" si="10"/>
        <v>0</v>
      </c>
      <c r="Z224" s="392"/>
      <c r="AA224" s="385"/>
      <c r="AB224" s="385">
        <f>Roles!$D$6</f>
        <v>0.1</v>
      </c>
      <c r="AC224" s="385"/>
      <c r="AD224" s="205">
        <f t="shared" si="11"/>
        <v>0</v>
      </c>
      <c r="AE224" s="392"/>
      <c r="AF224" s="385"/>
      <c r="AG224" s="385">
        <f>Roles!$D$6</f>
        <v>0.1</v>
      </c>
      <c r="AH224" s="385"/>
      <c r="AI224" s="205">
        <f t="shared" si="12"/>
        <v>0</v>
      </c>
      <c r="AJ224" s="392"/>
      <c r="AK224" s="385"/>
      <c r="AL224" s="385">
        <f>Roles!$D$6</f>
        <v>0.1</v>
      </c>
      <c r="AM224" s="385"/>
      <c r="AN224" s="205">
        <f t="shared" si="13"/>
        <v>0</v>
      </c>
      <c r="AO224" s="392"/>
      <c r="AP224" s="385"/>
      <c r="AQ224" s="385">
        <f>Roles!$D$6</f>
        <v>0.1</v>
      </c>
      <c r="AR224" s="385"/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 t="shared" si="1"/>
        <v>2</v>
      </c>
      <c r="F225" s="80">
        <v>3.0</v>
      </c>
      <c r="G225" s="105">
        <f t="shared" si="2"/>
        <v>0.002583979328</v>
      </c>
      <c r="H225" s="47">
        <f t="shared" ref="H225:H228" si="199">H224+G225</f>
        <v>0.9560723514</v>
      </c>
      <c r="I225" s="231">
        <f t="shared" si="197"/>
        <v>0</v>
      </c>
      <c r="J225" s="172">
        <f t="shared" ref="J225:J228" si="200">J224+I225</f>
        <v>662</v>
      </c>
      <c r="K225" s="115">
        <f t="shared" si="3"/>
        <v>0.9735294118</v>
      </c>
      <c r="L225" s="336">
        <f t="shared" si="198"/>
        <v>0</v>
      </c>
      <c r="M225" s="172">
        <f t="shared" ref="M225:M228" si="201">M224+L225</f>
        <v>291.28</v>
      </c>
      <c r="N225" s="7"/>
      <c r="O225" s="205">
        <f t="shared" si="7"/>
        <v>0</v>
      </c>
      <c r="P225" s="391">
        <v>0.0</v>
      </c>
      <c r="Q225" s="385"/>
      <c r="R225" s="385">
        <f>Roles!$D$5</f>
        <v>0.44</v>
      </c>
      <c r="S225" s="385">
        <f t="shared" si="8"/>
        <v>0</v>
      </c>
      <c r="T225" s="205">
        <f t="shared" si="9"/>
        <v>0</v>
      </c>
      <c r="U225" s="392"/>
      <c r="V225" s="385"/>
      <c r="W225" s="385">
        <f>Roles!$D$6</f>
        <v>0.1</v>
      </c>
      <c r="X225" s="385"/>
      <c r="Y225" s="205">
        <f t="shared" si="10"/>
        <v>0</v>
      </c>
      <c r="Z225" s="392"/>
      <c r="AA225" s="385"/>
      <c r="AB225" s="385">
        <f>Roles!$D$6</f>
        <v>0.1</v>
      </c>
      <c r="AC225" s="385"/>
      <c r="AD225" s="205">
        <f t="shared" si="11"/>
        <v>0</v>
      </c>
      <c r="AE225" s="392"/>
      <c r="AF225" s="385"/>
      <c r="AG225" s="385">
        <f>Roles!$D$6</f>
        <v>0.1</v>
      </c>
      <c r="AH225" s="385"/>
      <c r="AI225" s="205">
        <f t="shared" si="12"/>
        <v>0</v>
      </c>
      <c r="AJ225" s="392"/>
      <c r="AK225" s="385"/>
      <c r="AL225" s="385">
        <f>Roles!$D$6</f>
        <v>0.1</v>
      </c>
      <c r="AM225" s="385"/>
      <c r="AN225" s="205">
        <f t="shared" si="13"/>
        <v>0</v>
      </c>
      <c r="AO225" s="392"/>
      <c r="AP225" s="385"/>
      <c r="AQ225" s="385">
        <f>Roles!$D$6</f>
        <v>0.1</v>
      </c>
      <c r="AR225" s="385"/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 t="shared" si="1"/>
        <v>1</v>
      </c>
      <c r="F226" s="80">
        <v>3.0</v>
      </c>
      <c r="G226" s="105">
        <f t="shared" si="2"/>
        <v>0.002583979328</v>
      </c>
      <c r="H226" s="47">
        <f t="shared" si="199"/>
        <v>0.9586563307</v>
      </c>
      <c r="I226" s="231">
        <f t="shared" si="197"/>
        <v>0</v>
      </c>
      <c r="J226" s="172">
        <f t="shared" si="200"/>
        <v>662</v>
      </c>
      <c r="K226" s="115">
        <f t="shared" si="3"/>
        <v>0.9735294118</v>
      </c>
      <c r="L226" s="336">
        <f t="shared" si="198"/>
        <v>0</v>
      </c>
      <c r="M226" s="172">
        <f t="shared" si="201"/>
        <v>291.28</v>
      </c>
      <c r="N226" s="7"/>
      <c r="O226" s="205">
        <f t="shared" si="7"/>
        <v>0</v>
      </c>
      <c r="P226" s="391">
        <v>0.0</v>
      </c>
      <c r="Q226" s="385"/>
      <c r="R226" s="385">
        <f>Roles!$D$5</f>
        <v>0.44</v>
      </c>
      <c r="S226" s="385">
        <f t="shared" si="8"/>
        <v>0</v>
      </c>
      <c r="T226" s="205">
        <f t="shared" si="9"/>
        <v>0</v>
      </c>
      <c r="U226" s="392"/>
      <c r="V226" s="385"/>
      <c r="W226" s="385">
        <f>Roles!$D$6</f>
        <v>0.1</v>
      </c>
      <c r="X226" s="385"/>
      <c r="Y226" s="205">
        <f t="shared" si="10"/>
        <v>0</v>
      </c>
      <c r="Z226" s="392"/>
      <c r="AA226" s="385"/>
      <c r="AB226" s="385">
        <f>Roles!$D$6</f>
        <v>0.1</v>
      </c>
      <c r="AC226" s="385"/>
      <c r="AD226" s="205">
        <f t="shared" si="11"/>
        <v>0</v>
      </c>
      <c r="AE226" s="392"/>
      <c r="AF226" s="385"/>
      <c r="AG226" s="385">
        <f>Roles!$D$6</f>
        <v>0.1</v>
      </c>
      <c r="AH226" s="385"/>
      <c r="AI226" s="205">
        <f t="shared" si="12"/>
        <v>0</v>
      </c>
      <c r="AJ226" s="392"/>
      <c r="AK226" s="385"/>
      <c r="AL226" s="385">
        <f>Roles!$D$6</f>
        <v>0.1</v>
      </c>
      <c r="AM226" s="385"/>
      <c r="AN226" s="205">
        <f t="shared" si="13"/>
        <v>0</v>
      </c>
      <c r="AO226" s="392"/>
      <c r="AP226" s="385"/>
      <c r="AQ226" s="385">
        <f>Roles!$D$6</f>
        <v>0.1</v>
      </c>
      <c r="AR226" s="385"/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 t="shared" si="1"/>
        <v>2</v>
      </c>
      <c r="F227" s="80">
        <v>3.0</v>
      </c>
      <c r="G227" s="105">
        <f t="shared" si="2"/>
        <v>0.002583979328</v>
      </c>
      <c r="H227" s="47">
        <f t="shared" si="199"/>
        <v>0.9612403101</v>
      </c>
      <c r="I227" s="231">
        <f t="shared" si="197"/>
        <v>0</v>
      </c>
      <c r="J227" s="172">
        <f t="shared" si="200"/>
        <v>662</v>
      </c>
      <c r="K227" s="115">
        <f t="shared" si="3"/>
        <v>0.9735294118</v>
      </c>
      <c r="L227" s="336">
        <f t="shared" si="198"/>
        <v>0</v>
      </c>
      <c r="M227" s="172">
        <f t="shared" si="201"/>
        <v>291.28</v>
      </c>
      <c r="N227" s="7"/>
      <c r="O227" s="205">
        <f t="shared" si="7"/>
        <v>0</v>
      </c>
      <c r="P227" s="391">
        <v>0.0</v>
      </c>
      <c r="Q227" s="385"/>
      <c r="R227" s="385">
        <f>Roles!$D$5</f>
        <v>0.44</v>
      </c>
      <c r="S227" s="385">
        <f t="shared" si="8"/>
        <v>0</v>
      </c>
      <c r="T227" s="205">
        <f t="shared" si="9"/>
        <v>0</v>
      </c>
      <c r="U227" s="392"/>
      <c r="V227" s="385"/>
      <c r="W227" s="385">
        <f>Roles!$D$6</f>
        <v>0.1</v>
      </c>
      <c r="X227" s="385"/>
      <c r="Y227" s="205">
        <f t="shared" si="10"/>
        <v>0</v>
      </c>
      <c r="Z227" s="392"/>
      <c r="AA227" s="385"/>
      <c r="AB227" s="385">
        <f>Roles!$D$6</f>
        <v>0.1</v>
      </c>
      <c r="AC227" s="385"/>
      <c r="AD227" s="205">
        <f t="shared" si="11"/>
        <v>0</v>
      </c>
      <c r="AE227" s="392"/>
      <c r="AF227" s="385"/>
      <c r="AG227" s="385">
        <f>Roles!$D$6</f>
        <v>0.1</v>
      </c>
      <c r="AH227" s="385"/>
      <c r="AI227" s="205">
        <f t="shared" si="12"/>
        <v>0</v>
      </c>
      <c r="AJ227" s="392"/>
      <c r="AK227" s="385"/>
      <c r="AL227" s="385">
        <f>Roles!$D$6</f>
        <v>0.1</v>
      </c>
      <c r="AM227" s="385"/>
      <c r="AN227" s="205">
        <f t="shared" si="13"/>
        <v>0</v>
      </c>
      <c r="AO227" s="392"/>
      <c r="AP227" s="385"/>
      <c r="AQ227" s="385">
        <f>Roles!$D$6</f>
        <v>0.1</v>
      </c>
      <c r="AR227" s="385"/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 t="shared" si="1"/>
        <v>1</v>
      </c>
      <c r="F228" s="80">
        <v>2.0</v>
      </c>
      <c r="G228" s="105">
        <f t="shared" si="2"/>
        <v>0.001722652885</v>
      </c>
      <c r="H228" s="47">
        <f t="shared" si="199"/>
        <v>0.962962963</v>
      </c>
      <c r="I228" s="231">
        <f t="shared" si="197"/>
        <v>0</v>
      </c>
      <c r="J228" s="172">
        <f t="shared" si="200"/>
        <v>662</v>
      </c>
      <c r="K228" s="115">
        <f t="shared" si="3"/>
        <v>0.9735294118</v>
      </c>
      <c r="L228" s="336">
        <f t="shared" si="198"/>
        <v>0</v>
      </c>
      <c r="M228" s="172">
        <f t="shared" si="201"/>
        <v>291.28</v>
      </c>
      <c r="N228" s="7"/>
      <c r="O228" s="205">
        <f t="shared" si="7"/>
        <v>0</v>
      </c>
      <c r="P228" s="391">
        <v>0.0</v>
      </c>
      <c r="Q228" s="385"/>
      <c r="R228" s="385">
        <f>Roles!$D$5</f>
        <v>0.44</v>
      </c>
      <c r="S228" s="385">
        <f t="shared" si="8"/>
        <v>0</v>
      </c>
      <c r="T228" s="205">
        <f t="shared" si="9"/>
        <v>0</v>
      </c>
      <c r="U228" s="392"/>
      <c r="V228" s="385"/>
      <c r="W228" s="385">
        <f>Roles!$D$6</f>
        <v>0.1</v>
      </c>
      <c r="X228" s="385"/>
      <c r="Y228" s="205">
        <f t="shared" si="10"/>
        <v>0</v>
      </c>
      <c r="Z228" s="392"/>
      <c r="AA228" s="385"/>
      <c r="AB228" s="385">
        <f>Roles!$D$6</f>
        <v>0.1</v>
      </c>
      <c r="AC228" s="385"/>
      <c r="AD228" s="205">
        <f t="shared" si="11"/>
        <v>0</v>
      </c>
      <c r="AE228" s="392"/>
      <c r="AF228" s="385"/>
      <c r="AG228" s="385">
        <f>Roles!$D$6</f>
        <v>0.1</v>
      </c>
      <c r="AH228" s="385"/>
      <c r="AI228" s="205">
        <f t="shared" si="12"/>
        <v>0</v>
      </c>
      <c r="AJ228" s="392"/>
      <c r="AK228" s="385"/>
      <c r="AL228" s="385">
        <f>Roles!$D$6</f>
        <v>0.1</v>
      </c>
      <c r="AM228" s="385"/>
      <c r="AN228" s="205">
        <f t="shared" si="13"/>
        <v>0</v>
      </c>
      <c r="AO228" s="392"/>
      <c r="AP228" s="385"/>
      <c r="AQ228" s="385">
        <f>Roles!$D$6</f>
        <v>0.1</v>
      </c>
      <c r="AR228" s="385"/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 t="shared" si="1"/>
        <v>3</v>
      </c>
      <c r="F229" s="246">
        <f>SUM(F230:F231)</f>
        <v>20</v>
      </c>
      <c r="G229" s="105">
        <f t="shared" si="2"/>
        <v>0.01722652885</v>
      </c>
      <c r="H229" s="226">
        <f>H231</f>
        <v>0.9801894918</v>
      </c>
      <c r="I229" s="247">
        <f>SUM(I230:I231)</f>
        <v>14</v>
      </c>
      <c r="J229" s="247">
        <f>J231</f>
        <v>676</v>
      </c>
      <c r="K229" s="167">
        <f t="shared" si="3"/>
        <v>0.9941176471</v>
      </c>
      <c r="L229" s="247">
        <f>SUM(L230:L231)</f>
        <v>6.16</v>
      </c>
      <c r="M229" s="247">
        <f>M231</f>
        <v>297.44</v>
      </c>
      <c r="N229" s="7"/>
      <c r="O229" s="205">
        <f t="shared" si="7"/>
        <v>0</v>
      </c>
      <c r="P229" s="89"/>
      <c r="Q229" s="385"/>
      <c r="R229" s="385">
        <f>Roles!$D$5</f>
        <v>0.44</v>
      </c>
      <c r="S229" s="385">
        <f t="shared" si="8"/>
        <v>0</v>
      </c>
      <c r="T229" s="205">
        <f t="shared" si="9"/>
        <v>0</v>
      </c>
      <c r="U229" s="392"/>
      <c r="V229" s="385"/>
      <c r="W229" s="385">
        <f>Roles!$D$6</f>
        <v>0.1</v>
      </c>
      <c r="X229" s="385"/>
      <c r="Y229" s="205">
        <f t="shared" si="10"/>
        <v>0</v>
      </c>
      <c r="Z229" s="392"/>
      <c r="AA229" s="385"/>
      <c r="AB229" s="385">
        <f>Roles!$D$6</f>
        <v>0.1</v>
      </c>
      <c r="AC229" s="385"/>
      <c r="AD229" s="205">
        <f t="shared" si="11"/>
        <v>0</v>
      </c>
      <c r="AE229" s="392"/>
      <c r="AF229" s="385"/>
      <c r="AG229" s="385">
        <f>Roles!$D$6</f>
        <v>0.1</v>
      </c>
      <c r="AH229" s="385"/>
      <c r="AI229" s="205">
        <f t="shared" si="12"/>
        <v>0</v>
      </c>
      <c r="AJ229" s="392"/>
      <c r="AK229" s="385"/>
      <c r="AL229" s="385">
        <f>Roles!$D$6</f>
        <v>0.1</v>
      </c>
      <c r="AM229" s="385"/>
      <c r="AN229" s="205">
        <f t="shared" si="13"/>
        <v>0</v>
      </c>
      <c r="AO229" s="392"/>
      <c r="AP229" s="385"/>
      <c r="AQ229" s="385">
        <f>Roles!$D$6</f>
        <v>0.1</v>
      </c>
      <c r="AR229" s="385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 t="shared" si="1"/>
        <v>2</v>
      </c>
      <c r="F230" s="80">
        <v>10.0</v>
      </c>
      <c r="G230" s="105">
        <f t="shared" si="2"/>
        <v>0.008613264427</v>
      </c>
      <c r="H230" s="47">
        <f>H228+G230</f>
        <v>0.9715762274</v>
      </c>
      <c r="I230" s="231">
        <f t="shared" ref="I230:I231" si="202">P230+U230+Z230+AE230+AJ230+AO230</f>
        <v>2</v>
      </c>
      <c r="J230" s="172">
        <f>J228+I230</f>
        <v>664</v>
      </c>
      <c r="K230" s="115">
        <f t="shared" si="3"/>
        <v>0.9764705882</v>
      </c>
      <c r="L230" s="336">
        <f t="shared" ref="L230:L231" si="203">S230+X230+AC230+AH230+AM230+AR230</f>
        <v>0.88</v>
      </c>
      <c r="M230" s="172">
        <f>M228+L230</f>
        <v>292.16</v>
      </c>
      <c r="N230" s="7"/>
      <c r="O230" s="205">
        <f t="shared" si="7"/>
        <v>0.2</v>
      </c>
      <c r="P230" s="391">
        <v>2.0</v>
      </c>
      <c r="Q230" s="385"/>
      <c r="R230" s="385">
        <f>Roles!$D$5</f>
        <v>0.44</v>
      </c>
      <c r="S230" s="385">
        <f t="shared" si="8"/>
        <v>0.88</v>
      </c>
      <c r="T230" s="205">
        <f t="shared" si="9"/>
        <v>0</v>
      </c>
      <c r="U230" s="392"/>
      <c r="V230" s="385"/>
      <c r="W230" s="385">
        <f>Roles!$D$6</f>
        <v>0.1</v>
      </c>
      <c r="X230" s="385"/>
      <c r="Y230" s="205">
        <f t="shared" si="10"/>
        <v>0</v>
      </c>
      <c r="Z230" s="392"/>
      <c r="AA230" s="385"/>
      <c r="AB230" s="385">
        <f>Roles!$D$6</f>
        <v>0.1</v>
      </c>
      <c r="AC230" s="385"/>
      <c r="AD230" s="205">
        <f t="shared" si="11"/>
        <v>0</v>
      </c>
      <c r="AE230" s="392"/>
      <c r="AF230" s="385"/>
      <c r="AG230" s="385">
        <f>Roles!$D$6</f>
        <v>0.1</v>
      </c>
      <c r="AH230" s="385"/>
      <c r="AI230" s="205">
        <f t="shared" si="12"/>
        <v>0</v>
      </c>
      <c r="AJ230" s="392"/>
      <c r="AK230" s="385"/>
      <c r="AL230" s="385">
        <f>Roles!$D$6</f>
        <v>0.1</v>
      </c>
      <c r="AM230" s="385"/>
      <c r="AN230" s="205">
        <f t="shared" si="13"/>
        <v>0</v>
      </c>
      <c r="AO230" s="392"/>
      <c r="AP230" s="385"/>
      <c r="AQ230" s="385">
        <f>Roles!$D$6</f>
        <v>0.1</v>
      </c>
      <c r="AR230" s="385"/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 t="shared" si="1"/>
        <v>1</v>
      </c>
      <c r="F231" s="80">
        <v>10.0</v>
      </c>
      <c r="G231" s="105">
        <f t="shared" si="2"/>
        <v>0.008613264427</v>
      </c>
      <c r="H231" s="353">
        <f>H230+G231</f>
        <v>0.9801894918</v>
      </c>
      <c r="I231" s="231">
        <f t="shared" si="202"/>
        <v>12</v>
      </c>
      <c r="J231" s="351">
        <f>J230+I231</f>
        <v>676</v>
      </c>
      <c r="K231" s="352">
        <f t="shared" si="3"/>
        <v>0.9941176471</v>
      </c>
      <c r="L231" s="336">
        <f t="shared" si="203"/>
        <v>5.28</v>
      </c>
      <c r="M231" s="351">
        <f>M230+L231</f>
        <v>297.44</v>
      </c>
      <c r="N231" s="7"/>
      <c r="O231" s="205">
        <f t="shared" si="7"/>
        <v>1.2</v>
      </c>
      <c r="P231" s="391">
        <v>12.0</v>
      </c>
      <c r="Q231" s="385"/>
      <c r="R231" s="385">
        <f>Roles!$D$5</f>
        <v>0.44</v>
      </c>
      <c r="S231" s="385">
        <f t="shared" si="8"/>
        <v>5.28</v>
      </c>
      <c r="T231" s="205">
        <f t="shared" si="9"/>
        <v>0</v>
      </c>
      <c r="U231" s="392"/>
      <c r="V231" s="385"/>
      <c r="W231" s="385">
        <f>Roles!$D$6</f>
        <v>0.1</v>
      </c>
      <c r="X231" s="385"/>
      <c r="Y231" s="205">
        <f t="shared" si="10"/>
        <v>0</v>
      </c>
      <c r="Z231" s="392"/>
      <c r="AA231" s="385"/>
      <c r="AB231" s="385">
        <f>Roles!$D$6</f>
        <v>0.1</v>
      </c>
      <c r="AC231" s="385"/>
      <c r="AD231" s="205">
        <f t="shared" si="11"/>
        <v>0</v>
      </c>
      <c r="AE231" s="392"/>
      <c r="AF231" s="385"/>
      <c r="AG231" s="385">
        <f>Roles!$D$6</f>
        <v>0.1</v>
      </c>
      <c r="AH231" s="385"/>
      <c r="AI231" s="205">
        <f t="shared" si="12"/>
        <v>0</v>
      </c>
      <c r="AJ231" s="392"/>
      <c r="AK231" s="385"/>
      <c r="AL231" s="385">
        <f>Roles!$D$6</f>
        <v>0.1</v>
      </c>
      <c r="AM231" s="385"/>
      <c r="AN231" s="205">
        <f t="shared" si="13"/>
        <v>0</v>
      </c>
      <c r="AO231" s="392"/>
      <c r="AP231" s="385"/>
      <c r="AQ231" s="385">
        <f>Roles!$D$6</f>
        <v>0.1</v>
      </c>
      <c r="AR231" s="385"/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 t="shared" si="1"/>
        <v>3</v>
      </c>
      <c r="F232" s="246">
        <f>SUM(F233:F237)</f>
        <v>23</v>
      </c>
      <c r="G232" s="105">
        <f t="shared" si="2"/>
        <v>0.01981050818</v>
      </c>
      <c r="H232" s="226">
        <f>H237</f>
        <v>1</v>
      </c>
      <c r="I232" s="247">
        <f>SUM(I233:I237)</f>
        <v>4</v>
      </c>
      <c r="J232" s="247">
        <f>J237</f>
        <v>680</v>
      </c>
      <c r="K232" s="167">
        <f t="shared" si="3"/>
        <v>1</v>
      </c>
      <c r="L232" s="247">
        <f>SUM(L233:L237)</f>
        <v>1.76</v>
      </c>
      <c r="M232" s="247">
        <f>M237</f>
        <v>299.2</v>
      </c>
      <c r="N232" s="7"/>
      <c r="O232" s="205">
        <f t="shared" si="7"/>
        <v>0</v>
      </c>
      <c r="P232" s="89"/>
      <c r="Q232" s="385"/>
      <c r="R232" s="385">
        <f>Roles!$D$5</f>
        <v>0.44</v>
      </c>
      <c r="S232" s="385">
        <f t="shared" si="8"/>
        <v>0</v>
      </c>
      <c r="T232" s="205">
        <f t="shared" si="9"/>
        <v>0</v>
      </c>
      <c r="U232" s="392"/>
      <c r="V232" s="385"/>
      <c r="W232" s="385">
        <f>Roles!$D$6</f>
        <v>0.1</v>
      </c>
      <c r="X232" s="385"/>
      <c r="Y232" s="205">
        <f t="shared" si="10"/>
        <v>0</v>
      </c>
      <c r="Z232" s="392"/>
      <c r="AA232" s="385"/>
      <c r="AB232" s="385">
        <f>Roles!$D$6</f>
        <v>0.1</v>
      </c>
      <c r="AC232" s="385"/>
      <c r="AD232" s="205">
        <f t="shared" si="11"/>
        <v>0</v>
      </c>
      <c r="AE232" s="392"/>
      <c r="AF232" s="385"/>
      <c r="AG232" s="385">
        <f>Roles!$D$6</f>
        <v>0.1</v>
      </c>
      <c r="AH232" s="385"/>
      <c r="AI232" s="205">
        <f t="shared" si="12"/>
        <v>0</v>
      </c>
      <c r="AJ232" s="392"/>
      <c r="AK232" s="385"/>
      <c r="AL232" s="385">
        <f>Roles!$D$6</f>
        <v>0.1</v>
      </c>
      <c r="AM232" s="385"/>
      <c r="AN232" s="205">
        <f t="shared" si="13"/>
        <v>0</v>
      </c>
      <c r="AO232" s="392"/>
      <c r="AP232" s="385"/>
      <c r="AQ232" s="385">
        <f>Roles!$D$6</f>
        <v>0.1</v>
      </c>
      <c r="AR232" s="385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 t="shared" si="1"/>
        <v>2</v>
      </c>
      <c r="F233" s="80">
        <v>3.0</v>
      </c>
      <c r="G233" s="105">
        <f t="shared" si="2"/>
        <v>0.002583979328</v>
      </c>
      <c r="H233" s="47">
        <f>H231+G233</f>
        <v>0.9827734711</v>
      </c>
      <c r="I233" s="231">
        <f t="shared" ref="I233:I237" si="204">P233+U233+Z233+AE233+AJ233+AO233</f>
        <v>4</v>
      </c>
      <c r="J233" s="172">
        <f>J231+I233</f>
        <v>680</v>
      </c>
      <c r="K233" s="115">
        <f t="shared" si="3"/>
        <v>1</v>
      </c>
      <c r="L233" s="336">
        <f t="shared" ref="L233:L237" si="205">S233+X233+AC233+AH233+AM233+AR233</f>
        <v>1.76</v>
      </c>
      <c r="M233" s="172">
        <f>M231+L233</f>
        <v>299.2</v>
      </c>
      <c r="N233" s="7"/>
      <c r="O233" s="205">
        <f t="shared" si="7"/>
        <v>1.333333333</v>
      </c>
      <c r="P233" s="391">
        <v>4.0</v>
      </c>
      <c r="Q233" s="385"/>
      <c r="R233" s="385">
        <f>Roles!$D$5</f>
        <v>0.44</v>
      </c>
      <c r="S233" s="385">
        <f t="shared" si="8"/>
        <v>1.76</v>
      </c>
      <c r="T233" s="205">
        <f t="shared" si="9"/>
        <v>0</v>
      </c>
      <c r="U233" s="392"/>
      <c r="V233" s="385"/>
      <c r="W233" s="385">
        <f>Roles!$D$6</f>
        <v>0.1</v>
      </c>
      <c r="X233" s="385"/>
      <c r="Y233" s="205">
        <f t="shared" si="10"/>
        <v>0</v>
      </c>
      <c r="Z233" s="392"/>
      <c r="AA233" s="385"/>
      <c r="AB233" s="385">
        <f>Roles!$D$6</f>
        <v>0.1</v>
      </c>
      <c r="AC233" s="385"/>
      <c r="AD233" s="205">
        <f t="shared" si="11"/>
        <v>0</v>
      </c>
      <c r="AE233" s="392"/>
      <c r="AF233" s="385"/>
      <c r="AG233" s="385">
        <f>Roles!$D$6</f>
        <v>0.1</v>
      </c>
      <c r="AH233" s="385"/>
      <c r="AI233" s="205">
        <f t="shared" si="12"/>
        <v>0</v>
      </c>
      <c r="AJ233" s="392"/>
      <c r="AK233" s="385"/>
      <c r="AL233" s="385">
        <f>Roles!$D$6</f>
        <v>0.1</v>
      </c>
      <c r="AM233" s="385"/>
      <c r="AN233" s="205">
        <f t="shared" si="13"/>
        <v>0</v>
      </c>
      <c r="AO233" s="392"/>
      <c r="AP233" s="385"/>
      <c r="AQ233" s="385">
        <f>Roles!$D$6</f>
        <v>0.1</v>
      </c>
      <c r="AR233" s="385"/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 t="shared" si="1"/>
        <v>2</v>
      </c>
      <c r="F234" s="80">
        <v>10.0</v>
      </c>
      <c r="G234" s="105">
        <f t="shared" si="2"/>
        <v>0.008613264427</v>
      </c>
      <c r="H234" s="47">
        <f t="shared" ref="H234:H238" si="206">H233+G234</f>
        <v>0.9913867356</v>
      </c>
      <c r="I234" s="231">
        <f t="shared" si="204"/>
        <v>0</v>
      </c>
      <c r="J234" s="172">
        <f t="shared" ref="J234:J238" si="207">J233+I234</f>
        <v>680</v>
      </c>
      <c r="K234" s="115">
        <f t="shared" si="3"/>
        <v>1</v>
      </c>
      <c r="L234" s="336">
        <f t="shared" si="205"/>
        <v>0</v>
      </c>
      <c r="M234" s="172">
        <f t="shared" ref="M234:M238" si="208">M233+L234</f>
        <v>299.2</v>
      </c>
      <c r="N234" s="7"/>
      <c r="O234" s="205">
        <f t="shared" si="7"/>
        <v>0</v>
      </c>
      <c r="P234" s="391">
        <v>0.0</v>
      </c>
      <c r="Q234" s="385"/>
      <c r="R234" s="385">
        <f>Roles!$D$5</f>
        <v>0.44</v>
      </c>
      <c r="S234" s="385">
        <f t="shared" si="8"/>
        <v>0</v>
      </c>
      <c r="T234" s="205">
        <f t="shared" si="9"/>
        <v>0</v>
      </c>
      <c r="U234" s="392"/>
      <c r="V234" s="385"/>
      <c r="W234" s="385">
        <f>Roles!$D$6</f>
        <v>0.1</v>
      </c>
      <c r="X234" s="385"/>
      <c r="Y234" s="205">
        <f t="shared" si="10"/>
        <v>0</v>
      </c>
      <c r="Z234" s="392"/>
      <c r="AA234" s="385"/>
      <c r="AB234" s="385">
        <f>Roles!$D$6</f>
        <v>0.1</v>
      </c>
      <c r="AC234" s="385"/>
      <c r="AD234" s="205">
        <f t="shared" si="11"/>
        <v>0</v>
      </c>
      <c r="AE234" s="392"/>
      <c r="AF234" s="385"/>
      <c r="AG234" s="385">
        <f>Roles!$D$6</f>
        <v>0.1</v>
      </c>
      <c r="AH234" s="385"/>
      <c r="AI234" s="205">
        <f t="shared" si="12"/>
        <v>0</v>
      </c>
      <c r="AJ234" s="392"/>
      <c r="AK234" s="385"/>
      <c r="AL234" s="385">
        <f>Roles!$D$6</f>
        <v>0.1</v>
      </c>
      <c r="AM234" s="385"/>
      <c r="AN234" s="205">
        <f t="shared" si="13"/>
        <v>0</v>
      </c>
      <c r="AO234" s="392"/>
      <c r="AP234" s="385"/>
      <c r="AQ234" s="385">
        <f>Roles!$D$6</f>
        <v>0.1</v>
      </c>
      <c r="AR234" s="385"/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 t="shared" si="1"/>
        <v>1</v>
      </c>
      <c r="F235" s="80">
        <v>2.0</v>
      </c>
      <c r="G235" s="105">
        <f t="shared" si="2"/>
        <v>0.001722652885</v>
      </c>
      <c r="H235" s="47">
        <f t="shared" si="206"/>
        <v>0.9931093885</v>
      </c>
      <c r="I235" s="231">
        <f t="shared" si="204"/>
        <v>0</v>
      </c>
      <c r="J235" s="172">
        <f t="shared" si="207"/>
        <v>680</v>
      </c>
      <c r="K235" s="115">
        <f t="shared" si="3"/>
        <v>1</v>
      </c>
      <c r="L235" s="336">
        <f t="shared" si="205"/>
        <v>0</v>
      </c>
      <c r="M235" s="172">
        <f t="shared" si="208"/>
        <v>299.2</v>
      </c>
      <c r="N235" s="7"/>
      <c r="O235" s="205">
        <f t="shared" si="7"/>
        <v>0</v>
      </c>
      <c r="P235" s="391">
        <v>0.0</v>
      </c>
      <c r="Q235" s="385"/>
      <c r="R235" s="385">
        <f>Roles!$D$5</f>
        <v>0.44</v>
      </c>
      <c r="S235" s="385">
        <f t="shared" si="8"/>
        <v>0</v>
      </c>
      <c r="T235" s="205">
        <f t="shared" si="9"/>
        <v>0</v>
      </c>
      <c r="U235" s="392"/>
      <c r="V235" s="385"/>
      <c r="W235" s="385">
        <f>Roles!$D$6</f>
        <v>0.1</v>
      </c>
      <c r="X235" s="385"/>
      <c r="Y235" s="205">
        <f t="shared" si="10"/>
        <v>0</v>
      </c>
      <c r="Z235" s="392"/>
      <c r="AA235" s="385"/>
      <c r="AB235" s="385">
        <f>Roles!$D$6</f>
        <v>0.1</v>
      </c>
      <c r="AC235" s="385"/>
      <c r="AD235" s="205">
        <f t="shared" si="11"/>
        <v>0</v>
      </c>
      <c r="AE235" s="392"/>
      <c r="AF235" s="385"/>
      <c r="AG235" s="385">
        <f>Roles!$D$6</f>
        <v>0.1</v>
      </c>
      <c r="AH235" s="385"/>
      <c r="AI235" s="205">
        <f t="shared" si="12"/>
        <v>0</v>
      </c>
      <c r="AJ235" s="392"/>
      <c r="AK235" s="385"/>
      <c r="AL235" s="385">
        <f>Roles!$D$6</f>
        <v>0.1</v>
      </c>
      <c r="AM235" s="385"/>
      <c r="AN235" s="205">
        <f t="shared" si="13"/>
        <v>0</v>
      </c>
      <c r="AO235" s="392"/>
      <c r="AP235" s="385"/>
      <c r="AQ235" s="385">
        <f>Roles!$D$6</f>
        <v>0.1</v>
      </c>
      <c r="AR235" s="385"/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 t="shared" si="1"/>
        <v>2</v>
      </c>
      <c r="F236" s="80">
        <v>3.0</v>
      </c>
      <c r="G236" s="105">
        <f t="shared" si="2"/>
        <v>0.002583979328</v>
      </c>
      <c r="H236" s="47">
        <f t="shared" si="206"/>
        <v>0.9956933678</v>
      </c>
      <c r="I236" s="231">
        <f t="shared" si="204"/>
        <v>0</v>
      </c>
      <c r="J236" s="172">
        <f t="shared" si="207"/>
        <v>680</v>
      </c>
      <c r="K236" s="115">
        <f t="shared" si="3"/>
        <v>1</v>
      </c>
      <c r="L236" s="336">
        <f t="shared" si="205"/>
        <v>0</v>
      </c>
      <c r="M236" s="172">
        <f t="shared" si="208"/>
        <v>299.2</v>
      </c>
      <c r="N236" s="7"/>
      <c r="O236" s="205">
        <f t="shared" si="7"/>
        <v>0</v>
      </c>
      <c r="P236" s="391">
        <v>0.0</v>
      </c>
      <c r="Q236" s="385"/>
      <c r="R236" s="385">
        <f>Roles!$D$5</f>
        <v>0.44</v>
      </c>
      <c r="S236" s="385">
        <f t="shared" si="8"/>
        <v>0</v>
      </c>
      <c r="T236" s="205">
        <f t="shared" si="9"/>
        <v>0</v>
      </c>
      <c r="U236" s="392"/>
      <c r="V236" s="385"/>
      <c r="W236" s="385">
        <f>Roles!$D$6</f>
        <v>0.1</v>
      </c>
      <c r="X236" s="385"/>
      <c r="Y236" s="205">
        <f t="shared" si="10"/>
        <v>0</v>
      </c>
      <c r="Z236" s="392"/>
      <c r="AA236" s="385"/>
      <c r="AB236" s="385">
        <f>Roles!$D$6</f>
        <v>0.1</v>
      </c>
      <c r="AC236" s="385"/>
      <c r="AD236" s="205">
        <f t="shared" si="11"/>
        <v>0</v>
      </c>
      <c r="AE236" s="392"/>
      <c r="AF236" s="385"/>
      <c r="AG236" s="385">
        <f>Roles!$D$6</f>
        <v>0.1</v>
      </c>
      <c r="AH236" s="385"/>
      <c r="AI236" s="205">
        <f t="shared" si="12"/>
        <v>0</v>
      </c>
      <c r="AJ236" s="392"/>
      <c r="AK236" s="385"/>
      <c r="AL236" s="385">
        <f>Roles!$D$6</f>
        <v>0.1</v>
      </c>
      <c r="AM236" s="385"/>
      <c r="AN236" s="205">
        <f t="shared" si="13"/>
        <v>0</v>
      </c>
      <c r="AO236" s="392"/>
      <c r="AP236" s="385"/>
      <c r="AQ236" s="385">
        <f>Roles!$D$6</f>
        <v>0.1</v>
      </c>
      <c r="AR236" s="385"/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 t="shared" si="1"/>
        <v>1</v>
      </c>
      <c r="F237" s="80">
        <v>5.0</v>
      </c>
      <c r="G237" s="105">
        <f t="shared" si="2"/>
        <v>0.004306632214</v>
      </c>
      <c r="H237" s="47">
        <f t="shared" si="206"/>
        <v>1</v>
      </c>
      <c r="I237" s="231">
        <f t="shared" si="204"/>
        <v>0</v>
      </c>
      <c r="J237" s="172">
        <f t="shared" si="207"/>
        <v>680</v>
      </c>
      <c r="K237" s="115">
        <f t="shared" si="3"/>
        <v>1</v>
      </c>
      <c r="L237" s="336">
        <f t="shared" si="205"/>
        <v>0</v>
      </c>
      <c r="M237" s="172">
        <f t="shared" si="208"/>
        <v>299.2</v>
      </c>
      <c r="N237" s="7"/>
      <c r="O237" s="205">
        <f t="shared" si="7"/>
        <v>0</v>
      </c>
      <c r="P237" s="391">
        <v>0.0</v>
      </c>
      <c r="Q237" s="385"/>
      <c r="R237" s="385">
        <f>Roles!$D$5</f>
        <v>0.44</v>
      </c>
      <c r="S237" s="385">
        <f t="shared" si="8"/>
        <v>0</v>
      </c>
      <c r="T237" s="205">
        <f t="shared" si="9"/>
        <v>0</v>
      </c>
      <c r="U237" s="392"/>
      <c r="V237" s="385"/>
      <c r="W237" s="385">
        <f>Roles!$D$6</f>
        <v>0.1</v>
      </c>
      <c r="X237" s="385"/>
      <c r="Y237" s="205">
        <f t="shared" si="10"/>
        <v>0</v>
      </c>
      <c r="Z237" s="392"/>
      <c r="AA237" s="385"/>
      <c r="AB237" s="385">
        <f>Roles!$D$6</f>
        <v>0.1</v>
      </c>
      <c r="AC237" s="385"/>
      <c r="AD237" s="205">
        <f t="shared" si="11"/>
        <v>0</v>
      </c>
      <c r="AE237" s="392"/>
      <c r="AF237" s="385"/>
      <c r="AG237" s="385">
        <f>Roles!$D$6</f>
        <v>0.1</v>
      </c>
      <c r="AH237" s="385"/>
      <c r="AI237" s="205">
        <f t="shared" si="12"/>
        <v>0</v>
      </c>
      <c r="AJ237" s="392"/>
      <c r="AK237" s="385"/>
      <c r="AL237" s="385">
        <f>Roles!$D$6</f>
        <v>0.1</v>
      </c>
      <c r="AM237" s="385"/>
      <c r="AN237" s="205">
        <f t="shared" si="13"/>
        <v>0</v>
      </c>
      <c r="AO237" s="392"/>
      <c r="AP237" s="385"/>
      <c r="AQ237" s="385">
        <f>Roles!$D$6</f>
        <v>0.1</v>
      </c>
      <c r="AR237" s="385"/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 t="shared" si="1"/>
        <v>1</v>
      </c>
      <c r="F238" s="136">
        <v>0.0</v>
      </c>
      <c r="G238" s="105">
        <f t="shared" si="2"/>
        <v>0</v>
      </c>
      <c r="H238" s="115">
        <f t="shared" si="206"/>
        <v>1</v>
      </c>
      <c r="I238" s="110">
        <f>F238</f>
        <v>0</v>
      </c>
      <c r="J238" s="110">
        <f t="shared" si="207"/>
        <v>680</v>
      </c>
      <c r="K238" s="115">
        <f t="shared" si="3"/>
        <v>1</v>
      </c>
      <c r="L238" s="110">
        <v>0.0</v>
      </c>
      <c r="M238" s="110">
        <f t="shared" si="208"/>
        <v>299.2</v>
      </c>
      <c r="N238" s="7"/>
      <c r="O238" s="205" t="str">
        <f t="shared" si="7"/>
        <v>#DIV/0!</v>
      </c>
      <c r="P238" s="392"/>
      <c r="Q238" s="385"/>
      <c r="R238" s="385">
        <f>Roles!$D$5</f>
        <v>0.44</v>
      </c>
      <c r="S238" s="385">
        <f t="shared" si="8"/>
        <v>0</v>
      </c>
      <c r="T238" s="205" t="str">
        <f t="shared" si="9"/>
        <v>#DIV/0!</v>
      </c>
      <c r="U238" s="392"/>
      <c r="V238" s="385"/>
      <c r="W238" s="385">
        <f>Roles!$D$6</f>
        <v>0.1</v>
      </c>
      <c r="X238" s="385"/>
      <c r="Y238" s="205" t="str">
        <f t="shared" si="10"/>
        <v>#DIV/0!</v>
      </c>
      <c r="Z238" s="392"/>
      <c r="AA238" s="385"/>
      <c r="AB238" s="385">
        <f>Roles!$D$6</f>
        <v>0.1</v>
      </c>
      <c r="AC238" s="385"/>
      <c r="AD238" s="205" t="str">
        <f t="shared" si="11"/>
        <v>#DIV/0!</v>
      </c>
      <c r="AE238" s="392"/>
      <c r="AF238" s="385"/>
      <c r="AG238" s="385">
        <f>Roles!$D$6</f>
        <v>0.1</v>
      </c>
      <c r="AH238" s="385"/>
      <c r="AI238" s="205" t="str">
        <f t="shared" si="12"/>
        <v>#DIV/0!</v>
      </c>
      <c r="AJ238" s="392"/>
      <c r="AK238" s="385"/>
      <c r="AL238" s="385">
        <f>Roles!$D$6</f>
        <v>0.1</v>
      </c>
      <c r="AM238" s="385"/>
      <c r="AN238" s="205" t="str">
        <f t="shared" si="13"/>
        <v>#DIV/0!</v>
      </c>
      <c r="AO238" s="392"/>
      <c r="AP238" s="385"/>
      <c r="AQ238" s="385">
        <f>Roles!$D$6</f>
        <v>0.1</v>
      </c>
      <c r="AR238" s="385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680</v>
      </c>
      <c r="J239" s="7"/>
      <c r="K239" s="7"/>
      <c r="L239" s="329">
        <f>L5+L30+L80+L146+L186+L213</f>
        <v>299.2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D1:AH2"/>
    <mergeCell ref="AI1:AM2"/>
    <mergeCell ref="AN1:AR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O1:S2"/>
    <mergeCell ref="T1:X2"/>
    <mergeCell ref="Y1:AC2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33.43"/>
    <col customWidth="1" min="2" max="2" width="14.43"/>
    <col customWidth="1" min="3" max="3" width="12.0"/>
    <col customWidth="1" min="4" max="6" width="14.43"/>
  </cols>
  <sheetData>
    <row r="1">
      <c r="A1" s="396" t="s">
        <v>682</v>
      </c>
      <c r="B1" s="396" t="s">
        <v>683</v>
      </c>
      <c r="C1" s="396" t="s">
        <v>684</v>
      </c>
      <c r="D1" s="7"/>
      <c r="E1" s="7"/>
      <c r="F1" s="7"/>
    </row>
    <row r="2">
      <c r="A2" s="266" t="s">
        <v>685</v>
      </c>
      <c r="B2" s="397" t="s">
        <v>686</v>
      </c>
      <c r="C2" s="398">
        <f>C14-A14</f>
        <v>-113.19</v>
      </c>
      <c r="D2" s="7"/>
      <c r="E2" s="7"/>
      <c r="F2" s="7"/>
    </row>
    <row r="3">
      <c r="A3" s="266" t="s">
        <v>687</v>
      </c>
      <c r="B3" s="397" t="s">
        <v>688</v>
      </c>
      <c r="C3" s="398">
        <f>C14-B14</f>
        <v>-724.87</v>
      </c>
      <c r="D3" s="7"/>
      <c r="E3" s="7"/>
      <c r="F3" s="7"/>
    </row>
    <row r="4">
      <c r="A4" s="266" t="s">
        <v>689</v>
      </c>
      <c r="B4" s="397" t="s">
        <v>690</v>
      </c>
      <c r="C4" s="399">
        <f>IFERROR(C2/A14, 0)</f>
        <v>-0.5980977543</v>
      </c>
      <c r="D4" s="7"/>
      <c r="E4" s="7"/>
      <c r="F4" s="7"/>
    </row>
    <row r="5">
      <c r="A5" s="266" t="s">
        <v>691</v>
      </c>
      <c r="B5" s="397" t="s">
        <v>692</v>
      </c>
      <c r="C5" s="399">
        <f>IFERROR(C3/C14, 0)</f>
        <v>-9.530239285</v>
      </c>
      <c r="D5" s="7"/>
      <c r="E5" s="7"/>
      <c r="F5" s="7"/>
    </row>
    <row r="6">
      <c r="A6" s="266" t="s">
        <v>693</v>
      </c>
      <c r="B6" s="397" t="s">
        <v>694</v>
      </c>
      <c r="C6" s="400">
        <f>IFERROR(C14/A14, 0)</f>
        <v>0.4019022457</v>
      </c>
      <c r="D6" s="7"/>
      <c r="E6" s="7"/>
      <c r="F6" s="7"/>
    </row>
    <row r="7">
      <c r="A7" s="266" t="s">
        <v>695</v>
      </c>
      <c r="B7" s="397" t="s">
        <v>696</v>
      </c>
      <c r="C7" s="400">
        <f>IFERROR(C14/B14, 0)</f>
        <v>0.09496460365</v>
      </c>
      <c r="D7" s="7"/>
      <c r="E7" s="7"/>
      <c r="F7" s="7"/>
    </row>
    <row r="8">
      <c r="A8" s="266" t="s">
        <v>697</v>
      </c>
      <c r="B8" s="397" t="s">
        <v>698</v>
      </c>
      <c r="C8" s="398">
        <f>'PL Cronograma detallado'!M238</f>
        <v>589.52</v>
      </c>
      <c r="D8" s="7"/>
      <c r="E8" s="7"/>
      <c r="F8" s="7"/>
    </row>
    <row r="9">
      <c r="A9" s="266" t="s">
        <v>699</v>
      </c>
      <c r="B9" s="397" t="s">
        <v>700</v>
      </c>
      <c r="C9" s="401">
        <f>IFERROR(C8/C7, 0)</f>
        <v>6207.786663</v>
      </c>
      <c r="D9" s="7"/>
      <c r="E9" s="7"/>
      <c r="F9" s="7"/>
    </row>
    <row r="10">
      <c r="A10" s="266" t="s">
        <v>701</v>
      </c>
      <c r="B10" s="397" t="s">
        <v>702</v>
      </c>
      <c r="C10" s="398">
        <f>C8-C9</f>
        <v>-5618.266663</v>
      </c>
      <c r="D10" s="7"/>
      <c r="E10" s="7"/>
      <c r="F10" s="7"/>
    </row>
    <row r="11">
      <c r="A11" s="266" t="s">
        <v>703</v>
      </c>
      <c r="B11" s="397" t="s">
        <v>704</v>
      </c>
      <c r="C11" s="401">
        <f>C9-B14</f>
        <v>5406.856663</v>
      </c>
      <c r="D11" s="7"/>
      <c r="E11" s="7"/>
      <c r="F11" s="7"/>
    </row>
    <row r="12">
      <c r="A12" s="266" t="s">
        <v>705</v>
      </c>
      <c r="B12" s="397" t="s">
        <v>706</v>
      </c>
      <c r="C12" s="401">
        <f>IFERROR((C8-C14)/(C8-B14), 0)</f>
        <v>-2.428740362</v>
      </c>
      <c r="D12" s="7"/>
      <c r="E12" s="7"/>
      <c r="F12" s="7"/>
    </row>
    <row r="13">
      <c r="A13" s="402" t="s">
        <v>707</v>
      </c>
      <c r="B13" s="402" t="s">
        <v>708</v>
      </c>
      <c r="C13" s="402" t="s">
        <v>709</v>
      </c>
      <c r="D13" s="7"/>
      <c r="E13" s="7"/>
      <c r="F13" s="7"/>
    </row>
    <row r="14">
      <c r="A14" s="401">
        <f>EVM!F34</f>
        <v>189.25</v>
      </c>
      <c r="B14" s="401">
        <f>EVM!N34</f>
        <v>800.93</v>
      </c>
      <c r="C14" s="401">
        <f>EVM!J34</f>
        <v>76.06</v>
      </c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 t="s">
        <v>710</v>
      </c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403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 outlineLevelRow="1"/>
  <cols>
    <col customWidth="1" min="1" max="1" width="5.43"/>
    <col customWidth="1" min="2" max="2" width="43.57"/>
    <col customWidth="1" min="3" max="3" width="8.57"/>
    <col customWidth="1" hidden="1" min="4" max="4" width="12.57"/>
    <col customWidth="1" min="5" max="25" width="8.71"/>
  </cols>
  <sheetData>
    <row r="1">
      <c r="A1" s="404" t="s">
        <v>0</v>
      </c>
      <c r="B1" s="404" t="s">
        <v>2</v>
      </c>
      <c r="C1" s="404" t="s">
        <v>41</v>
      </c>
      <c r="D1" s="404" t="s">
        <v>711</v>
      </c>
      <c r="E1" s="405" t="s">
        <v>712</v>
      </c>
      <c r="F1" s="20"/>
      <c r="G1" s="20"/>
      <c r="H1" s="6"/>
      <c r="I1" s="406" t="s">
        <v>713</v>
      </c>
      <c r="J1" s="20"/>
      <c r="K1" s="20"/>
      <c r="L1" s="6"/>
      <c r="M1" s="407" t="s">
        <v>714</v>
      </c>
      <c r="N1" s="20"/>
      <c r="O1" s="20"/>
      <c r="P1" s="6"/>
      <c r="Q1" s="408" t="s">
        <v>715</v>
      </c>
      <c r="R1" s="20"/>
      <c r="S1" s="6"/>
      <c r="T1" s="71" t="s">
        <v>716</v>
      </c>
      <c r="U1" s="20"/>
      <c r="V1" s="6"/>
      <c r="W1" s="409" t="s">
        <v>717</v>
      </c>
      <c r="X1" s="409" t="s">
        <v>718</v>
      </c>
      <c r="Y1" s="409" t="s">
        <v>719</v>
      </c>
      <c r="Z1" s="410"/>
      <c r="AA1" s="410"/>
      <c r="AB1" s="410"/>
      <c r="AC1" s="410"/>
    </row>
    <row r="2" ht="14.25" customHeight="1">
      <c r="A2" s="25"/>
      <c r="B2" s="25"/>
      <c r="C2" s="25"/>
      <c r="D2" s="25"/>
      <c r="E2" s="411" t="s">
        <v>707</v>
      </c>
      <c r="F2" s="411" t="s">
        <v>720</v>
      </c>
      <c r="G2" s="411" t="s">
        <v>721</v>
      </c>
      <c r="H2" s="411" t="s">
        <v>722</v>
      </c>
      <c r="I2" s="412" t="s">
        <v>709</v>
      </c>
      <c r="J2" s="412" t="s">
        <v>723</v>
      </c>
      <c r="K2" s="412" t="s">
        <v>721</v>
      </c>
      <c r="L2" s="412" t="s">
        <v>722</v>
      </c>
      <c r="M2" s="370" t="s">
        <v>708</v>
      </c>
      <c r="N2" s="370" t="s">
        <v>724</v>
      </c>
      <c r="O2" s="370" t="s">
        <v>721</v>
      </c>
      <c r="P2" s="370" t="s">
        <v>722</v>
      </c>
      <c r="Q2" s="413" t="s">
        <v>725</v>
      </c>
      <c r="R2" s="413" t="s">
        <v>726</v>
      </c>
      <c r="S2" s="326" t="s">
        <v>721</v>
      </c>
      <c r="T2" s="89" t="s">
        <v>727</v>
      </c>
      <c r="U2" s="89" t="s">
        <v>728</v>
      </c>
      <c r="V2" s="89" t="s">
        <v>721</v>
      </c>
      <c r="W2" s="25"/>
      <c r="X2" s="25"/>
      <c r="Y2" s="25"/>
      <c r="Z2" s="410"/>
      <c r="AA2" s="410"/>
      <c r="AB2" s="410"/>
      <c r="AC2" s="410"/>
    </row>
    <row r="3">
      <c r="A3" s="414" t="s">
        <v>62</v>
      </c>
      <c r="B3" s="415" t="s">
        <v>63</v>
      </c>
      <c r="C3" s="416">
        <v>46269.0</v>
      </c>
      <c r="D3" s="47" t="str">
        <f t="shared" ref="D3:D4" si="1">#REF!+#REF!</f>
        <v>#REF!</v>
      </c>
      <c r="E3" s="417">
        <f>'PL Cronograma detallado'!$L7</f>
        <v>0.61</v>
      </c>
      <c r="F3" s="417">
        <f>E3</f>
        <v>0.61</v>
      </c>
      <c r="G3" s="323">
        <f>E3/'PL Cronograma detallado'!M$238</f>
        <v>0.001034740128</v>
      </c>
      <c r="H3" s="323">
        <f>G3</f>
        <v>0.001034740128</v>
      </c>
      <c r="I3" s="418">
        <f>'R Cronograma detallado'!AO7*'PL Cronograma detallado'!M$238</f>
        <v>0.61</v>
      </c>
      <c r="J3" s="418">
        <f>I3</f>
        <v>0.61</v>
      </c>
      <c r="K3" s="226">
        <f>I3/'PL Cronograma detallado'!M$238</f>
        <v>0.001034740128</v>
      </c>
      <c r="L3" s="226">
        <f>K3</f>
        <v>0.001034740128</v>
      </c>
      <c r="M3" s="419">
        <f>'R Cronograma detallado'!L7</f>
        <v>0.61</v>
      </c>
      <c r="N3" s="419">
        <f>M3</f>
        <v>0.61</v>
      </c>
      <c r="O3" s="420">
        <f>M3/'PL Cronograma detallado'!M$238</f>
        <v>0.001034740128</v>
      </c>
      <c r="P3" s="419">
        <f>O3</f>
        <v>0.001034740128</v>
      </c>
      <c r="Q3" s="421">
        <f t="shared" ref="Q3:Q80" si="2">I3-M3</f>
        <v>0</v>
      </c>
      <c r="R3" s="421">
        <f>Q3</f>
        <v>0</v>
      </c>
      <c r="S3" s="422">
        <f t="shared" ref="S3:S80" si="3">Q3/J3</f>
        <v>0</v>
      </c>
      <c r="T3" s="207">
        <f t="shared" ref="T3:T80" si="4">J3-F3</f>
        <v>0</v>
      </c>
      <c r="U3" s="423">
        <f>T3</f>
        <v>0</v>
      </c>
      <c r="V3" s="424">
        <f t="shared" ref="V3:V80" si="5">T3/F3</f>
        <v>0</v>
      </c>
      <c r="W3" s="425">
        <f t="shared" ref="W3:W80" si="6">J3/F3</f>
        <v>1</v>
      </c>
      <c r="X3" s="425">
        <f t="shared" ref="X3:X80" si="7">J3/N3</f>
        <v>1</v>
      </c>
      <c r="Y3" s="426">
        <f>('PL Cronograma detallado'!M$238-I3)/('PL Cronograma detallado'!M$238-M3)</f>
        <v>1</v>
      </c>
      <c r="Z3" s="410"/>
      <c r="AA3" s="410"/>
      <c r="AB3" s="410"/>
      <c r="AC3" s="410"/>
    </row>
    <row r="4">
      <c r="A4" s="414" t="s">
        <v>71</v>
      </c>
      <c r="B4" s="415" t="s">
        <v>72</v>
      </c>
      <c r="C4" s="416">
        <v>46268.0</v>
      </c>
      <c r="D4" s="47" t="str">
        <f t="shared" si="1"/>
        <v>#REF!</v>
      </c>
      <c r="E4" s="417">
        <f>'PL Cronograma detallado'!$L11</f>
        <v>2.37</v>
      </c>
      <c r="F4" s="417">
        <f t="shared" ref="F4:F80" si="8">E4+F3</f>
        <v>2.98</v>
      </c>
      <c r="G4" s="323">
        <f>E4/'PL Cronograma detallado'!M$238</f>
        <v>0.00402021984</v>
      </c>
      <c r="H4" s="323">
        <f t="shared" ref="H4:H80" si="9">G4+H3</f>
        <v>0.005054959967</v>
      </c>
      <c r="I4" s="418">
        <f>'R Cronograma detallado'!AO9*'PL Cronograma detallado'!M$238</f>
        <v>1.14</v>
      </c>
      <c r="J4" s="418">
        <f t="shared" ref="J4:J80" si="10">I4+J3</f>
        <v>1.75</v>
      </c>
      <c r="K4" s="226">
        <f>I4/'PL Cronograma detallado'!M$238</f>
        <v>0.001933776632</v>
      </c>
      <c r="L4" s="226">
        <f t="shared" ref="L4:L80" si="11">K4+L3</f>
        <v>0.002968516759</v>
      </c>
      <c r="M4" s="419">
        <f>'R Cronograma detallado'!L9</f>
        <v>2.64</v>
      </c>
      <c r="N4" s="419">
        <f t="shared" ref="N4:N80" si="12">M4+N3</f>
        <v>3.25</v>
      </c>
      <c r="O4" s="420">
        <f>M4/'PL Cronograma detallado'!M$238</f>
        <v>0.004478219568</v>
      </c>
      <c r="P4" s="419">
        <f t="shared" ref="P4:P80" si="13">O4+P3</f>
        <v>0.005512959696</v>
      </c>
      <c r="Q4" s="421">
        <f t="shared" si="2"/>
        <v>-1.5</v>
      </c>
      <c r="R4" s="421">
        <f t="shared" ref="R4:R80" si="14">Q4+R3</f>
        <v>-1.5</v>
      </c>
      <c r="S4" s="422">
        <f t="shared" si="3"/>
        <v>-0.8571428571</v>
      </c>
      <c r="T4" s="207">
        <f t="shared" si="4"/>
        <v>-1.23</v>
      </c>
      <c r="U4" s="423">
        <f t="shared" ref="U4:U80" si="15">T4+U3</f>
        <v>-1.23</v>
      </c>
      <c r="V4" s="424">
        <f t="shared" si="5"/>
        <v>-0.4127516779</v>
      </c>
      <c r="W4" s="425">
        <f t="shared" si="6"/>
        <v>0.5872483221</v>
      </c>
      <c r="X4" s="425">
        <f t="shared" si="7"/>
        <v>0.5384615385</v>
      </c>
      <c r="Y4" s="426">
        <f>('PL Cronograma detallado'!M$238-I4)/('PL Cronograma detallado'!M$238-M4)</f>
        <v>1.002555889</v>
      </c>
      <c r="Z4" s="410"/>
      <c r="AA4" s="410"/>
      <c r="AB4" s="410"/>
      <c r="AC4" s="410"/>
    </row>
    <row r="5">
      <c r="A5" s="414" t="s">
        <v>75</v>
      </c>
      <c r="B5" s="415" t="s">
        <v>84</v>
      </c>
      <c r="C5" s="416">
        <v>46269.0</v>
      </c>
      <c r="D5" s="47" t="str">
        <f>#REF!+D4</f>
        <v>#REF!</v>
      </c>
      <c r="E5" s="417">
        <f>'PL Cronograma detallado'!$L16</f>
        <v>10.6</v>
      </c>
      <c r="F5" s="417">
        <f t="shared" si="8"/>
        <v>13.58</v>
      </c>
      <c r="G5" s="323">
        <f>E5/'PL Cronograma detallado'!M$238</f>
        <v>0.01798073009</v>
      </c>
      <c r="H5" s="323">
        <f t="shared" si="9"/>
        <v>0.02303569005</v>
      </c>
      <c r="I5" s="418">
        <f>'R Cronograma detallado'!AO10*'PL Cronograma detallado'!M$238</f>
        <v>0</v>
      </c>
      <c r="J5" s="418">
        <f t="shared" si="10"/>
        <v>1.75</v>
      </c>
      <c r="K5" s="226">
        <f>I5/'PL Cronograma detallado'!M$238</f>
        <v>0</v>
      </c>
      <c r="L5" s="226">
        <f t="shared" si="11"/>
        <v>0.002968516759</v>
      </c>
      <c r="M5" s="419">
        <f>'R Cronograma detallado'!L10</f>
        <v>45.27</v>
      </c>
      <c r="N5" s="419">
        <f t="shared" si="12"/>
        <v>48.52</v>
      </c>
      <c r="O5" s="420">
        <f>M5/'PL Cronograma detallado'!M$238</f>
        <v>0.07679128783</v>
      </c>
      <c r="P5" s="419">
        <f t="shared" si="13"/>
        <v>0.08230424752</v>
      </c>
      <c r="Q5" s="421">
        <f t="shared" si="2"/>
        <v>-45.27</v>
      </c>
      <c r="R5" s="421">
        <f t="shared" si="14"/>
        <v>-46.77</v>
      </c>
      <c r="S5" s="422">
        <f t="shared" si="3"/>
        <v>-25.86857143</v>
      </c>
      <c r="T5" s="207">
        <f t="shared" si="4"/>
        <v>-11.83</v>
      </c>
      <c r="U5" s="423">
        <f t="shared" si="15"/>
        <v>-13.06</v>
      </c>
      <c r="V5" s="424">
        <f t="shared" si="5"/>
        <v>-0.8711340206</v>
      </c>
      <c r="W5" s="425">
        <f t="shared" si="6"/>
        <v>0.1288659794</v>
      </c>
      <c r="X5" s="425">
        <f t="shared" si="7"/>
        <v>0.03606760099</v>
      </c>
      <c r="Y5" s="426">
        <f>('PL Cronograma detallado'!M$238-I5)/('PL Cronograma detallado'!M$238-M5)</f>
        <v>1.083178686</v>
      </c>
      <c r="Z5" s="410"/>
      <c r="AA5" s="410"/>
      <c r="AB5" s="410"/>
      <c r="AC5" s="410"/>
    </row>
    <row r="6">
      <c r="A6" s="414" t="s">
        <v>77</v>
      </c>
      <c r="B6" s="415" t="s">
        <v>86</v>
      </c>
      <c r="C6" s="416">
        <v>46269.0</v>
      </c>
      <c r="D6" s="138" t="str">
        <f t="shared" ref="D6:D7" si="16">D5+#REF!</f>
        <v>#REF!</v>
      </c>
      <c r="E6" s="417">
        <f>'PL Cronograma detallado'!$L17</f>
        <v>2.98</v>
      </c>
      <c r="F6" s="417">
        <f t="shared" si="8"/>
        <v>16.56</v>
      </c>
      <c r="G6" s="323">
        <f>E6/'PL Cronograma detallado'!M$238</f>
        <v>0.005054959967</v>
      </c>
      <c r="H6" s="323">
        <f t="shared" si="9"/>
        <v>0.02809065002</v>
      </c>
      <c r="I6" s="418">
        <f>'R Cronograma detallado'!AO11*'PL Cronograma detallado'!M$238</f>
        <v>2.37</v>
      </c>
      <c r="J6" s="418">
        <f t="shared" si="10"/>
        <v>4.12</v>
      </c>
      <c r="K6" s="226">
        <f>I6/'PL Cronograma detallado'!M$238</f>
        <v>0.00402021984</v>
      </c>
      <c r="L6" s="226">
        <f t="shared" si="11"/>
        <v>0.006988736599</v>
      </c>
      <c r="M6" s="419">
        <f>'R Cronograma detallado'!L11</f>
        <v>2.37</v>
      </c>
      <c r="N6" s="419">
        <f t="shared" si="12"/>
        <v>50.89</v>
      </c>
      <c r="O6" s="420">
        <f>M6/'PL Cronograma detallado'!M$238</f>
        <v>0.00402021984</v>
      </c>
      <c r="P6" s="419">
        <f t="shared" si="13"/>
        <v>0.08632446736</v>
      </c>
      <c r="Q6" s="421">
        <f t="shared" si="2"/>
        <v>0</v>
      </c>
      <c r="R6" s="421">
        <f t="shared" si="14"/>
        <v>-46.77</v>
      </c>
      <c r="S6" s="422">
        <f t="shared" si="3"/>
        <v>0</v>
      </c>
      <c r="T6" s="207">
        <f t="shared" si="4"/>
        <v>-12.44</v>
      </c>
      <c r="U6" s="423">
        <f t="shared" si="15"/>
        <v>-25.5</v>
      </c>
      <c r="V6" s="424">
        <f t="shared" si="5"/>
        <v>-0.7512077295</v>
      </c>
      <c r="W6" s="425">
        <f t="shared" si="6"/>
        <v>0.2487922705</v>
      </c>
      <c r="X6" s="425">
        <f t="shared" si="7"/>
        <v>0.08095893103</v>
      </c>
      <c r="Y6" s="426">
        <f>('PL Cronograma detallado'!M$238-I6)/('PL Cronograma detallado'!M$238-M6)</f>
        <v>1</v>
      </c>
      <c r="Z6" s="427"/>
      <c r="AA6" s="427"/>
      <c r="AB6" s="427"/>
      <c r="AC6" s="427"/>
    </row>
    <row r="7">
      <c r="A7" s="414" t="s">
        <v>79</v>
      </c>
      <c r="B7" s="415" t="s">
        <v>76</v>
      </c>
      <c r="C7" s="416">
        <v>46268.0</v>
      </c>
      <c r="D7" s="138" t="str">
        <f t="shared" si="16"/>
        <v>#REF!</v>
      </c>
      <c r="E7" s="417">
        <f>'PL Cronograma detallado'!$L12</f>
        <v>2.54</v>
      </c>
      <c r="F7" s="417">
        <f t="shared" si="8"/>
        <v>19.1</v>
      </c>
      <c r="G7" s="323">
        <f>E7/'PL Cronograma detallado'!M$238</f>
        <v>0.004308590039</v>
      </c>
      <c r="H7" s="323">
        <f t="shared" si="9"/>
        <v>0.03239924006</v>
      </c>
      <c r="I7" s="418">
        <f>'R Cronograma detallado'!AO12*'PL Cronograma detallado'!M$238</f>
        <v>2.54</v>
      </c>
      <c r="J7" s="418">
        <f t="shared" si="10"/>
        <v>6.66</v>
      </c>
      <c r="K7" s="226">
        <f>I7/'PL Cronograma detallado'!M$238</f>
        <v>0.004308590039</v>
      </c>
      <c r="L7" s="226">
        <f t="shared" si="11"/>
        <v>0.01129732664</v>
      </c>
      <c r="M7" s="419">
        <f>'R Cronograma detallado'!L12</f>
        <v>2.54</v>
      </c>
      <c r="N7" s="419">
        <f t="shared" si="12"/>
        <v>53.43</v>
      </c>
      <c r="O7" s="420">
        <f>M7/'PL Cronograma detallado'!M$238</f>
        <v>0.004308590039</v>
      </c>
      <c r="P7" s="419">
        <f t="shared" si="13"/>
        <v>0.0906330574</v>
      </c>
      <c r="Q7" s="421">
        <f t="shared" si="2"/>
        <v>0</v>
      </c>
      <c r="R7" s="421">
        <f t="shared" si="14"/>
        <v>-46.77</v>
      </c>
      <c r="S7" s="422">
        <f t="shared" si="3"/>
        <v>0</v>
      </c>
      <c r="T7" s="207">
        <f t="shared" si="4"/>
        <v>-12.44</v>
      </c>
      <c r="U7" s="423">
        <f t="shared" si="15"/>
        <v>-37.94</v>
      </c>
      <c r="V7" s="424">
        <f t="shared" si="5"/>
        <v>-0.6513089005</v>
      </c>
      <c r="W7" s="425">
        <f t="shared" si="6"/>
        <v>0.3486910995</v>
      </c>
      <c r="X7" s="425">
        <f t="shared" si="7"/>
        <v>0.1246490736</v>
      </c>
      <c r="Y7" s="426">
        <f>('PL Cronograma detallado'!M$238-I7)/('PL Cronograma detallado'!M$238-M7)</f>
        <v>1</v>
      </c>
      <c r="Z7" s="427"/>
      <c r="AA7" s="427"/>
      <c r="AB7" s="427"/>
      <c r="AC7" s="427"/>
    </row>
    <row r="8">
      <c r="A8" s="414" t="s">
        <v>81</v>
      </c>
      <c r="B8" s="415" t="s">
        <v>78</v>
      </c>
      <c r="C8" s="416">
        <v>46268.0</v>
      </c>
      <c r="D8" s="138" t="str">
        <f t="shared" ref="D8:D9" si="17">#REF!+#REF!</f>
        <v>#REF!</v>
      </c>
      <c r="E8" s="417">
        <f>'PL Cronograma detallado'!$L13</f>
        <v>1.27</v>
      </c>
      <c r="F8" s="417">
        <f t="shared" si="8"/>
        <v>20.37</v>
      </c>
      <c r="G8" s="323">
        <f>E8/'PL Cronograma detallado'!M$238</f>
        <v>0.00215429502</v>
      </c>
      <c r="H8" s="323">
        <f t="shared" si="9"/>
        <v>0.03455353508</v>
      </c>
      <c r="I8" s="418">
        <f>'R Cronograma detallado'!AO13*'PL Cronograma detallado'!M$238</f>
        <v>1.27</v>
      </c>
      <c r="J8" s="418">
        <f t="shared" si="10"/>
        <v>7.93</v>
      </c>
      <c r="K8" s="226">
        <f>I8/'PL Cronograma detallado'!M$238</f>
        <v>0.00215429502</v>
      </c>
      <c r="L8" s="226">
        <f t="shared" si="11"/>
        <v>0.01345162166</v>
      </c>
      <c r="M8" s="419">
        <f>'R Cronograma detallado'!L13</f>
        <v>1.27</v>
      </c>
      <c r="N8" s="419">
        <f t="shared" si="12"/>
        <v>54.7</v>
      </c>
      <c r="O8" s="420">
        <f>M8/'PL Cronograma detallado'!M$238</f>
        <v>0.00215429502</v>
      </c>
      <c r="P8" s="419">
        <f t="shared" si="13"/>
        <v>0.09278735242</v>
      </c>
      <c r="Q8" s="421">
        <f t="shared" si="2"/>
        <v>0</v>
      </c>
      <c r="R8" s="421">
        <f t="shared" si="14"/>
        <v>-46.77</v>
      </c>
      <c r="S8" s="422">
        <f t="shared" si="3"/>
        <v>0</v>
      </c>
      <c r="T8" s="207">
        <f t="shared" si="4"/>
        <v>-12.44</v>
      </c>
      <c r="U8" s="423">
        <f t="shared" si="15"/>
        <v>-50.38</v>
      </c>
      <c r="V8" s="424">
        <f t="shared" si="5"/>
        <v>-0.6107020128</v>
      </c>
      <c r="W8" s="425">
        <f t="shared" si="6"/>
        <v>0.3892979872</v>
      </c>
      <c r="X8" s="425">
        <f t="shared" si="7"/>
        <v>0.1449725777</v>
      </c>
      <c r="Y8" s="426">
        <f>('PL Cronograma detallado'!M$238-I8)/('PL Cronograma detallado'!M$238-M8)</f>
        <v>1</v>
      </c>
      <c r="Z8" s="427"/>
      <c r="AA8" s="427"/>
      <c r="AB8" s="427"/>
      <c r="AC8" s="427"/>
    </row>
    <row r="9">
      <c r="A9" s="414" t="s">
        <v>83</v>
      </c>
      <c r="B9" s="415" t="s">
        <v>88</v>
      </c>
      <c r="C9" s="416">
        <v>46271.0</v>
      </c>
      <c r="D9" s="47" t="str">
        <f t="shared" si="17"/>
        <v>#REF!</v>
      </c>
      <c r="E9" s="417">
        <f>'PL Cronograma detallado'!$L18</f>
        <v>5.69</v>
      </c>
      <c r="F9" s="417">
        <f t="shared" si="8"/>
        <v>26.06</v>
      </c>
      <c r="G9" s="323">
        <f>E9/'PL Cronograma detallado'!M$238</f>
        <v>0.009651920206</v>
      </c>
      <c r="H9" s="323">
        <f t="shared" si="9"/>
        <v>0.04420545529</v>
      </c>
      <c r="I9" s="418">
        <f>'R Cronograma detallado'!AO14*'PL Cronograma detallado'!M$238</f>
        <v>2.81</v>
      </c>
      <c r="J9" s="418">
        <f t="shared" si="10"/>
        <v>10.74</v>
      </c>
      <c r="K9" s="226">
        <f>I9/'PL Cronograma detallado'!M$238</f>
        <v>0.004766589768</v>
      </c>
      <c r="L9" s="226">
        <f t="shared" si="11"/>
        <v>0.01821821143</v>
      </c>
      <c r="M9" s="419">
        <f>'R Cronograma detallado'!L14</f>
        <v>2.81</v>
      </c>
      <c r="N9" s="419">
        <f t="shared" si="12"/>
        <v>57.51</v>
      </c>
      <c r="O9" s="420">
        <f>M9/'PL Cronograma detallado'!M$238</f>
        <v>0.004766589768</v>
      </c>
      <c r="P9" s="419">
        <f t="shared" si="13"/>
        <v>0.09755394219</v>
      </c>
      <c r="Q9" s="421">
        <f t="shared" si="2"/>
        <v>0</v>
      </c>
      <c r="R9" s="421">
        <f t="shared" si="14"/>
        <v>-46.77</v>
      </c>
      <c r="S9" s="422">
        <f t="shared" si="3"/>
        <v>0</v>
      </c>
      <c r="T9" s="207">
        <f t="shared" si="4"/>
        <v>-15.32</v>
      </c>
      <c r="U9" s="423">
        <f t="shared" si="15"/>
        <v>-65.7</v>
      </c>
      <c r="V9" s="424">
        <f t="shared" si="5"/>
        <v>-0.5878741366</v>
      </c>
      <c r="W9" s="425">
        <f t="shared" si="6"/>
        <v>0.4121258634</v>
      </c>
      <c r="X9" s="425">
        <f t="shared" si="7"/>
        <v>0.1867501304</v>
      </c>
      <c r="Y9" s="426">
        <f>('PL Cronograma detallado'!M$238-I9)/('PL Cronograma detallado'!M$238-M9)</f>
        <v>1</v>
      </c>
      <c r="Z9" s="410"/>
      <c r="AA9" s="410"/>
      <c r="AB9" s="410"/>
      <c r="AC9" s="410"/>
    </row>
    <row r="10">
      <c r="A10" s="414" t="s">
        <v>85</v>
      </c>
      <c r="B10" s="415" t="s">
        <v>92</v>
      </c>
      <c r="C10" s="416">
        <v>46270.0</v>
      </c>
      <c r="D10" s="47" t="str">
        <f>#REF!+D11</f>
        <v>#REF!</v>
      </c>
      <c r="E10" s="417">
        <f>'PL Cronograma detallado'!$L20</f>
        <v>5.08</v>
      </c>
      <c r="F10" s="417">
        <f t="shared" si="8"/>
        <v>31.14</v>
      </c>
      <c r="G10" s="323">
        <f>E10/'PL Cronograma detallado'!M$238</f>
        <v>0.008617180079</v>
      </c>
      <c r="H10" s="323">
        <f t="shared" si="9"/>
        <v>0.05282263536</v>
      </c>
      <c r="I10" s="418">
        <f>'R Cronograma detallado'!AO15*'PL Cronograma detallado'!M$238</f>
        <v>2.37</v>
      </c>
      <c r="J10" s="418">
        <f t="shared" si="10"/>
        <v>13.11</v>
      </c>
      <c r="K10" s="226">
        <f>I10/'PL Cronograma detallado'!M$238</f>
        <v>0.00402021984</v>
      </c>
      <c r="L10" s="226">
        <f t="shared" si="11"/>
        <v>0.02223843127</v>
      </c>
      <c r="M10" s="419">
        <f>'R Cronograma detallado'!L15</f>
        <v>2.37</v>
      </c>
      <c r="N10" s="419">
        <f t="shared" si="12"/>
        <v>59.88</v>
      </c>
      <c r="O10" s="420">
        <f>M10/'PL Cronograma detallado'!M$238</f>
        <v>0.00402021984</v>
      </c>
      <c r="P10" s="419">
        <f t="shared" si="13"/>
        <v>0.101574162</v>
      </c>
      <c r="Q10" s="421">
        <f t="shared" si="2"/>
        <v>0</v>
      </c>
      <c r="R10" s="421">
        <f t="shared" si="14"/>
        <v>-46.77</v>
      </c>
      <c r="S10" s="422">
        <f t="shared" si="3"/>
        <v>0</v>
      </c>
      <c r="T10" s="207">
        <f t="shared" si="4"/>
        <v>-18.03</v>
      </c>
      <c r="U10" s="423">
        <f t="shared" si="15"/>
        <v>-83.73</v>
      </c>
      <c r="V10" s="424">
        <f t="shared" si="5"/>
        <v>-0.5789980732</v>
      </c>
      <c r="W10" s="425">
        <f t="shared" si="6"/>
        <v>0.4210019268</v>
      </c>
      <c r="X10" s="425">
        <f t="shared" si="7"/>
        <v>0.2189378758</v>
      </c>
      <c r="Y10" s="426">
        <f>('PL Cronograma detallado'!M$238-I10)/('PL Cronograma detallado'!M$238-M10)</f>
        <v>1</v>
      </c>
      <c r="Z10" s="410"/>
      <c r="AA10" s="410"/>
      <c r="AB10" s="410"/>
      <c r="AC10" s="410"/>
    </row>
    <row r="11">
      <c r="A11" s="414" t="s">
        <v>87</v>
      </c>
      <c r="B11" s="415" t="s">
        <v>80</v>
      </c>
      <c r="C11" s="416">
        <v>46268.0</v>
      </c>
      <c r="D11" s="47" t="str">
        <f>#REF!+#REF!</f>
        <v>#REF!</v>
      </c>
      <c r="E11" s="417">
        <f>'PL Cronograma detallado'!$L14</f>
        <v>2.81</v>
      </c>
      <c r="F11" s="417">
        <f t="shared" si="8"/>
        <v>33.95</v>
      </c>
      <c r="G11" s="323">
        <f>E11/'PL Cronograma detallado'!M$238</f>
        <v>0.004766589768</v>
      </c>
      <c r="H11" s="323">
        <f t="shared" si="9"/>
        <v>0.05758922513</v>
      </c>
      <c r="I11" s="418">
        <f>'R Cronograma detallado'!AO16*'PL Cronograma detallado'!M$238</f>
        <v>10.6</v>
      </c>
      <c r="J11" s="418">
        <f t="shared" si="10"/>
        <v>23.71</v>
      </c>
      <c r="K11" s="226">
        <f>I11/'PL Cronograma detallado'!M$238</f>
        <v>0.01798073009</v>
      </c>
      <c r="L11" s="226">
        <f t="shared" si="11"/>
        <v>0.04021916135</v>
      </c>
      <c r="M11" s="419">
        <f>'R Cronograma detallado'!L16</f>
        <v>12</v>
      </c>
      <c r="N11" s="419">
        <f t="shared" si="12"/>
        <v>71.88</v>
      </c>
      <c r="O11" s="420">
        <f>M11/'PL Cronograma detallado'!M$238</f>
        <v>0.02035554349</v>
      </c>
      <c r="P11" s="419">
        <f t="shared" si="13"/>
        <v>0.1219297055</v>
      </c>
      <c r="Q11" s="421">
        <f t="shared" si="2"/>
        <v>-1.4</v>
      </c>
      <c r="R11" s="421">
        <f t="shared" si="14"/>
        <v>-48.17</v>
      </c>
      <c r="S11" s="422">
        <f t="shared" si="3"/>
        <v>-0.05904681569</v>
      </c>
      <c r="T11" s="207">
        <f t="shared" si="4"/>
        <v>-10.24</v>
      </c>
      <c r="U11" s="423">
        <f t="shared" si="15"/>
        <v>-93.97</v>
      </c>
      <c r="V11" s="424">
        <f t="shared" si="5"/>
        <v>-0.3016200295</v>
      </c>
      <c r="W11" s="425">
        <f t="shared" si="6"/>
        <v>0.6983799705</v>
      </c>
      <c r="X11" s="425">
        <f t="shared" si="7"/>
        <v>0.3298553144</v>
      </c>
      <c r="Y11" s="426">
        <f>('PL Cronograma detallado'!M$238-I11)/('PL Cronograma detallado'!M$238-M11)</f>
        <v>1.002424158</v>
      </c>
      <c r="Z11" s="410"/>
      <c r="AA11" s="410"/>
      <c r="AB11" s="410"/>
      <c r="AC11" s="410"/>
    </row>
    <row r="12">
      <c r="A12" s="414" t="s">
        <v>89</v>
      </c>
      <c r="B12" s="415" t="s">
        <v>82</v>
      </c>
      <c r="C12" s="416">
        <v>46268.0</v>
      </c>
      <c r="D12" s="282"/>
      <c r="E12" s="417">
        <f>'PL Cronograma detallado'!$L15</f>
        <v>2.37</v>
      </c>
      <c r="F12" s="417">
        <f t="shared" si="8"/>
        <v>36.32</v>
      </c>
      <c r="G12" s="323">
        <f>E12/'PL Cronograma detallado'!M$238</f>
        <v>0.00402021984</v>
      </c>
      <c r="H12" s="323">
        <f t="shared" si="9"/>
        <v>0.06160944497</v>
      </c>
      <c r="I12" s="418">
        <f>'R Cronograma detallado'!AO17*'PL Cronograma detallado'!M$238</f>
        <v>2.98</v>
      </c>
      <c r="J12" s="418">
        <f t="shared" si="10"/>
        <v>26.69</v>
      </c>
      <c r="K12" s="226">
        <f>I12/'PL Cronograma detallado'!M$238</f>
        <v>0.005054959967</v>
      </c>
      <c r="L12" s="226">
        <f t="shared" si="11"/>
        <v>0.04527412132</v>
      </c>
      <c r="M12" s="419">
        <f>'R Cronograma detallado'!L17</f>
        <v>2.98</v>
      </c>
      <c r="N12" s="419">
        <f t="shared" si="12"/>
        <v>74.86</v>
      </c>
      <c r="O12" s="420">
        <f>M12/'PL Cronograma detallado'!M$238</f>
        <v>0.005054959967</v>
      </c>
      <c r="P12" s="419">
        <f t="shared" si="13"/>
        <v>0.1269846655</v>
      </c>
      <c r="Q12" s="421">
        <f t="shared" si="2"/>
        <v>0</v>
      </c>
      <c r="R12" s="421">
        <f t="shared" si="14"/>
        <v>-48.17</v>
      </c>
      <c r="S12" s="422">
        <f t="shared" si="3"/>
        <v>0</v>
      </c>
      <c r="T12" s="207">
        <f t="shared" si="4"/>
        <v>-9.63</v>
      </c>
      <c r="U12" s="423">
        <f t="shared" si="15"/>
        <v>-103.6</v>
      </c>
      <c r="V12" s="424">
        <f t="shared" si="5"/>
        <v>-0.2651431718</v>
      </c>
      <c r="W12" s="425">
        <f t="shared" si="6"/>
        <v>0.7348568282</v>
      </c>
      <c r="X12" s="425">
        <f t="shared" si="7"/>
        <v>0.3565321934</v>
      </c>
      <c r="Y12" s="426">
        <f>('PL Cronograma detallado'!M$238-I12)/('PL Cronograma detallado'!M$238-M12)</f>
        <v>1</v>
      </c>
      <c r="Z12" s="428"/>
      <c r="AA12" s="428"/>
      <c r="AB12" s="428"/>
      <c r="AC12" s="428"/>
    </row>
    <row r="13" ht="15.75" customHeight="1">
      <c r="A13" s="414" t="s">
        <v>729</v>
      </c>
      <c r="B13" s="415" t="s">
        <v>730</v>
      </c>
      <c r="C13" s="416">
        <v>46272.0</v>
      </c>
      <c r="D13" s="47" t="str">
        <f>#REF!+D14</f>
        <v>#REF!</v>
      </c>
      <c r="E13" s="417">
        <f>'PL Cronograma detallado'!$L19</f>
        <v>3.42</v>
      </c>
      <c r="F13" s="417">
        <f t="shared" si="8"/>
        <v>39.74</v>
      </c>
      <c r="G13" s="323">
        <f>E13/'PL Cronograma detallado'!M$238</f>
        <v>0.005801329896</v>
      </c>
      <c r="H13" s="323">
        <f t="shared" si="9"/>
        <v>0.06741077487</v>
      </c>
      <c r="I13" s="418">
        <f>'R Cronograma detallado'!AO18*'PL Cronograma detallado'!M$238</f>
        <v>5.69</v>
      </c>
      <c r="J13" s="418">
        <f t="shared" si="10"/>
        <v>32.38</v>
      </c>
      <c r="K13" s="226">
        <f>I13/'PL Cronograma detallado'!M$238</f>
        <v>0.009651920206</v>
      </c>
      <c r="L13" s="226">
        <f t="shared" si="11"/>
        <v>0.05492604153</v>
      </c>
      <c r="M13" s="419">
        <f>'R Cronograma detallado'!L18</f>
        <v>5.69</v>
      </c>
      <c r="N13" s="419">
        <f t="shared" si="12"/>
        <v>80.55</v>
      </c>
      <c r="O13" s="420">
        <f>M13/'PL Cronograma detallado'!M$238</f>
        <v>0.009651920206</v>
      </c>
      <c r="P13" s="419">
        <f t="shared" si="13"/>
        <v>0.1366365857</v>
      </c>
      <c r="Q13" s="421">
        <f t="shared" si="2"/>
        <v>0</v>
      </c>
      <c r="R13" s="421">
        <f t="shared" si="14"/>
        <v>-48.17</v>
      </c>
      <c r="S13" s="422">
        <f t="shared" si="3"/>
        <v>0</v>
      </c>
      <c r="T13" s="207">
        <f t="shared" si="4"/>
        <v>-7.36</v>
      </c>
      <c r="U13" s="423">
        <f t="shared" si="15"/>
        <v>-110.96</v>
      </c>
      <c r="V13" s="424">
        <f t="shared" si="5"/>
        <v>-0.1852038249</v>
      </c>
      <c r="W13" s="425">
        <f t="shared" si="6"/>
        <v>0.8147961751</v>
      </c>
      <c r="X13" s="425">
        <f t="shared" si="7"/>
        <v>0.4019863439</v>
      </c>
      <c r="Y13" s="426">
        <f>('PL Cronograma detallado'!M$238-I13)/('PL Cronograma detallado'!M$238-M13)</f>
        <v>1</v>
      </c>
      <c r="Z13" s="410"/>
      <c r="AA13" s="410"/>
      <c r="AB13" s="410"/>
      <c r="AC13" s="410"/>
    </row>
    <row r="14" ht="15.75" customHeight="1">
      <c r="A14" s="414" t="s">
        <v>99</v>
      </c>
      <c r="B14" s="415" t="s">
        <v>106</v>
      </c>
      <c r="C14" s="416">
        <v>46271.0</v>
      </c>
      <c r="D14" s="47" t="str">
        <f t="shared" ref="D14:D18" si="18">#REF!+#REF!</f>
        <v>#REF!</v>
      </c>
      <c r="E14" s="417">
        <f>'PL Cronograma detallado'!$L27</f>
        <v>1.49</v>
      </c>
      <c r="F14" s="417">
        <f t="shared" si="8"/>
        <v>41.23</v>
      </c>
      <c r="G14" s="323">
        <f>E14/'PL Cronograma detallado'!M$238</f>
        <v>0.002527479984</v>
      </c>
      <c r="H14" s="323">
        <f t="shared" si="9"/>
        <v>0.06993825485</v>
      </c>
      <c r="I14" s="418">
        <f>'R Cronograma detallado'!AO20*'PL Cronograma detallado'!M$238</f>
        <v>5.08</v>
      </c>
      <c r="J14" s="418">
        <f t="shared" si="10"/>
        <v>37.46</v>
      </c>
      <c r="K14" s="226">
        <f>I14/'PL Cronograma detallado'!M$238</f>
        <v>0.008617180079</v>
      </c>
      <c r="L14" s="226">
        <f t="shared" si="11"/>
        <v>0.0635432216</v>
      </c>
      <c r="M14" s="419">
        <f>'R Cronograma detallado'!L20</f>
        <v>5.08</v>
      </c>
      <c r="N14" s="419">
        <f t="shared" si="12"/>
        <v>85.63</v>
      </c>
      <c r="O14" s="420">
        <f>M14/'PL Cronograma detallado'!M$238</f>
        <v>0.008617180079</v>
      </c>
      <c r="P14" s="419">
        <f t="shared" si="13"/>
        <v>0.1452537658</v>
      </c>
      <c r="Q14" s="421">
        <f t="shared" si="2"/>
        <v>0</v>
      </c>
      <c r="R14" s="421">
        <f t="shared" si="14"/>
        <v>-48.17</v>
      </c>
      <c r="S14" s="422">
        <f t="shared" si="3"/>
        <v>0</v>
      </c>
      <c r="T14" s="207">
        <f t="shared" si="4"/>
        <v>-3.77</v>
      </c>
      <c r="U14" s="423">
        <f t="shared" si="15"/>
        <v>-114.73</v>
      </c>
      <c r="V14" s="424">
        <f t="shared" si="5"/>
        <v>-0.0914382731</v>
      </c>
      <c r="W14" s="425">
        <f t="shared" si="6"/>
        <v>0.9085617269</v>
      </c>
      <c r="X14" s="425">
        <f t="shared" si="7"/>
        <v>0.4374635058</v>
      </c>
      <c r="Y14" s="426">
        <f>('PL Cronograma detallado'!M$238-I14)/('PL Cronograma detallado'!M$238-M14)</f>
        <v>1</v>
      </c>
      <c r="Z14" s="410"/>
      <c r="AA14" s="410"/>
      <c r="AB14" s="410"/>
      <c r="AC14" s="410"/>
    </row>
    <row r="15" ht="15.75" customHeight="1">
      <c r="A15" s="414" t="s">
        <v>731</v>
      </c>
      <c r="B15" s="415" t="s">
        <v>732</v>
      </c>
      <c r="C15" s="416">
        <v>46274.0</v>
      </c>
      <c r="D15" s="47" t="str">
        <f t="shared" si="18"/>
        <v>#REF!</v>
      </c>
      <c r="E15" s="417">
        <f>'PL Cronograma detallado'!$L24</f>
        <v>3.17</v>
      </c>
      <c r="F15" s="417">
        <f t="shared" si="8"/>
        <v>44.4</v>
      </c>
      <c r="G15" s="323">
        <f>E15/'PL Cronograma detallado'!M$238</f>
        <v>0.005377256073</v>
      </c>
      <c r="H15" s="323">
        <f t="shared" si="9"/>
        <v>0.07531551092</v>
      </c>
      <c r="I15" s="418">
        <f>'R Cronograma detallado'!AO21*'PL Cronograma detallado'!M$238</f>
        <v>1.29</v>
      </c>
      <c r="J15" s="418">
        <f t="shared" si="10"/>
        <v>38.75</v>
      </c>
      <c r="K15" s="226">
        <f>I15/'PL Cronograma detallado'!M$238</f>
        <v>0.002188220925</v>
      </c>
      <c r="L15" s="226">
        <f t="shared" si="11"/>
        <v>0.06573144253</v>
      </c>
      <c r="M15" s="419">
        <f>'R Cronograma detallado'!L21</f>
        <v>2.37</v>
      </c>
      <c r="N15" s="419">
        <f t="shared" si="12"/>
        <v>88</v>
      </c>
      <c r="O15" s="420">
        <f>M15/'PL Cronograma detallado'!M$238</f>
        <v>0.00402021984</v>
      </c>
      <c r="P15" s="419">
        <f t="shared" si="13"/>
        <v>0.1492739856</v>
      </c>
      <c r="Q15" s="421">
        <f t="shared" si="2"/>
        <v>-1.08</v>
      </c>
      <c r="R15" s="421">
        <f t="shared" si="14"/>
        <v>-49.25</v>
      </c>
      <c r="S15" s="422">
        <f t="shared" si="3"/>
        <v>-0.02787096774</v>
      </c>
      <c r="T15" s="207">
        <f t="shared" si="4"/>
        <v>-5.65</v>
      </c>
      <c r="U15" s="423">
        <f t="shared" si="15"/>
        <v>-120.38</v>
      </c>
      <c r="V15" s="424">
        <f t="shared" si="5"/>
        <v>-0.1272522523</v>
      </c>
      <c r="W15" s="425">
        <f t="shared" si="6"/>
        <v>0.8727477477</v>
      </c>
      <c r="X15" s="425">
        <f t="shared" si="7"/>
        <v>0.4403409091</v>
      </c>
      <c r="Y15" s="426">
        <f>('PL Cronograma detallado'!M$238-I15)/('PL Cronograma detallado'!M$238-M15)</f>
        <v>1.001839394</v>
      </c>
      <c r="Z15" s="410"/>
      <c r="AA15" s="410"/>
      <c r="AB15" s="410"/>
      <c r="AC15" s="410"/>
    </row>
    <row r="16" ht="15.75" customHeight="1">
      <c r="A16" s="429" t="s">
        <v>109</v>
      </c>
      <c r="B16" s="430" t="s">
        <v>110</v>
      </c>
      <c r="C16" s="431">
        <v>46275.0</v>
      </c>
      <c r="D16" s="47" t="str">
        <f t="shared" si="18"/>
        <v>#REF!</v>
      </c>
      <c r="E16" s="417">
        <f>'PL Cronograma detallado'!$L29</f>
        <v>0</v>
      </c>
      <c r="F16" s="417">
        <f t="shared" si="8"/>
        <v>44.4</v>
      </c>
      <c r="G16" s="323">
        <f>E16/'PL Cronograma detallado'!M$238</f>
        <v>0</v>
      </c>
      <c r="H16" s="323">
        <f t="shared" si="9"/>
        <v>0.07531551092</v>
      </c>
      <c r="I16" s="418">
        <f>'R Cronograma detallado'!AO22*'PL Cronograma detallado'!M$238</f>
        <v>1.29</v>
      </c>
      <c r="J16" s="418">
        <f t="shared" si="10"/>
        <v>40.04</v>
      </c>
      <c r="K16" s="226">
        <f>I16/'PL Cronograma detallado'!M$238</f>
        <v>0.002188220925</v>
      </c>
      <c r="L16" s="226">
        <f t="shared" si="11"/>
        <v>0.06791966346</v>
      </c>
      <c r="M16" s="419">
        <f>'R Cronograma detallado'!L22</f>
        <v>2.37</v>
      </c>
      <c r="N16" s="419">
        <f t="shared" si="12"/>
        <v>90.37</v>
      </c>
      <c r="O16" s="420">
        <f>M16/'PL Cronograma detallado'!M$238</f>
        <v>0.00402021984</v>
      </c>
      <c r="P16" s="419">
        <f t="shared" si="13"/>
        <v>0.1532942055</v>
      </c>
      <c r="Q16" s="421">
        <f t="shared" si="2"/>
        <v>-1.08</v>
      </c>
      <c r="R16" s="421">
        <f t="shared" si="14"/>
        <v>-50.33</v>
      </c>
      <c r="S16" s="422">
        <f t="shared" si="3"/>
        <v>-0.02697302697</v>
      </c>
      <c r="T16" s="207">
        <f t="shared" si="4"/>
        <v>-4.36</v>
      </c>
      <c r="U16" s="423">
        <f t="shared" si="15"/>
        <v>-124.74</v>
      </c>
      <c r="V16" s="424">
        <f t="shared" si="5"/>
        <v>-0.0981981982</v>
      </c>
      <c r="W16" s="425">
        <f t="shared" si="6"/>
        <v>0.9018018018</v>
      </c>
      <c r="X16" s="425">
        <f t="shared" si="7"/>
        <v>0.4430673896</v>
      </c>
      <c r="Y16" s="426">
        <f>('PL Cronograma detallado'!M$238-I16)/('PL Cronograma detallado'!M$238-M16)</f>
        <v>1.001839394</v>
      </c>
      <c r="Z16" s="410"/>
      <c r="AA16" s="410"/>
      <c r="AB16" s="410"/>
      <c r="AC16" s="410"/>
    </row>
    <row r="17" ht="15.75" customHeight="1">
      <c r="A17" s="414" t="s">
        <v>115</v>
      </c>
      <c r="B17" s="415" t="s">
        <v>132</v>
      </c>
      <c r="C17" s="293">
        <v>46277.0</v>
      </c>
      <c r="D17" s="47" t="str">
        <f t="shared" si="18"/>
        <v>#REF!</v>
      </c>
      <c r="E17" s="417">
        <f>'PL Cronograma detallado'!$L40</f>
        <v>13.15</v>
      </c>
      <c r="F17" s="417">
        <f t="shared" si="8"/>
        <v>57.55</v>
      </c>
      <c r="G17" s="323">
        <f>E17/'PL Cronograma detallado'!M$238</f>
        <v>0.02230628308</v>
      </c>
      <c r="H17" s="323">
        <f t="shared" si="9"/>
        <v>0.097621794</v>
      </c>
      <c r="I17" s="418">
        <f>'R Cronograma detallado'!AO25*'PL Cronograma detallado'!M$238</f>
        <v>1.6</v>
      </c>
      <c r="J17" s="418">
        <f t="shared" si="10"/>
        <v>41.64</v>
      </c>
      <c r="K17" s="226">
        <f>I17/'PL Cronograma detallado'!M$238</f>
        <v>0.002714072466</v>
      </c>
      <c r="L17" s="226">
        <f t="shared" si="11"/>
        <v>0.07063373592</v>
      </c>
      <c r="M17" s="419">
        <f>'R Cronograma detallado'!L25</f>
        <v>3.52</v>
      </c>
      <c r="N17" s="419">
        <f t="shared" si="12"/>
        <v>93.89</v>
      </c>
      <c r="O17" s="420">
        <f>M17/'PL Cronograma detallado'!M$238</f>
        <v>0.005970959425</v>
      </c>
      <c r="P17" s="419">
        <f t="shared" si="13"/>
        <v>0.1592651649</v>
      </c>
      <c r="Q17" s="421">
        <f t="shared" si="2"/>
        <v>-1.92</v>
      </c>
      <c r="R17" s="421">
        <f t="shared" si="14"/>
        <v>-52.25</v>
      </c>
      <c r="S17" s="422">
        <f t="shared" si="3"/>
        <v>-0.04610951009</v>
      </c>
      <c r="T17" s="207">
        <f t="shared" si="4"/>
        <v>-15.91</v>
      </c>
      <c r="U17" s="423">
        <f t="shared" si="15"/>
        <v>-140.65</v>
      </c>
      <c r="V17" s="424">
        <f t="shared" si="5"/>
        <v>-0.2764552563</v>
      </c>
      <c r="W17" s="425">
        <f t="shared" si="6"/>
        <v>0.7235447437</v>
      </c>
      <c r="X17" s="425">
        <f t="shared" si="7"/>
        <v>0.4434977101</v>
      </c>
      <c r="Y17" s="426">
        <f>('PL Cronograma detallado'!M$238-I17)/('PL Cronograma detallado'!M$238-M17)</f>
        <v>1.003276451</v>
      </c>
      <c r="Z17" s="410"/>
      <c r="AA17" s="410"/>
      <c r="AB17" s="410"/>
      <c r="AC17" s="410"/>
    </row>
    <row r="18" ht="15.75" customHeight="1">
      <c r="A18" s="414" t="s">
        <v>117</v>
      </c>
      <c r="B18" s="415" t="s">
        <v>134</v>
      </c>
      <c r="C18" s="293">
        <v>46279.0</v>
      </c>
      <c r="D18" s="282" t="str">
        <f t="shared" si="18"/>
        <v>#REF!</v>
      </c>
      <c r="E18" s="417">
        <f>'PL Cronograma detallado'!$L41</f>
        <v>7.23</v>
      </c>
      <c r="F18" s="417">
        <f t="shared" si="8"/>
        <v>64.78</v>
      </c>
      <c r="G18" s="323">
        <f>E18/'PL Cronograma detallado'!M$238</f>
        <v>0.01226421495</v>
      </c>
      <c r="H18" s="323">
        <f t="shared" si="9"/>
        <v>0.109886009</v>
      </c>
      <c r="I18" s="418">
        <f>'R Cronograma detallado'!AO26*'PL Cronograma detallado'!M$238</f>
        <v>1.44</v>
      </c>
      <c r="J18" s="418">
        <f t="shared" si="10"/>
        <v>43.08</v>
      </c>
      <c r="K18" s="226">
        <f>I18/'PL Cronograma detallado'!M$238</f>
        <v>0.002442665219</v>
      </c>
      <c r="L18" s="226">
        <f t="shared" si="11"/>
        <v>0.07307640114</v>
      </c>
      <c r="M18" s="419">
        <f>'R Cronograma detallado'!L26</f>
        <v>3.52</v>
      </c>
      <c r="N18" s="419">
        <f t="shared" si="12"/>
        <v>97.41</v>
      </c>
      <c r="O18" s="420">
        <f>M18/'PL Cronograma detallado'!M$238</f>
        <v>0.005970959425</v>
      </c>
      <c r="P18" s="419">
        <f t="shared" si="13"/>
        <v>0.1652361243</v>
      </c>
      <c r="Q18" s="421">
        <f t="shared" si="2"/>
        <v>-2.08</v>
      </c>
      <c r="R18" s="421">
        <f t="shared" si="14"/>
        <v>-54.33</v>
      </c>
      <c r="S18" s="422">
        <f t="shared" si="3"/>
        <v>-0.04828226555</v>
      </c>
      <c r="T18" s="207">
        <f t="shared" si="4"/>
        <v>-21.7</v>
      </c>
      <c r="U18" s="423">
        <f t="shared" si="15"/>
        <v>-162.35</v>
      </c>
      <c r="V18" s="424">
        <f t="shared" si="5"/>
        <v>-0.3349799321</v>
      </c>
      <c r="W18" s="425">
        <f t="shared" si="6"/>
        <v>0.6650200679</v>
      </c>
      <c r="X18" s="425">
        <f t="shared" si="7"/>
        <v>0.4422543887</v>
      </c>
      <c r="Y18" s="426">
        <f>('PL Cronograma detallado'!M$238-I18)/('PL Cronograma detallado'!M$238-M18)</f>
        <v>1.003549488</v>
      </c>
      <c r="Z18" s="428"/>
      <c r="AA18" s="428"/>
      <c r="AB18" s="428"/>
      <c r="AC18" s="428"/>
    </row>
    <row r="19" ht="15.75" customHeight="1">
      <c r="A19" s="414" t="s">
        <v>119</v>
      </c>
      <c r="B19" s="415" t="s">
        <v>136</v>
      </c>
      <c r="C19" s="293">
        <v>46279.0</v>
      </c>
      <c r="D19" s="47" t="str">
        <f t="shared" ref="D19:D20" si="19">#REF!+D18</f>
        <v>#REF!</v>
      </c>
      <c r="E19" s="417">
        <f>'PL Cronograma detallado'!$L42</f>
        <v>9.67</v>
      </c>
      <c r="F19" s="417">
        <f t="shared" si="8"/>
        <v>74.45</v>
      </c>
      <c r="G19" s="323">
        <f>E19/'PL Cronograma detallado'!M$238</f>
        <v>0.01640317546</v>
      </c>
      <c r="H19" s="323">
        <f t="shared" si="9"/>
        <v>0.1262891844</v>
      </c>
      <c r="I19" s="418">
        <f>'R Cronograma detallado'!AO27*'PL Cronograma detallado'!M$238</f>
        <v>1.49</v>
      </c>
      <c r="J19" s="418">
        <f t="shared" si="10"/>
        <v>44.57</v>
      </c>
      <c r="K19" s="226">
        <f>I19/'PL Cronograma detallado'!M$238</f>
        <v>0.002527479984</v>
      </c>
      <c r="L19" s="226">
        <f t="shared" si="11"/>
        <v>0.07560388112</v>
      </c>
      <c r="M19" s="419">
        <f>'R Cronograma detallado'!L27</f>
        <v>1.49</v>
      </c>
      <c r="N19" s="419">
        <f t="shared" si="12"/>
        <v>98.9</v>
      </c>
      <c r="O19" s="420">
        <f>M19/'PL Cronograma detallado'!M$238</f>
        <v>0.002527479984</v>
      </c>
      <c r="P19" s="419">
        <f t="shared" si="13"/>
        <v>0.1677636043</v>
      </c>
      <c r="Q19" s="421">
        <f t="shared" si="2"/>
        <v>0</v>
      </c>
      <c r="R19" s="421">
        <f t="shared" si="14"/>
        <v>-54.33</v>
      </c>
      <c r="S19" s="422">
        <f t="shared" si="3"/>
        <v>0</v>
      </c>
      <c r="T19" s="207">
        <f t="shared" si="4"/>
        <v>-29.88</v>
      </c>
      <c r="U19" s="423">
        <f t="shared" si="15"/>
        <v>-192.23</v>
      </c>
      <c r="V19" s="424">
        <f t="shared" si="5"/>
        <v>-0.4013431833</v>
      </c>
      <c r="W19" s="425">
        <f t="shared" si="6"/>
        <v>0.5986568167</v>
      </c>
      <c r="X19" s="425">
        <f t="shared" si="7"/>
        <v>0.4506572295</v>
      </c>
      <c r="Y19" s="426">
        <f>('PL Cronograma detallado'!M$238-I19)/('PL Cronograma detallado'!M$238-M19)</f>
        <v>1</v>
      </c>
      <c r="Z19" s="410"/>
      <c r="AA19" s="410"/>
      <c r="AB19" s="410"/>
      <c r="AC19" s="410"/>
    </row>
    <row r="20" ht="15.75" customHeight="1">
      <c r="A20" s="414" t="s">
        <v>121</v>
      </c>
      <c r="B20" s="415" t="s">
        <v>733</v>
      </c>
      <c r="C20" s="293">
        <v>46277.0</v>
      </c>
      <c r="D20" s="47" t="str">
        <f t="shared" si="19"/>
        <v>#REF!</v>
      </c>
      <c r="E20" s="417">
        <f>'PL Cronograma detallado'!$L38</f>
        <v>1.93</v>
      </c>
      <c r="F20" s="417">
        <f t="shared" si="8"/>
        <v>76.38</v>
      </c>
      <c r="G20" s="323">
        <f>E20/'PL Cronograma detallado'!M$238</f>
        <v>0.003273849912</v>
      </c>
      <c r="H20" s="323">
        <f t="shared" si="9"/>
        <v>0.1295630343</v>
      </c>
      <c r="I20" s="418">
        <f>'R Cronograma detallado'!AO28*'PL Cronograma detallado'!M$238</f>
        <v>1.63</v>
      </c>
      <c r="J20" s="418">
        <f t="shared" si="10"/>
        <v>46.2</v>
      </c>
      <c r="K20" s="226">
        <f>I20/'PL Cronograma detallado'!M$238</f>
        <v>0.002764961324</v>
      </c>
      <c r="L20" s="226">
        <f t="shared" si="11"/>
        <v>0.07836884245</v>
      </c>
      <c r="M20" s="419">
        <f>'R Cronograma detallado'!L28</f>
        <v>3.25</v>
      </c>
      <c r="N20" s="419">
        <f t="shared" si="12"/>
        <v>102.15</v>
      </c>
      <c r="O20" s="420">
        <f>M20/'PL Cronograma detallado'!M$238</f>
        <v>0.005512959696</v>
      </c>
      <c r="P20" s="419">
        <f t="shared" si="13"/>
        <v>0.173276564</v>
      </c>
      <c r="Q20" s="421">
        <f t="shared" si="2"/>
        <v>-1.62</v>
      </c>
      <c r="R20" s="421">
        <f t="shared" si="14"/>
        <v>-55.95</v>
      </c>
      <c r="S20" s="422">
        <f t="shared" si="3"/>
        <v>-0.03506493506</v>
      </c>
      <c r="T20" s="207">
        <f t="shared" si="4"/>
        <v>-30.18</v>
      </c>
      <c r="U20" s="423">
        <f t="shared" si="15"/>
        <v>-222.41</v>
      </c>
      <c r="V20" s="424">
        <f t="shared" si="5"/>
        <v>-0.3951296151</v>
      </c>
      <c r="W20" s="425">
        <f t="shared" si="6"/>
        <v>0.6048703849</v>
      </c>
      <c r="X20" s="425">
        <f t="shared" si="7"/>
        <v>0.4522760646</v>
      </c>
      <c r="Y20" s="426">
        <f>('PL Cronograma detallado'!M$238-I20)/('PL Cronograma detallado'!M$238-M20)</f>
        <v>1.002763232</v>
      </c>
      <c r="Z20" s="410"/>
      <c r="AA20" s="410"/>
      <c r="AB20" s="410"/>
      <c r="AC20" s="410"/>
    </row>
    <row r="21" ht="15.75" customHeight="1">
      <c r="A21" s="414" t="s">
        <v>131</v>
      </c>
      <c r="B21" s="415" t="s">
        <v>241</v>
      </c>
      <c r="C21" s="293">
        <v>46282.0</v>
      </c>
      <c r="D21" s="47" t="str">
        <f>#REF!+#REF!</f>
        <v>#REF!</v>
      </c>
      <c r="E21" s="417">
        <f>'PL Cronograma detallado'!$L59</f>
        <v>34.27</v>
      </c>
      <c r="F21" s="417">
        <f t="shared" si="8"/>
        <v>110.65</v>
      </c>
      <c r="G21" s="323">
        <f>E21/'PL Cronograma detallado'!M$238</f>
        <v>0.05813203963</v>
      </c>
      <c r="H21" s="323">
        <f t="shared" si="9"/>
        <v>0.187695074</v>
      </c>
      <c r="I21" s="418">
        <f>'R Cronograma detallado'!AO30*'PL Cronograma detallado'!M$238</f>
        <v>0</v>
      </c>
      <c r="J21" s="418">
        <f t="shared" si="10"/>
        <v>46.2</v>
      </c>
      <c r="K21" s="226">
        <f>I21/'PL Cronograma detallado'!M$238</f>
        <v>0</v>
      </c>
      <c r="L21" s="226">
        <f t="shared" si="11"/>
        <v>0.07836884245</v>
      </c>
      <c r="M21" s="419">
        <f>'R Cronograma detallado'!L30</f>
        <v>477.15</v>
      </c>
      <c r="N21" s="419">
        <f t="shared" si="12"/>
        <v>579.3</v>
      </c>
      <c r="O21" s="420">
        <f>M21/'PL Cronograma detallado'!M$238</f>
        <v>0.8093872981</v>
      </c>
      <c r="P21" s="419">
        <f t="shared" si="13"/>
        <v>0.9826638621</v>
      </c>
      <c r="Q21" s="421">
        <f t="shared" si="2"/>
        <v>-477.15</v>
      </c>
      <c r="R21" s="421">
        <f t="shared" si="14"/>
        <v>-533.1</v>
      </c>
      <c r="S21" s="422">
        <f t="shared" si="3"/>
        <v>-10.32792208</v>
      </c>
      <c r="T21" s="207">
        <f t="shared" si="4"/>
        <v>-64.45</v>
      </c>
      <c r="U21" s="423">
        <f t="shared" si="15"/>
        <v>-286.86</v>
      </c>
      <c r="V21" s="424">
        <f t="shared" si="5"/>
        <v>-0.582467239</v>
      </c>
      <c r="W21" s="425">
        <f t="shared" si="6"/>
        <v>0.417532761</v>
      </c>
      <c r="X21" s="425">
        <f t="shared" si="7"/>
        <v>0.07975142413</v>
      </c>
      <c r="Y21" s="426">
        <f>('PL Cronograma detallado'!M$238-I21)/('PL Cronograma detallado'!M$238-M21)</f>
        <v>5.2462401</v>
      </c>
      <c r="Z21" s="410"/>
      <c r="AA21" s="410"/>
      <c r="AB21" s="410"/>
      <c r="AC21" s="410"/>
    </row>
    <row r="22" ht="15.75" customHeight="1">
      <c r="A22" s="414" t="s">
        <v>133</v>
      </c>
      <c r="B22" s="415" t="s">
        <v>242</v>
      </c>
      <c r="C22" s="293">
        <v>46282.0</v>
      </c>
      <c r="D22" s="47" t="str">
        <f>#REF!+D20</f>
        <v>#REF!</v>
      </c>
      <c r="E22" s="417">
        <f>'PL Cronograma detallado'!$L60</f>
        <v>13.81</v>
      </c>
      <c r="F22" s="417">
        <f t="shared" si="8"/>
        <v>124.46</v>
      </c>
      <c r="G22" s="323">
        <f>E22/'PL Cronograma detallado'!M$238</f>
        <v>0.02342583797</v>
      </c>
      <c r="H22" s="323">
        <f t="shared" si="9"/>
        <v>0.2111209119</v>
      </c>
      <c r="I22" s="418">
        <f>'R Cronograma detallado'!AO31*'PL Cronograma detallado'!M$238</f>
        <v>0</v>
      </c>
      <c r="J22" s="418">
        <f t="shared" si="10"/>
        <v>46.2</v>
      </c>
      <c r="K22" s="226">
        <f>I22/'PL Cronograma detallado'!M$238</f>
        <v>0</v>
      </c>
      <c r="L22" s="226">
        <f t="shared" si="11"/>
        <v>0.07836884245</v>
      </c>
      <c r="M22" s="419">
        <f>'R Cronograma detallado'!L31</f>
        <v>18.11</v>
      </c>
      <c r="N22" s="419">
        <f t="shared" si="12"/>
        <v>597.41</v>
      </c>
      <c r="O22" s="420">
        <f>M22/'PL Cronograma detallado'!M$238</f>
        <v>0.03071990772</v>
      </c>
      <c r="P22" s="419">
        <f t="shared" si="13"/>
        <v>1.01338377</v>
      </c>
      <c r="Q22" s="421">
        <f t="shared" si="2"/>
        <v>-18.11</v>
      </c>
      <c r="R22" s="421">
        <f t="shared" si="14"/>
        <v>-551.21</v>
      </c>
      <c r="S22" s="422">
        <f t="shared" si="3"/>
        <v>-0.391991342</v>
      </c>
      <c r="T22" s="207">
        <f t="shared" si="4"/>
        <v>-78.26</v>
      </c>
      <c r="U22" s="423">
        <f t="shared" si="15"/>
        <v>-365.12</v>
      </c>
      <c r="V22" s="424">
        <f t="shared" si="5"/>
        <v>-0.6287964004</v>
      </c>
      <c r="W22" s="425">
        <f t="shared" si="6"/>
        <v>0.3712035996</v>
      </c>
      <c r="X22" s="425">
        <f t="shared" si="7"/>
        <v>0.07733382434</v>
      </c>
      <c r="Y22" s="426">
        <f>('PL Cronograma detallado'!M$238-I22)/('PL Cronograma detallado'!M$238-M22)</f>
        <v>1.03169353</v>
      </c>
      <c r="Z22" s="410"/>
      <c r="AA22" s="410"/>
      <c r="AB22" s="410"/>
      <c r="AC22" s="410"/>
    </row>
    <row r="23" ht="15.75" customHeight="1">
      <c r="A23" s="414" t="s">
        <v>147</v>
      </c>
      <c r="B23" s="415" t="s">
        <v>198</v>
      </c>
      <c r="C23" s="293">
        <v>46284.0</v>
      </c>
      <c r="D23" s="39" t="str">
        <f>#REF!+#REF!</f>
        <v>#REF!</v>
      </c>
      <c r="E23" s="417">
        <f>'PL Cronograma detallado'!$L63</f>
        <v>7.65</v>
      </c>
      <c r="F23" s="417">
        <f t="shared" si="8"/>
        <v>132.11</v>
      </c>
      <c r="G23" s="323">
        <f>E23/'PL Cronograma detallado'!M$238</f>
        <v>0.01297665898</v>
      </c>
      <c r="H23" s="323">
        <f t="shared" si="9"/>
        <v>0.2240975709</v>
      </c>
      <c r="I23" s="418">
        <f>'R Cronograma detallado'!AO33*'PL Cronograma detallado'!M$238</f>
        <v>1.2</v>
      </c>
      <c r="J23" s="418">
        <f t="shared" si="10"/>
        <v>47.4</v>
      </c>
      <c r="K23" s="226">
        <f>I23/'PL Cronograma detallado'!M$238</f>
        <v>0.002035554349</v>
      </c>
      <c r="L23" s="226">
        <f t="shared" si="11"/>
        <v>0.0804043968</v>
      </c>
      <c r="M23" s="419">
        <f>'R Cronograma detallado'!L33</f>
        <v>2.64</v>
      </c>
      <c r="N23" s="419">
        <f t="shared" si="12"/>
        <v>600.05</v>
      </c>
      <c r="O23" s="420">
        <f>M23/'PL Cronograma detallado'!M$238</f>
        <v>0.004478219568</v>
      </c>
      <c r="P23" s="419">
        <f t="shared" si="13"/>
        <v>1.017861989</v>
      </c>
      <c r="Q23" s="421">
        <f t="shared" si="2"/>
        <v>-1.44</v>
      </c>
      <c r="R23" s="421">
        <f t="shared" si="14"/>
        <v>-552.65</v>
      </c>
      <c r="S23" s="422">
        <f t="shared" si="3"/>
        <v>-0.03037974684</v>
      </c>
      <c r="T23" s="207">
        <f t="shared" si="4"/>
        <v>-84.71</v>
      </c>
      <c r="U23" s="423">
        <f t="shared" si="15"/>
        <v>-449.83</v>
      </c>
      <c r="V23" s="424">
        <f t="shared" si="5"/>
        <v>-0.6412080842</v>
      </c>
      <c r="W23" s="425">
        <f t="shared" si="6"/>
        <v>0.3587919158</v>
      </c>
      <c r="X23" s="425">
        <f t="shared" si="7"/>
        <v>0.07899341722</v>
      </c>
      <c r="Y23" s="426">
        <f>('PL Cronograma detallado'!M$238-I23)/('PL Cronograma detallado'!M$238-M23)</f>
        <v>1.002453653</v>
      </c>
      <c r="Z23" s="432"/>
      <c r="AA23" s="432"/>
      <c r="AB23" s="432"/>
      <c r="AC23" s="432"/>
    </row>
    <row r="24" ht="15.75" customHeight="1">
      <c r="A24" s="414" t="s">
        <v>149</v>
      </c>
      <c r="B24" s="415" t="s">
        <v>215</v>
      </c>
      <c r="C24" s="293">
        <v>46285.0</v>
      </c>
      <c r="D24" s="39" t="str">
        <f>#REF!+D23</f>
        <v>#REF!</v>
      </c>
      <c r="E24" s="417">
        <f>'PL Cronograma detallado'!$L64</f>
        <v>7.65</v>
      </c>
      <c r="F24" s="417">
        <f t="shared" si="8"/>
        <v>139.76</v>
      </c>
      <c r="G24" s="323">
        <f>E24/'PL Cronograma detallado'!M$238</f>
        <v>0.01297665898</v>
      </c>
      <c r="H24" s="323">
        <f t="shared" si="9"/>
        <v>0.2370742299</v>
      </c>
      <c r="I24" s="418">
        <f>'R Cronograma detallado'!AO34*'PL Cronograma detallado'!M$238</f>
        <v>1.2</v>
      </c>
      <c r="J24" s="418">
        <f t="shared" si="10"/>
        <v>48.6</v>
      </c>
      <c r="K24" s="226">
        <f>I24/'PL Cronograma detallado'!M$238</f>
        <v>0.002035554349</v>
      </c>
      <c r="L24" s="226">
        <f t="shared" si="11"/>
        <v>0.08243995115</v>
      </c>
      <c r="M24" s="419">
        <f>'R Cronograma detallado'!L34</f>
        <v>2.64</v>
      </c>
      <c r="N24" s="419">
        <f t="shared" si="12"/>
        <v>602.69</v>
      </c>
      <c r="O24" s="420">
        <f>M24/'PL Cronograma detallado'!M$238</f>
        <v>0.004478219568</v>
      </c>
      <c r="P24" s="419">
        <f t="shared" si="13"/>
        <v>1.022340209</v>
      </c>
      <c r="Q24" s="421">
        <f t="shared" si="2"/>
        <v>-1.44</v>
      </c>
      <c r="R24" s="421">
        <f t="shared" si="14"/>
        <v>-554.09</v>
      </c>
      <c r="S24" s="422">
        <f t="shared" si="3"/>
        <v>-0.02962962963</v>
      </c>
      <c r="T24" s="207">
        <f t="shared" si="4"/>
        <v>-91.16</v>
      </c>
      <c r="U24" s="423">
        <f t="shared" si="15"/>
        <v>-540.99</v>
      </c>
      <c r="V24" s="424">
        <f t="shared" si="5"/>
        <v>-0.6522610189</v>
      </c>
      <c r="W24" s="425">
        <f t="shared" si="6"/>
        <v>0.3477389811</v>
      </c>
      <c r="X24" s="425">
        <f t="shared" si="7"/>
        <v>0.08063847086</v>
      </c>
      <c r="Y24" s="426">
        <f>('PL Cronograma detallado'!M$238-I24)/('PL Cronograma detallado'!M$238-M24)</f>
        <v>1.002453653</v>
      </c>
      <c r="Z24" s="410"/>
      <c r="AA24" s="410"/>
      <c r="AB24" s="410"/>
      <c r="AC24" s="410"/>
    </row>
    <row r="25" ht="15.75" customHeight="1">
      <c r="A25" s="414" t="s">
        <v>151</v>
      </c>
      <c r="B25" s="415" t="s">
        <v>217</v>
      </c>
      <c r="C25" s="293">
        <v>46285.0</v>
      </c>
      <c r="D25" s="39"/>
      <c r="E25" s="417">
        <f>'PL Cronograma detallado'!$L65</f>
        <v>4.37</v>
      </c>
      <c r="F25" s="417">
        <f t="shared" si="8"/>
        <v>144.13</v>
      </c>
      <c r="G25" s="323">
        <f>E25/'PL Cronograma detallado'!M$238</f>
        <v>0.007412810422</v>
      </c>
      <c r="H25" s="323">
        <f t="shared" si="9"/>
        <v>0.2444870403</v>
      </c>
      <c r="I25" s="418">
        <f>'R Cronograma detallado'!AO35*'PL Cronograma detallado'!M$238</f>
        <v>0.8</v>
      </c>
      <c r="J25" s="418">
        <f t="shared" si="10"/>
        <v>49.4</v>
      </c>
      <c r="K25" s="226">
        <f>I25/'PL Cronograma detallado'!M$238</f>
        <v>0.001357036233</v>
      </c>
      <c r="L25" s="226">
        <f t="shared" si="11"/>
        <v>0.08379698738</v>
      </c>
      <c r="M25" s="419">
        <f>'R Cronograma detallado'!L35</f>
        <v>1.76</v>
      </c>
      <c r="N25" s="419">
        <f t="shared" si="12"/>
        <v>604.45</v>
      </c>
      <c r="O25" s="420">
        <f>M25/'PL Cronograma detallado'!M$238</f>
        <v>0.002985479712</v>
      </c>
      <c r="P25" s="419">
        <f t="shared" si="13"/>
        <v>1.025325689</v>
      </c>
      <c r="Q25" s="421">
        <f t="shared" si="2"/>
        <v>-0.96</v>
      </c>
      <c r="R25" s="421">
        <f t="shared" si="14"/>
        <v>-555.05</v>
      </c>
      <c r="S25" s="422">
        <f t="shared" si="3"/>
        <v>-0.01943319838</v>
      </c>
      <c r="T25" s="207">
        <f t="shared" si="4"/>
        <v>-94.73</v>
      </c>
      <c r="U25" s="423">
        <f t="shared" si="15"/>
        <v>-635.72</v>
      </c>
      <c r="V25" s="424">
        <f t="shared" si="5"/>
        <v>-0.657253868</v>
      </c>
      <c r="W25" s="425">
        <f t="shared" si="6"/>
        <v>0.342746132</v>
      </c>
      <c r="X25" s="425">
        <f t="shared" si="7"/>
        <v>0.08172719001</v>
      </c>
      <c r="Y25" s="426">
        <f>('PL Cronograma detallado'!M$238-I25)/('PL Cronograma detallado'!M$238-M25)</f>
        <v>1.00163332</v>
      </c>
      <c r="Z25" s="432"/>
      <c r="AA25" s="432"/>
      <c r="AB25" s="432"/>
      <c r="AC25" s="432"/>
    </row>
    <row r="26" ht="15.75" customHeight="1">
      <c r="A26" s="414" t="s">
        <v>157</v>
      </c>
      <c r="B26" s="415" t="s">
        <v>221</v>
      </c>
      <c r="C26" s="293">
        <v>46287.0</v>
      </c>
      <c r="D26" s="138" t="str">
        <f>#REF!+D27</f>
        <v>#REF!</v>
      </c>
      <c r="E26" s="417">
        <f>'PL Cronograma detallado'!$L67</f>
        <v>3.57</v>
      </c>
      <c r="F26" s="417">
        <f t="shared" si="8"/>
        <v>147.7</v>
      </c>
      <c r="G26" s="323">
        <f>E26/'PL Cronograma detallado'!M$238</f>
        <v>0.006055774189</v>
      </c>
      <c r="H26" s="323">
        <f t="shared" si="9"/>
        <v>0.2505428145</v>
      </c>
      <c r="I26" s="418">
        <f>'R Cronograma detallado'!AO37*'PL Cronograma detallado'!M$238</f>
        <v>1.41</v>
      </c>
      <c r="J26" s="418">
        <f t="shared" si="10"/>
        <v>50.81</v>
      </c>
      <c r="K26" s="226">
        <f>I26/'PL Cronograma detallado'!M$238</f>
        <v>0.00239177636</v>
      </c>
      <c r="L26" s="226">
        <f t="shared" si="11"/>
        <v>0.08618876374</v>
      </c>
      <c r="M26" s="419">
        <f>'R Cronograma detallado'!L37</f>
        <v>2.37</v>
      </c>
      <c r="N26" s="419">
        <f t="shared" si="12"/>
        <v>606.82</v>
      </c>
      <c r="O26" s="420">
        <f>M26/'PL Cronograma detallado'!M$238</f>
        <v>0.00402021984</v>
      </c>
      <c r="P26" s="419">
        <f t="shared" si="13"/>
        <v>1.029345909</v>
      </c>
      <c r="Q26" s="421">
        <f t="shared" si="2"/>
        <v>-0.96</v>
      </c>
      <c r="R26" s="421">
        <f t="shared" si="14"/>
        <v>-556.01</v>
      </c>
      <c r="S26" s="422">
        <f t="shared" si="3"/>
        <v>-0.01889391852</v>
      </c>
      <c r="T26" s="207">
        <f t="shared" si="4"/>
        <v>-96.89</v>
      </c>
      <c r="U26" s="423">
        <f t="shared" si="15"/>
        <v>-732.61</v>
      </c>
      <c r="V26" s="424">
        <f t="shared" si="5"/>
        <v>-0.6559918754</v>
      </c>
      <c r="W26" s="425">
        <f t="shared" si="6"/>
        <v>0.3440081246</v>
      </c>
      <c r="X26" s="425">
        <f t="shared" si="7"/>
        <v>0.08373158432</v>
      </c>
      <c r="Y26" s="426">
        <f>('PL Cronograma detallado'!M$238-I26)/('PL Cronograma detallado'!M$238-M26)</f>
        <v>1.001635017</v>
      </c>
      <c r="Z26" s="427"/>
      <c r="AA26" s="427"/>
      <c r="AB26" s="427"/>
      <c r="AC26" s="427"/>
    </row>
    <row r="27" ht="15.75" customHeight="1">
      <c r="A27" s="414" t="s">
        <v>159</v>
      </c>
      <c r="B27" s="415" t="s">
        <v>177</v>
      </c>
      <c r="C27" s="293">
        <v>46289.0</v>
      </c>
      <c r="D27" s="282" t="str">
        <f t="shared" ref="D27:D30" si="20">#REF!+#REF!</f>
        <v>#REF!</v>
      </c>
      <c r="E27" s="417">
        <f>'PL Cronograma detallado'!$L69</f>
        <v>2.29</v>
      </c>
      <c r="F27" s="417">
        <f t="shared" si="8"/>
        <v>149.99</v>
      </c>
      <c r="G27" s="323">
        <f>E27/'PL Cronograma detallado'!M$238</f>
        <v>0.003884516217</v>
      </c>
      <c r="H27" s="323">
        <f t="shared" si="9"/>
        <v>0.2544273307</v>
      </c>
      <c r="I27" s="418">
        <f>'R Cronograma detallado'!AO38*'PL Cronograma detallado'!M$238</f>
        <v>1.93</v>
      </c>
      <c r="J27" s="418">
        <f t="shared" si="10"/>
        <v>52.74</v>
      </c>
      <c r="K27" s="226">
        <f>I27/'PL Cronograma detallado'!M$238</f>
        <v>0.003273849912</v>
      </c>
      <c r="L27" s="226">
        <f t="shared" si="11"/>
        <v>0.08946261365</v>
      </c>
      <c r="M27" s="419">
        <f>'R Cronograma detallado'!L38</f>
        <v>1.93</v>
      </c>
      <c r="N27" s="419">
        <f t="shared" si="12"/>
        <v>608.75</v>
      </c>
      <c r="O27" s="420">
        <f>M27/'PL Cronograma detallado'!M$238</f>
        <v>0.003273849912</v>
      </c>
      <c r="P27" s="419">
        <f t="shared" si="13"/>
        <v>1.032619758</v>
      </c>
      <c r="Q27" s="421">
        <f t="shared" si="2"/>
        <v>0</v>
      </c>
      <c r="R27" s="421">
        <f t="shared" si="14"/>
        <v>-556.01</v>
      </c>
      <c r="S27" s="422">
        <f t="shared" si="3"/>
        <v>0</v>
      </c>
      <c r="T27" s="207">
        <f t="shared" si="4"/>
        <v>-97.25</v>
      </c>
      <c r="U27" s="423">
        <f t="shared" si="15"/>
        <v>-829.86</v>
      </c>
      <c r="V27" s="424">
        <f t="shared" si="5"/>
        <v>-0.6483765584</v>
      </c>
      <c r="W27" s="425">
        <f t="shared" si="6"/>
        <v>0.3516234416</v>
      </c>
      <c r="X27" s="425">
        <f t="shared" si="7"/>
        <v>0.08663655031</v>
      </c>
      <c r="Y27" s="426">
        <f>('PL Cronograma detallado'!M$238-I27)/('PL Cronograma detallado'!M$238-M27)</f>
        <v>1</v>
      </c>
      <c r="Z27" s="428"/>
      <c r="AA27" s="428"/>
      <c r="AB27" s="428"/>
      <c r="AC27" s="428"/>
    </row>
    <row r="28" ht="15.75" customHeight="1">
      <c r="A28" s="414" t="s">
        <v>161</v>
      </c>
      <c r="B28" s="415" t="s">
        <v>224</v>
      </c>
      <c r="C28" s="293">
        <v>46287.0</v>
      </c>
      <c r="D28" s="39" t="str">
        <f t="shared" si="20"/>
        <v>#REF!</v>
      </c>
      <c r="E28" s="417">
        <f>'PL Cronograma detallado'!$L68</f>
        <v>15.84</v>
      </c>
      <c r="F28" s="417">
        <f t="shared" si="8"/>
        <v>165.83</v>
      </c>
      <c r="G28" s="323">
        <f>E28/'PL Cronograma detallado'!M$238</f>
        <v>0.02686931741</v>
      </c>
      <c r="H28" s="323">
        <f t="shared" si="9"/>
        <v>0.2812966481</v>
      </c>
      <c r="I28" s="418">
        <f>'R Cronograma detallado'!AO39*'PL Cronograma detallado'!M$238</f>
        <v>0</v>
      </c>
      <c r="J28" s="418">
        <f t="shared" si="10"/>
        <v>52.74</v>
      </c>
      <c r="K28" s="226">
        <f>I28/'PL Cronograma detallado'!M$238</f>
        <v>0</v>
      </c>
      <c r="L28" s="226">
        <f t="shared" si="11"/>
        <v>0.08946261365</v>
      </c>
      <c r="M28" s="419">
        <f>'R Cronograma detallado'!L39</f>
        <v>111.05</v>
      </c>
      <c r="N28" s="419">
        <f t="shared" si="12"/>
        <v>719.8</v>
      </c>
      <c r="O28" s="420">
        <f>M28/'PL Cronograma detallado'!M$238</f>
        <v>0.1883735921</v>
      </c>
      <c r="P28" s="419">
        <f t="shared" si="13"/>
        <v>1.220993351</v>
      </c>
      <c r="Q28" s="421">
        <f t="shared" si="2"/>
        <v>-111.05</v>
      </c>
      <c r="R28" s="421">
        <f t="shared" si="14"/>
        <v>-667.06</v>
      </c>
      <c r="S28" s="422">
        <f t="shared" si="3"/>
        <v>-2.105612438</v>
      </c>
      <c r="T28" s="207">
        <f t="shared" si="4"/>
        <v>-113.09</v>
      </c>
      <c r="U28" s="423">
        <f t="shared" si="15"/>
        <v>-942.95</v>
      </c>
      <c r="V28" s="424">
        <f t="shared" si="5"/>
        <v>-0.6819634566</v>
      </c>
      <c r="W28" s="425">
        <f t="shared" si="6"/>
        <v>0.3180365434</v>
      </c>
      <c r="X28" s="425">
        <f t="shared" si="7"/>
        <v>0.07327035288</v>
      </c>
      <c r="Y28" s="426">
        <f>('PL Cronograma detallado'!M$238-I28)/('PL Cronograma detallado'!M$238-M28)</f>
        <v>1.232093966</v>
      </c>
      <c r="Z28" s="433"/>
      <c r="AA28" s="433"/>
      <c r="AB28" s="433"/>
      <c r="AC28" s="433"/>
    </row>
    <row r="29" ht="15.75" customHeight="1">
      <c r="A29" s="414" t="s">
        <v>169</v>
      </c>
      <c r="B29" s="415" t="s">
        <v>229</v>
      </c>
      <c r="C29" s="293">
        <v>46284.0</v>
      </c>
      <c r="D29" s="39" t="str">
        <f t="shared" si="20"/>
        <v>#REF!</v>
      </c>
      <c r="E29" s="417">
        <f>'PL Cronograma detallado'!$L71</f>
        <v>3.43</v>
      </c>
      <c r="F29" s="417">
        <f t="shared" si="8"/>
        <v>169.26</v>
      </c>
      <c r="G29" s="323">
        <f>E29/'PL Cronograma detallado'!M$238</f>
        <v>0.005818292848</v>
      </c>
      <c r="H29" s="323">
        <f t="shared" si="9"/>
        <v>0.287114941</v>
      </c>
      <c r="I29" s="418">
        <f>'R Cronograma detallado'!AO41*'PL Cronograma detallado'!M$238</f>
        <v>7.23</v>
      </c>
      <c r="J29" s="418">
        <f t="shared" si="10"/>
        <v>59.97</v>
      </c>
      <c r="K29" s="226">
        <f>I29/'PL Cronograma detallado'!M$238</f>
        <v>0.01226421495</v>
      </c>
      <c r="L29" s="226">
        <f t="shared" si="11"/>
        <v>0.1017268286</v>
      </c>
      <c r="M29" s="419">
        <f>'R Cronograma detallado'!L41</f>
        <v>21.12</v>
      </c>
      <c r="N29" s="419">
        <f t="shared" si="12"/>
        <v>740.92</v>
      </c>
      <c r="O29" s="420">
        <f>M29/'PL Cronograma detallado'!M$238</f>
        <v>0.03582575655</v>
      </c>
      <c r="P29" s="419">
        <f t="shared" si="13"/>
        <v>1.256819107</v>
      </c>
      <c r="Q29" s="421">
        <f t="shared" si="2"/>
        <v>-13.89</v>
      </c>
      <c r="R29" s="421">
        <f t="shared" si="14"/>
        <v>-680.95</v>
      </c>
      <c r="S29" s="422">
        <f t="shared" si="3"/>
        <v>-0.2316158079</v>
      </c>
      <c r="T29" s="207">
        <f t="shared" si="4"/>
        <v>-109.29</v>
      </c>
      <c r="U29" s="423">
        <f t="shared" si="15"/>
        <v>-1052.24</v>
      </c>
      <c r="V29" s="424">
        <f t="shared" si="5"/>
        <v>-0.6456930167</v>
      </c>
      <c r="W29" s="425">
        <f t="shared" si="6"/>
        <v>0.3543069833</v>
      </c>
      <c r="X29" s="425">
        <f t="shared" si="7"/>
        <v>0.08093991254</v>
      </c>
      <c r="Y29" s="426">
        <f>('PL Cronograma detallado'!M$238-I29)/('PL Cronograma detallado'!M$238-M29)</f>
        <v>1.024437016</v>
      </c>
      <c r="Z29" s="432"/>
      <c r="AA29" s="432"/>
      <c r="AB29" s="432"/>
      <c r="AC29" s="432"/>
    </row>
    <row r="30" ht="15.75" customHeight="1">
      <c r="A30" s="414" t="s">
        <v>171</v>
      </c>
      <c r="B30" s="415" t="s">
        <v>178</v>
      </c>
      <c r="C30" s="293">
        <v>46286.0</v>
      </c>
      <c r="D30" s="39" t="str">
        <f t="shared" si="20"/>
        <v>#REF!</v>
      </c>
      <c r="E30" s="417">
        <f>'PL Cronograma detallado'!$L72</f>
        <v>3.13</v>
      </c>
      <c r="F30" s="417">
        <f t="shared" si="8"/>
        <v>172.39</v>
      </c>
      <c r="G30" s="323">
        <f>E30/'PL Cronograma detallado'!M$238</f>
        <v>0.005309404261</v>
      </c>
      <c r="H30" s="323">
        <f t="shared" si="9"/>
        <v>0.2924243452</v>
      </c>
      <c r="I30" s="418">
        <f>'R Cronograma detallado'!AO42*'PL Cronograma detallado'!M$238</f>
        <v>9.67</v>
      </c>
      <c r="J30" s="418">
        <f t="shared" si="10"/>
        <v>69.64</v>
      </c>
      <c r="K30" s="226">
        <f>I30/'PL Cronograma detallado'!M$238</f>
        <v>0.01640317546</v>
      </c>
      <c r="L30" s="226">
        <f t="shared" si="11"/>
        <v>0.1181300041</v>
      </c>
      <c r="M30" s="419">
        <f>'R Cronograma detallado'!L42</f>
        <v>30.8</v>
      </c>
      <c r="N30" s="419">
        <f t="shared" si="12"/>
        <v>771.72</v>
      </c>
      <c r="O30" s="420">
        <f>M30/'PL Cronograma detallado'!M$238</f>
        <v>0.05224589497</v>
      </c>
      <c r="P30" s="419">
        <f t="shared" si="13"/>
        <v>1.309065002</v>
      </c>
      <c r="Q30" s="421">
        <f t="shared" si="2"/>
        <v>-21.13</v>
      </c>
      <c r="R30" s="421">
        <f t="shared" si="14"/>
        <v>-702.08</v>
      </c>
      <c r="S30" s="422">
        <f t="shared" si="3"/>
        <v>-0.3034175761</v>
      </c>
      <c r="T30" s="207">
        <f t="shared" si="4"/>
        <v>-102.75</v>
      </c>
      <c r="U30" s="423">
        <f t="shared" si="15"/>
        <v>-1154.99</v>
      </c>
      <c r="V30" s="424">
        <f t="shared" si="5"/>
        <v>-0.5960322525</v>
      </c>
      <c r="W30" s="425">
        <f t="shared" si="6"/>
        <v>0.4039677475</v>
      </c>
      <c r="X30" s="425">
        <f t="shared" si="7"/>
        <v>0.09023998341</v>
      </c>
      <c r="Y30" s="426">
        <f>('PL Cronograma detallado'!M$238-I30)/('PL Cronograma detallado'!M$238-M30)</f>
        <v>1.037818585</v>
      </c>
      <c r="Z30" s="432"/>
      <c r="AA30" s="432"/>
      <c r="AB30" s="432"/>
      <c r="AC30" s="432"/>
    </row>
    <row r="31" ht="15.75" customHeight="1">
      <c r="A31" s="414" t="s">
        <v>175</v>
      </c>
      <c r="B31" s="415" t="s">
        <v>179</v>
      </c>
      <c r="C31" s="293">
        <v>46287.0</v>
      </c>
      <c r="D31" s="39" t="str">
        <f>#REF!+D30</f>
        <v>#REF!</v>
      </c>
      <c r="E31" s="417">
        <f>'PL Cronograma detallado'!$L73</f>
        <v>2.29</v>
      </c>
      <c r="F31" s="417">
        <f t="shared" si="8"/>
        <v>174.68</v>
      </c>
      <c r="G31" s="323">
        <f>E31/'PL Cronograma detallado'!M$238</f>
        <v>0.003884516217</v>
      </c>
      <c r="H31" s="323">
        <f t="shared" si="9"/>
        <v>0.2963088614</v>
      </c>
      <c r="I31" s="418">
        <f>'R Cronograma detallado'!AO43*'PL Cronograma detallado'!M$238</f>
        <v>3</v>
      </c>
      <c r="J31" s="418">
        <f t="shared" si="10"/>
        <v>72.64</v>
      </c>
      <c r="K31" s="226">
        <f>I31/'PL Cronograma detallado'!M$238</f>
        <v>0.005088885873</v>
      </c>
      <c r="L31" s="226">
        <f t="shared" si="11"/>
        <v>0.1232188899</v>
      </c>
      <c r="M31" s="419">
        <f>'R Cronograma detallado'!L43</f>
        <v>6.6</v>
      </c>
      <c r="N31" s="419">
        <f t="shared" si="12"/>
        <v>778.32</v>
      </c>
      <c r="O31" s="420">
        <f>M31/'PL Cronograma detallado'!M$238</f>
        <v>0.01119554892</v>
      </c>
      <c r="P31" s="419">
        <f t="shared" si="13"/>
        <v>1.320260551</v>
      </c>
      <c r="Q31" s="421">
        <f t="shared" si="2"/>
        <v>-3.6</v>
      </c>
      <c r="R31" s="421">
        <f t="shared" si="14"/>
        <v>-705.68</v>
      </c>
      <c r="S31" s="422">
        <f t="shared" si="3"/>
        <v>-0.04955947137</v>
      </c>
      <c r="T31" s="207">
        <f t="shared" si="4"/>
        <v>-102.04</v>
      </c>
      <c r="U31" s="423">
        <f t="shared" si="15"/>
        <v>-1257.03</v>
      </c>
      <c r="V31" s="424">
        <f t="shared" si="5"/>
        <v>-0.5841538814</v>
      </c>
      <c r="W31" s="425">
        <f t="shared" si="6"/>
        <v>0.4158461186</v>
      </c>
      <c r="X31" s="425">
        <f t="shared" si="7"/>
        <v>0.09332922191</v>
      </c>
      <c r="Y31" s="426">
        <f>('PL Cronograma detallado'!M$238-I31)/('PL Cronograma detallado'!M$238-M31)</f>
        <v>1.006175805</v>
      </c>
      <c r="Z31" s="433"/>
      <c r="AA31" s="433"/>
      <c r="AB31" s="433"/>
      <c r="AC31" s="433"/>
    </row>
    <row r="32" ht="15.75" customHeight="1">
      <c r="A32" s="414" t="s">
        <v>197</v>
      </c>
      <c r="B32" s="415" t="s">
        <v>245</v>
      </c>
      <c r="C32" s="293">
        <v>46288.0</v>
      </c>
      <c r="D32" s="39"/>
      <c r="E32" s="417">
        <f>'PL Cronograma detallado'!$L76</f>
        <v>7.73</v>
      </c>
      <c r="F32" s="417">
        <f t="shared" si="8"/>
        <v>182.41</v>
      </c>
      <c r="G32" s="323">
        <f>E32/'PL Cronograma detallado'!M$238</f>
        <v>0.0131123626</v>
      </c>
      <c r="H32" s="323">
        <f t="shared" si="9"/>
        <v>0.309421224</v>
      </c>
      <c r="I32" s="418">
        <f>'R Cronograma detallado'!AO45*'PL Cronograma detallado'!M$238</f>
        <v>1.02</v>
      </c>
      <c r="J32" s="418">
        <f t="shared" si="10"/>
        <v>73.66</v>
      </c>
      <c r="K32" s="226">
        <f>I32/'PL Cronograma detallado'!M$238</f>
        <v>0.001730221197</v>
      </c>
      <c r="L32" s="226">
        <f t="shared" si="11"/>
        <v>0.1249491111</v>
      </c>
      <c r="M32" s="419">
        <f>'R Cronograma detallado'!L45</f>
        <v>2.64</v>
      </c>
      <c r="N32" s="419">
        <f t="shared" si="12"/>
        <v>780.96</v>
      </c>
      <c r="O32" s="420">
        <f>M32/'PL Cronograma detallado'!M$238</f>
        <v>0.004478219568</v>
      </c>
      <c r="P32" s="419">
        <f t="shared" si="13"/>
        <v>1.324738771</v>
      </c>
      <c r="Q32" s="421">
        <f t="shared" si="2"/>
        <v>-1.62</v>
      </c>
      <c r="R32" s="421">
        <f t="shared" si="14"/>
        <v>-707.3</v>
      </c>
      <c r="S32" s="422">
        <f t="shared" si="3"/>
        <v>-0.02199294054</v>
      </c>
      <c r="T32" s="207">
        <f t="shared" si="4"/>
        <v>-108.75</v>
      </c>
      <c r="U32" s="423">
        <f t="shared" si="15"/>
        <v>-1365.78</v>
      </c>
      <c r="V32" s="424">
        <f t="shared" si="5"/>
        <v>-0.5961844197</v>
      </c>
      <c r="W32" s="425">
        <f t="shared" si="6"/>
        <v>0.4038155803</v>
      </c>
      <c r="X32" s="425">
        <f t="shared" si="7"/>
        <v>0.09431981151</v>
      </c>
      <c r="Y32" s="426">
        <f>('PL Cronograma detallado'!M$238-I32)/('PL Cronograma detallado'!M$238-M32)</f>
        <v>1.00276036</v>
      </c>
      <c r="Z32" s="432"/>
      <c r="AA32" s="432"/>
      <c r="AB32" s="432"/>
      <c r="AC32" s="432"/>
    </row>
    <row r="33" ht="15.75" customHeight="1">
      <c r="A33" s="434" t="s">
        <v>214</v>
      </c>
      <c r="B33" s="435" t="s">
        <v>252</v>
      </c>
      <c r="C33" s="293">
        <v>46289.0</v>
      </c>
      <c r="D33" s="138"/>
      <c r="E33" s="417">
        <f>'PL Cronograma detallado'!$L78</f>
        <v>6.84</v>
      </c>
      <c r="F33" s="417">
        <f t="shared" si="8"/>
        <v>189.25</v>
      </c>
      <c r="G33" s="323">
        <f>E33/'PL Cronograma detallado'!M$238</f>
        <v>0.01160265979</v>
      </c>
      <c r="H33" s="323">
        <f t="shared" si="9"/>
        <v>0.3210238838</v>
      </c>
      <c r="I33" s="418">
        <f>'R Cronograma detallado'!AO46*'PL Cronograma detallado'!M$238</f>
        <v>2.4</v>
      </c>
      <c r="J33" s="418">
        <f t="shared" si="10"/>
        <v>76.06</v>
      </c>
      <c r="K33" s="226">
        <f>I33/'PL Cronograma detallado'!M$238</f>
        <v>0.004071108699</v>
      </c>
      <c r="L33" s="226">
        <f t="shared" si="11"/>
        <v>0.1290202198</v>
      </c>
      <c r="M33" s="419">
        <f>'R Cronograma detallado'!L46</f>
        <v>5.28</v>
      </c>
      <c r="N33" s="419">
        <f t="shared" si="12"/>
        <v>786.24</v>
      </c>
      <c r="O33" s="420">
        <f>M33/'PL Cronograma detallado'!M$238</f>
        <v>0.008956439137</v>
      </c>
      <c r="P33" s="419">
        <f t="shared" si="13"/>
        <v>1.33369521</v>
      </c>
      <c r="Q33" s="421">
        <f t="shared" si="2"/>
        <v>-2.88</v>
      </c>
      <c r="R33" s="421">
        <f t="shared" si="14"/>
        <v>-710.18</v>
      </c>
      <c r="S33" s="422">
        <f t="shared" si="3"/>
        <v>-0.03786484354</v>
      </c>
      <c r="T33" s="207">
        <f t="shared" si="4"/>
        <v>-113.19</v>
      </c>
      <c r="U33" s="423">
        <f t="shared" si="15"/>
        <v>-1478.97</v>
      </c>
      <c r="V33" s="424">
        <f t="shared" si="5"/>
        <v>-0.5980977543</v>
      </c>
      <c r="W33" s="425">
        <f t="shared" si="6"/>
        <v>0.4019022457</v>
      </c>
      <c r="X33" s="425">
        <f t="shared" si="7"/>
        <v>0.09673890924</v>
      </c>
      <c r="Y33" s="426">
        <f>('PL Cronograma detallado'!M$238-I33)/('PL Cronograma detallado'!M$238-M33)</f>
        <v>1.004929481</v>
      </c>
      <c r="Z33" s="433"/>
      <c r="AA33" s="433"/>
      <c r="AB33" s="433"/>
      <c r="AC33" s="433"/>
    </row>
    <row r="34" ht="15.75" customHeight="1">
      <c r="A34" s="429" t="s">
        <v>182</v>
      </c>
      <c r="B34" s="430" t="s">
        <v>183</v>
      </c>
      <c r="C34" s="431">
        <v>46289.0</v>
      </c>
      <c r="D34" s="282" t="str">
        <f t="shared" ref="D34:D35" si="21">#REF!+#REF!</f>
        <v>#REF!</v>
      </c>
      <c r="E34" s="417">
        <f>'PL Cronograma detallado'!$L79</f>
        <v>0</v>
      </c>
      <c r="F34" s="417">
        <f t="shared" si="8"/>
        <v>189.25</v>
      </c>
      <c r="G34" s="323">
        <f>E34/'PL Cronograma detallado'!M$238</f>
        <v>0</v>
      </c>
      <c r="H34" s="323">
        <f t="shared" si="9"/>
        <v>0.3210238838</v>
      </c>
      <c r="I34" s="418">
        <f>'R Cronograma detallado'!AO47*'PL Cronograma detallado'!M$238</f>
        <v>0</v>
      </c>
      <c r="J34" s="418">
        <f t="shared" si="10"/>
        <v>76.06</v>
      </c>
      <c r="K34" s="226">
        <f>I34/'PL Cronograma detallado'!M$238</f>
        <v>0</v>
      </c>
      <c r="L34" s="226">
        <f t="shared" si="11"/>
        <v>0.1290202198</v>
      </c>
      <c r="M34" s="419">
        <f>'R Cronograma detallado'!L47</f>
        <v>14.69</v>
      </c>
      <c r="N34" s="419">
        <f t="shared" si="12"/>
        <v>800.93</v>
      </c>
      <c r="O34" s="420">
        <f>M34/'PL Cronograma detallado'!M$238</f>
        <v>0.02491857783</v>
      </c>
      <c r="P34" s="419">
        <f t="shared" si="13"/>
        <v>1.358613787</v>
      </c>
      <c r="Q34" s="421">
        <f t="shared" si="2"/>
        <v>-14.69</v>
      </c>
      <c r="R34" s="421">
        <f t="shared" si="14"/>
        <v>-724.87</v>
      </c>
      <c r="S34" s="422">
        <f t="shared" si="3"/>
        <v>-0.1931369971</v>
      </c>
      <c r="T34" s="207">
        <f t="shared" si="4"/>
        <v>-113.19</v>
      </c>
      <c r="U34" s="423">
        <f t="shared" si="15"/>
        <v>-1592.16</v>
      </c>
      <c r="V34" s="424">
        <f t="shared" si="5"/>
        <v>-0.5980977543</v>
      </c>
      <c r="W34" s="425">
        <f t="shared" si="6"/>
        <v>0.4019022457</v>
      </c>
      <c r="X34" s="425">
        <f t="shared" si="7"/>
        <v>0.09496460365</v>
      </c>
      <c r="Y34" s="426">
        <f>('PL Cronograma detallado'!M$238-I34)/('PL Cronograma detallado'!M$238-M34)</f>
        <v>1.025555382</v>
      </c>
      <c r="Z34" s="433"/>
      <c r="AA34" s="433"/>
      <c r="AB34" s="433"/>
      <c r="AC34" s="433"/>
    </row>
    <row r="35" ht="15.75" customHeight="1">
      <c r="A35" s="414" t="s">
        <v>186</v>
      </c>
      <c r="B35" s="415" t="s">
        <v>187</v>
      </c>
      <c r="C35" s="293">
        <v>46293.0</v>
      </c>
      <c r="D35" s="39" t="str">
        <f t="shared" si="21"/>
        <v>#REF!</v>
      </c>
      <c r="E35" s="417">
        <f>'PL Cronograma detallado'!$L128</f>
        <v>4.54</v>
      </c>
      <c r="F35" s="417">
        <f t="shared" si="8"/>
        <v>193.79</v>
      </c>
      <c r="G35" s="323">
        <f>E35/'PL Cronograma detallado'!M$238</f>
        <v>0.007701180622</v>
      </c>
      <c r="H35" s="323">
        <f t="shared" si="9"/>
        <v>0.3287250645</v>
      </c>
      <c r="I35" s="418">
        <f>'R Cronograma detallado'!AO50*'PL Cronograma detallado'!M$238</f>
        <v>2.4</v>
      </c>
      <c r="J35" s="418">
        <f t="shared" si="10"/>
        <v>78.46</v>
      </c>
      <c r="K35" s="226">
        <f>I35/'PL Cronograma detallado'!M$238</f>
        <v>0.004071108699</v>
      </c>
      <c r="L35" s="226">
        <f t="shared" si="11"/>
        <v>0.1330913285</v>
      </c>
      <c r="M35" s="419">
        <f>'R Cronograma detallado'!L50</f>
        <v>5.28</v>
      </c>
      <c r="N35" s="419">
        <f t="shared" si="12"/>
        <v>806.21</v>
      </c>
      <c r="O35" s="420">
        <f>M35/'PL Cronograma detallado'!M$238</f>
        <v>0.008956439137</v>
      </c>
      <c r="P35" s="419">
        <f t="shared" si="13"/>
        <v>1.367570227</v>
      </c>
      <c r="Q35" s="421">
        <f t="shared" si="2"/>
        <v>-2.88</v>
      </c>
      <c r="R35" s="421">
        <f t="shared" si="14"/>
        <v>-727.75</v>
      </c>
      <c r="S35" s="422">
        <f t="shared" si="3"/>
        <v>-0.03670660209</v>
      </c>
      <c r="T35" s="207">
        <f t="shared" si="4"/>
        <v>-115.33</v>
      </c>
      <c r="U35" s="423">
        <f t="shared" si="15"/>
        <v>-1707.49</v>
      </c>
      <c r="V35" s="424">
        <f t="shared" si="5"/>
        <v>-0.5951287476</v>
      </c>
      <c r="W35" s="425">
        <f t="shared" si="6"/>
        <v>0.4048712524</v>
      </c>
      <c r="X35" s="425">
        <f t="shared" si="7"/>
        <v>0.09731955694</v>
      </c>
      <c r="Y35" s="426">
        <f>('PL Cronograma detallado'!M$238-I35)/('PL Cronograma detallado'!M$238-M35)</f>
        <v>1.004929481</v>
      </c>
      <c r="Z35" s="433"/>
      <c r="AA35" s="433"/>
      <c r="AB35" s="433"/>
      <c r="AC35" s="433"/>
    </row>
    <row r="36" ht="15.75" customHeight="1">
      <c r="A36" s="414" t="s">
        <v>188</v>
      </c>
      <c r="B36" s="436" t="s">
        <v>189</v>
      </c>
      <c r="C36" s="293">
        <v>46297.0</v>
      </c>
      <c r="D36" s="437" t="str">
        <f>D35+#REF!</f>
        <v>#REF!</v>
      </c>
      <c r="E36" s="417">
        <f>'PL Cronograma detallado'!$L129</f>
        <v>4.54</v>
      </c>
      <c r="F36" s="417">
        <f t="shared" si="8"/>
        <v>198.33</v>
      </c>
      <c r="G36" s="323">
        <f>E36/'PL Cronograma detallado'!M$238</f>
        <v>0.007701180622</v>
      </c>
      <c r="H36" s="323">
        <f t="shared" si="9"/>
        <v>0.3364262451</v>
      </c>
      <c r="I36" s="418">
        <f>'R Cronograma detallado'!AO51*'PL Cronograma detallado'!M$238</f>
        <v>1.81</v>
      </c>
      <c r="J36" s="418">
        <f t="shared" si="10"/>
        <v>80.27</v>
      </c>
      <c r="K36" s="226">
        <f>I36/'PL Cronograma detallado'!M$238</f>
        <v>0.003070294477</v>
      </c>
      <c r="L36" s="226">
        <f t="shared" si="11"/>
        <v>0.136161623</v>
      </c>
      <c r="M36" s="419">
        <f>'R Cronograma detallado'!L51</f>
        <v>3.25</v>
      </c>
      <c r="N36" s="419">
        <f t="shared" si="12"/>
        <v>809.46</v>
      </c>
      <c r="O36" s="420">
        <f>M36/'PL Cronograma detallado'!M$238</f>
        <v>0.005512959696</v>
      </c>
      <c r="P36" s="419">
        <f t="shared" si="13"/>
        <v>1.373083186</v>
      </c>
      <c r="Q36" s="421">
        <f t="shared" si="2"/>
        <v>-1.44</v>
      </c>
      <c r="R36" s="421">
        <f t="shared" si="14"/>
        <v>-729.19</v>
      </c>
      <c r="S36" s="422">
        <f t="shared" si="3"/>
        <v>-0.01793945434</v>
      </c>
      <c r="T36" s="207">
        <f t="shared" si="4"/>
        <v>-118.06</v>
      </c>
      <c r="U36" s="423">
        <f t="shared" si="15"/>
        <v>-1825.55</v>
      </c>
      <c r="V36" s="424">
        <f t="shared" si="5"/>
        <v>-0.5952705087</v>
      </c>
      <c r="W36" s="425">
        <f t="shared" si="6"/>
        <v>0.4047294913</v>
      </c>
      <c r="X36" s="425">
        <f t="shared" si="7"/>
        <v>0.09916487535</v>
      </c>
      <c r="Y36" s="426">
        <f>('PL Cronograma detallado'!M$238-I36)/('PL Cronograma detallado'!M$238-M36)</f>
        <v>1.002456206</v>
      </c>
      <c r="Z36" s="410"/>
      <c r="AA36" s="410"/>
      <c r="AB36" s="410"/>
      <c r="AC36" s="410"/>
    </row>
    <row r="37" ht="15.75" customHeight="1">
      <c r="A37" s="414" t="s">
        <v>191</v>
      </c>
      <c r="B37" s="436" t="s">
        <v>192</v>
      </c>
      <c r="C37" s="293">
        <v>46298.0</v>
      </c>
      <c r="D37" s="438"/>
      <c r="E37" s="417">
        <f>'PL Cronograma detallado'!$L132</f>
        <v>1.93</v>
      </c>
      <c r="F37" s="417">
        <f t="shared" si="8"/>
        <v>200.26</v>
      </c>
      <c r="G37" s="323">
        <f>E37/'PL Cronograma detallado'!M$238</f>
        <v>0.003273849912</v>
      </c>
      <c r="H37" s="323">
        <f t="shared" si="9"/>
        <v>0.339700095</v>
      </c>
      <c r="I37" s="418">
        <f>'R Cronograma detallado'!AO53*'PL Cronograma detallado'!M$238</f>
        <v>1.2</v>
      </c>
      <c r="J37" s="418">
        <f t="shared" si="10"/>
        <v>81.47</v>
      </c>
      <c r="K37" s="226">
        <f>I37/'PL Cronograma detallado'!M$238</f>
        <v>0.002035554349</v>
      </c>
      <c r="L37" s="226">
        <f t="shared" si="11"/>
        <v>0.1381971774</v>
      </c>
      <c r="M37" s="419">
        <f>'R Cronograma detallado'!L53</f>
        <v>2.64</v>
      </c>
      <c r="N37" s="419">
        <f t="shared" si="12"/>
        <v>812.1</v>
      </c>
      <c r="O37" s="420">
        <f>M37/'PL Cronograma detallado'!M$238</f>
        <v>0.004478219568</v>
      </c>
      <c r="P37" s="419">
        <f t="shared" si="13"/>
        <v>1.377561406</v>
      </c>
      <c r="Q37" s="421">
        <f t="shared" si="2"/>
        <v>-1.44</v>
      </c>
      <c r="R37" s="421">
        <f t="shared" si="14"/>
        <v>-730.63</v>
      </c>
      <c r="S37" s="422">
        <f t="shared" si="3"/>
        <v>-0.01767521787</v>
      </c>
      <c r="T37" s="207">
        <f t="shared" si="4"/>
        <v>-118.79</v>
      </c>
      <c r="U37" s="423">
        <f t="shared" si="15"/>
        <v>-1944.34</v>
      </c>
      <c r="V37" s="424">
        <f t="shared" si="5"/>
        <v>-0.5931788675</v>
      </c>
      <c r="W37" s="425">
        <f t="shared" si="6"/>
        <v>0.4068211325</v>
      </c>
      <c r="X37" s="425">
        <f t="shared" si="7"/>
        <v>0.1003201576</v>
      </c>
      <c r="Y37" s="426">
        <f>('PL Cronograma detallado'!M$238-I37)/('PL Cronograma detallado'!M$238-M37)</f>
        <v>1.002453653</v>
      </c>
      <c r="Z37" s="410"/>
      <c r="AA37" s="410"/>
      <c r="AB37" s="410"/>
      <c r="AC37" s="410"/>
    </row>
    <row r="38" ht="15.75" customHeight="1">
      <c r="A38" s="414" t="s">
        <v>193</v>
      </c>
      <c r="B38" s="436" t="s">
        <v>194</v>
      </c>
      <c r="C38" s="293">
        <v>46300.0</v>
      </c>
      <c r="D38" s="438"/>
      <c r="E38" s="417">
        <f>'PL Cronograma detallado'!$L133</f>
        <v>5.01</v>
      </c>
      <c r="F38" s="417">
        <f t="shared" si="8"/>
        <v>205.27</v>
      </c>
      <c r="G38" s="323">
        <f>E38/'PL Cronograma detallado'!M$238</f>
        <v>0.008498439408</v>
      </c>
      <c r="H38" s="323">
        <f t="shared" si="9"/>
        <v>0.3481985344</v>
      </c>
      <c r="I38" s="418">
        <f>'R Cronograma detallado'!AO54*'PL Cronograma detallado'!M$238</f>
        <v>3.69</v>
      </c>
      <c r="J38" s="418">
        <f t="shared" si="10"/>
        <v>85.16</v>
      </c>
      <c r="K38" s="226">
        <f>I38/'PL Cronograma detallado'!M$238</f>
        <v>0.006259329624</v>
      </c>
      <c r="L38" s="226">
        <f t="shared" si="11"/>
        <v>0.144456507</v>
      </c>
      <c r="M38" s="419">
        <f>'R Cronograma detallado'!L54</f>
        <v>7.65</v>
      </c>
      <c r="N38" s="419">
        <f t="shared" si="12"/>
        <v>819.75</v>
      </c>
      <c r="O38" s="420">
        <f>M38/'PL Cronograma detallado'!M$238</f>
        <v>0.01297665898</v>
      </c>
      <c r="P38" s="419">
        <f t="shared" si="13"/>
        <v>1.390538065</v>
      </c>
      <c r="Q38" s="421">
        <f t="shared" si="2"/>
        <v>-3.96</v>
      </c>
      <c r="R38" s="421">
        <f t="shared" si="14"/>
        <v>-734.59</v>
      </c>
      <c r="S38" s="422">
        <f t="shared" si="3"/>
        <v>-0.04650070456</v>
      </c>
      <c r="T38" s="207">
        <f t="shared" si="4"/>
        <v>-120.11</v>
      </c>
      <c r="U38" s="423">
        <f t="shared" si="15"/>
        <v>-2064.45</v>
      </c>
      <c r="V38" s="424">
        <f t="shared" si="5"/>
        <v>-0.5851317777</v>
      </c>
      <c r="W38" s="425">
        <f t="shared" si="6"/>
        <v>0.4148682223</v>
      </c>
      <c r="X38" s="425">
        <f t="shared" si="7"/>
        <v>0.1038853309</v>
      </c>
      <c r="Y38" s="426">
        <f>('PL Cronograma detallado'!M$238-I38)/('PL Cronograma detallado'!M$238-M38)</f>
        <v>1.006805644</v>
      </c>
      <c r="Z38" s="410"/>
      <c r="AA38" s="410"/>
      <c r="AB38" s="410"/>
      <c r="AC38" s="410"/>
    </row>
    <row r="39" ht="15.75" customHeight="1">
      <c r="A39" s="414" t="s">
        <v>195</v>
      </c>
      <c r="B39" s="436" t="s">
        <v>196</v>
      </c>
      <c r="C39" s="293">
        <v>46303.0</v>
      </c>
      <c r="D39" s="438"/>
      <c r="E39" s="417">
        <f>'PL Cronograma detallado'!$L134</f>
        <v>5.11</v>
      </c>
      <c r="F39" s="417">
        <f t="shared" si="8"/>
        <v>210.38</v>
      </c>
      <c r="G39" s="323">
        <f>E39/'PL Cronograma detallado'!M$238</f>
        <v>0.008668068937</v>
      </c>
      <c r="H39" s="323">
        <f t="shared" si="9"/>
        <v>0.3568666033</v>
      </c>
      <c r="I39" s="418">
        <f>'R Cronograma detallado'!AO55*'PL Cronograma detallado'!M$238</f>
        <v>3.08</v>
      </c>
      <c r="J39" s="418">
        <f t="shared" si="10"/>
        <v>88.24</v>
      </c>
      <c r="K39" s="226">
        <f>I39/'PL Cronograma detallado'!M$238</f>
        <v>0.005224589497</v>
      </c>
      <c r="L39" s="226">
        <f t="shared" si="11"/>
        <v>0.1496810965</v>
      </c>
      <c r="M39" s="419">
        <f>'R Cronograma detallado'!L55</f>
        <v>7.04</v>
      </c>
      <c r="N39" s="419">
        <f t="shared" si="12"/>
        <v>826.79</v>
      </c>
      <c r="O39" s="420">
        <f>M39/'PL Cronograma detallado'!M$238</f>
        <v>0.01194191885</v>
      </c>
      <c r="P39" s="419">
        <f t="shared" si="13"/>
        <v>1.402479984</v>
      </c>
      <c r="Q39" s="421">
        <f t="shared" si="2"/>
        <v>-3.96</v>
      </c>
      <c r="R39" s="421">
        <f t="shared" si="14"/>
        <v>-738.55</v>
      </c>
      <c r="S39" s="422">
        <f t="shared" si="3"/>
        <v>-0.04487760653</v>
      </c>
      <c r="T39" s="207">
        <f t="shared" si="4"/>
        <v>-122.14</v>
      </c>
      <c r="U39" s="423">
        <f t="shared" si="15"/>
        <v>-2186.59</v>
      </c>
      <c r="V39" s="424">
        <f t="shared" si="5"/>
        <v>-0.5805684951</v>
      </c>
      <c r="W39" s="425">
        <f t="shared" si="6"/>
        <v>0.4194315049</v>
      </c>
      <c r="X39" s="425">
        <f t="shared" si="7"/>
        <v>0.1067260127</v>
      </c>
      <c r="Y39" s="426">
        <f>('PL Cronograma detallado'!M$238-I39)/('PL Cronograma detallado'!M$238-M39)</f>
        <v>1.006798517</v>
      </c>
      <c r="Z39" s="410"/>
      <c r="AA39" s="410"/>
      <c r="AB39" s="410"/>
      <c r="AC39" s="410"/>
    </row>
    <row r="40" ht="15.75" customHeight="1">
      <c r="A40" s="414" t="s">
        <v>200</v>
      </c>
      <c r="B40" s="415" t="s">
        <v>201</v>
      </c>
      <c r="C40" s="293">
        <v>46305.0</v>
      </c>
      <c r="D40" s="438"/>
      <c r="E40" s="417">
        <f>'PL Cronograma detallado'!$L136</f>
        <v>2.49</v>
      </c>
      <c r="F40" s="417">
        <f t="shared" si="8"/>
        <v>212.87</v>
      </c>
      <c r="G40" s="323">
        <f>E40/'PL Cronograma detallado'!M$238</f>
        <v>0.004223775275</v>
      </c>
      <c r="H40" s="323">
        <f t="shared" si="9"/>
        <v>0.3610903786</v>
      </c>
      <c r="I40" s="418">
        <f>'R Cronograma detallado'!AO57*'PL Cronograma detallado'!M$238</f>
        <v>0.34</v>
      </c>
      <c r="J40" s="418">
        <f t="shared" si="10"/>
        <v>88.58</v>
      </c>
      <c r="K40" s="226">
        <f>I40/'PL Cronograma detallado'!M$238</f>
        <v>0.000576740399</v>
      </c>
      <c r="L40" s="226">
        <f t="shared" si="11"/>
        <v>0.1502578369</v>
      </c>
      <c r="M40" s="419">
        <f>'R Cronograma detallado'!L57</f>
        <v>0.88</v>
      </c>
      <c r="N40" s="419">
        <f t="shared" si="12"/>
        <v>827.67</v>
      </c>
      <c r="O40" s="420">
        <f>M40/'PL Cronograma detallado'!M$238</f>
        <v>0.001492739856</v>
      </c>
      <c r="P40" s="419">
        <f t="shared" si="13"/>
        <v>1.403972724</v>
      </c>
      <c r="Q40" s="421">
        <f t="shared" si="2"/>
        <v>-0.54</v>
      </c>
      <c r="R40" s="421">
        <f t="shared" si="14"/>
        <v>-739.09</v>
      </c>
      <c r="S40" s="422">
        <f t="shared" si="3"/>
        <v>-0.00609618424</v>
      </c>
      <c r="T40" s="207">
        <f t="shared" si="4"/>
        <v>-124.29</v>
      </c>
      <c r="U40" s="423">
        <f t="shared" si="15"/>
        <v>-2310.88</v>
      </c>
      <c r="V40" s="424">
        <f t="shared" si="5"/>
        <v>-0.5838774839</v>
      </c>
      <c r="W40" s="425">
        <f t="shared" si="6"/>
        <v>0.4161225161</v>
      </c>
      <c r="X40" s="425">
        <f t="shared" si="7"/>
        <v>0.1070233306</v>
      </c>
      <c r="Y40" s="426">
        <f>('PL Cronograma detallado'!M$238-I40)/('PL Cronograma detallado'!M$238-M40)</f>
        <v>1.000917369</v>
      </c>
      <c r="Z40" s="410"/>
      <c r="AA40" s="410"/>
      <c r="AB40" s="410"/>
      <c r="AC40" s="410"/>
    </row>
    <row r="41" ht="15.75" customHeight="1">
      <c r="A41" s="414" t="s">
        <v>202</v>
      </c>
      <c r="B41" s="415" t="s">
        <v>203</v>
      </c>
      <c r="C41" s="293">
        <v>46305.0</v>
      </c>
      <c r="D41" s="438"/>
      <c r="E41" s="417">
        <f>'PL Cronograma detallado'!$L137</f>
        <v>1.49</v>
      </c>
      <c r="F41" s="417">
        <f t="shared" si="8"/>
        <v>214.36</v>
      </c>
      <c r="G41" s="323">
        <f>E41/'PL Cronograma detallado'!M$238</f>
        <v>0.002527479984</v>
      </c>
      <c r="H41" s="323">
        <f t="shared" si="9"/>
        <v>0.3636178586</v>
      </c>
      <c r="I41" s="418">
        <f>'R Cronograma detallado'!AO58*'PL Cronograma detallado'!M$238</f>
        <v>0</v>
      </c>
      <c r="J41" s="418">
        <f t="shared" si="10"/>
        <v>88.58</v>
      </c>
      <c r="K41" s="226">
        <f>I41/'PL Cronograma detallado'!M$238</f>
        <v>0</v>
      </c>
      <c r="L41" s="226">
        <f t="shared" si="11"/>
        <v>0.1502578369</v>
      </c>
      <c r="M41" s="419">
        <f>'R Cronograma detallado'!L58</f>
        <v>139.99</v>
      </c>
      <c r="N41" s="419">
        <f t="shared" si="12"/>
        <v>967.66</v>
      </c>
      <c r="O41" s="420">
        <f>M41/'PL Cronograma detallado'!M$238</f>
        <v>0.2374643778</v>
      </c>
      <c r="P41" s="419">
        <f t="shared" si="13"/>
        <v>1.641437101</v>
      </c>
      <c r="Q41" s="421">
        <f t="shared" si="2"/>
        <v>-139.99</v>
      </c>
      <c r="R41" s="421">
        <f t="shared" si="14"/>
        <v>-879.08</v>
      </c>
      <c r="S41" s="422">
        <f t="shared" si="3"/>
        <v>-1.580379318</v>
      </c>
      <c r="T41" s="207">
        <f t="shared" si="4"/>
        <v>-125.78</v>
      </c>
      <c r="U41" s="423">
        <f t="shared" si="15"/>
        <v>-2436.66</v>
      </c>
      <c r="V41" s="424">
        <f t="shared" si="5"/>
        <v>-0.5867699198</v>
      </c>
      <c r="W41" s="425">
        <f t="shared" si="6"/>
        <v>0.4132300802</v>
      </c>
      <c r="X41" s="425">
        <f t="shared" si="7"/>
        <v>0.09154041709</v>
      </c>
      <c r="Y41" s="426">
        <f>('PL Cronograma detallado'!M$238-I41)/('PL Cronograma detallado'!M$238-M41)</f>
        <v>1.311414144</v>
      </c>
      <c r="Z41" s="410"/>
      <c r="AA41" s="410"/>
      <c r="AB41" s="410"/>
      <c r="AC41" s="410"/>
    </row>
    <row r="42" ht="15.75" customHeight="1">
      <c r="A42" s="414" t="s">
        <v>204</v>
      </c>
      <c r="B42" s="415" t="s">
        <v>205</v>
      </c>
      <c r="C42" s="293">
        <v>46307.0</v>
      </c>
      <c r="D42" s="439"/>
      <c r="E42" s="417">
        <f>'PL Cronograma detallado'!$L138</f>
        <v>3.43</v>
      </c>
      <c r="F42" s="417">
        <f t="shared" si="8"/>
        <v>217.79</v>
      </c>
      <c r="G42" s="323">
        <f>E42/'PL Cronograma detallado'!M$238</f>
        <v>0.005818292848</v>
      </c>
      <c r="H42" s="323">
        <f t="shared" si="9"/>
        <v>0.3694361514</v>
      </c>
      <c r="I42" s="418">
        <f>'R Cronograma detallado'!AO59*'PL Cronograma detallado'!M$238</f>
        <v>34.27</v>
      </c>
      <c r="J42" s="418">
        <f t="shared" si="10"/>
        <v>122.85</v>
      </c>
      <c r="K42" s="226">
        <f>I42/'PL Cronograma detallado'!M$238</f>
        <v>0.05813203963</v>
      </c>
      <c r="L42" s="226">
        <f t="shared" si="11"/>
        <v>0.2083898765</v>
      </c>
      <c r="M42" s="419">
        <f>'R Cronograma detallado'!L59</f>
        <v>98.29</v>
      </c>
      <c r="N42" s="419">
        <f t="shared" si="12"/>
        <v>1065.95</v>
      </c>
      <c r="O42" s="420">
        <f>M42/'PL Cronograma detallado'!M$238</f>
        <v>0.1667288642</v>
      </c>
      <c r="P42" s="419">
        <f t="shared" si="13"/>
        <v>1.808165966</v>
      </c>
      <c r="Q42" s="421">
        <f t="shared" si="2"/>
        <v>-64.02</v>
      </c>
      <c r="R42" s="421">
        <f t="shared" si="14"/>
        <v>-943.1</v>
      </c>
      <c r="S42" s="422">
        <f t="shared" si="3"/>
        <v>-0.5211233211</v>
      </c>
      <c r="T42" s="207">
        <f t="shared" si="4"/>
        <v>-94.94</v>
      </c>
      <c r="U42" s="423">
        <f t="shared" si="15"/>
        <v>-2531.6</v>
      </c>
      <c r="V42" s="424">
        <f t="shared" si="5"/>
        <v>-0.4359245144</v>
      </c>
      <c r="W42" s="425">
        <f t="shared" si="6"/>
        <v>0.5640754856</v>
      </c>
      <c r="X42" s="425">
        <f t="shared" si="7"/>
        <v>0.1152493081</v>
      </c>
      <c r="Y42" s="426">
        <f>('PL Cronograma detallado'!M$238-I42)/('PL Cronograma detallado'!M$238-M42)</f>
        <v>1.130325917</v>
      </c>
      <c r="Z42" s="433"/>
      <c r="AA42" s="433"/>
      <c r="AB42" s="433"/>
      <c r="AC42" s="433"/>
    </row>
    <row r="43" ht="15.75" customHeight="1">
      <c r="A43" s="414" t="s">
        <v>207</v>
      </c>
      <c r="B43" s="415" t="s">
        <v>208</v>
      </c>
      <c r="C43" s="293">
        <v>46309.0</v>
      </c>
      <c r="D43" s="440"/>
      <c r="E43" s="417">
        <f>'PL Cronograma detallado'!$L140</f>
        <v>2.49</v>
      </c>
      <c r="F43" s="417">
        <f t="shared" si="8"/>
        <v>220.28</v>
      </c>
      <c r="G43" s="323">
        <f>E43/'PL Cronograma detallado'!M$238</f>
        <v>0.004223775275</v>
      </c>
      <c r="H43" s="323">
        <f t="shared" si="9"/>
        <v>0.3736599267</v>
      </c>
      <c r="I43" s="418">
        <f>'R Cronograma detallado'!AO61*'PL Cronograma detallado'!M$238</f>
        <v>1.35</v>
      </c>
      <c r="J43" s="418">
        <f t="shared" si="10"/>
        <v>124.2</v>
      </c>
      <c r="K43" s="226">
        <f>I43/'PL Cronograma detallado'!M$238</f>
        <v>0.002289998643</v>
      </c>
      <c r="L43" s="226">
        <f t="shared" si="11"/>
        <v>0.2106798752</v>
      </c>
      <c r="M43" s="419">
        <f>'R Cronograma detallado'!L61</f>
        <v>2.37</v>
      </c>
      <c r="N43" s="419">
        <f t="shared" si="12"/>
        <v>1068.32</v>
      </c>
      <c r="O43" s="420">
        <f>M43/'PL Cronograma detallado'!M$238</f>
        <v>0.00402021984</v>
      </c>
      <c r="P43" s="419">
        <f t="shared" si="13"/>
        <v>1.812186185</v>
      </c>
      <c r="Q43" s="421">
        <f t="shared" si="2"/>
        <v>-1.02</v>
      </c>
      <c r="R43" s="421">
        <f t="shared" si="14"/>
        <v>-944.12</v>
      </c>
      <c r="S43" s="422">
        <f t="shared" si="3"/>
        <v>-0.008212560386</v>
      </c>
      <c r="T43" s="207">
        <f t="shared" si="4"/>
        <v>-96.08</v>
      </c>
      <c r="U43" s="423">
        <f t="shared" si="15"/>
        <v>-2627.68</v>
      </c>
      <c r="V43" s="424">
        <f t="shared" si="5"/>
        <v>-0.4361721445</v>
      </c>
      <c r="W43" s="425">
        <f t="shared" si="6"/>
        <v>0.5638278555</v>
      </c>
      <c r="X43" s="425">
        <f t="shared" si="7"/>
        <v>0.1162573012</v>
      </c>
      <c r="Y43" s="426">
        <f>('PL Cronograma detallado'!M$238-I43)/('PL Cronograma detallado'!M$238-M43)</f>
        <v>1.001737205</v>
      </c>
      <c r="Z43" s="433"/>
      <c r="AA43" s="433"/>
      <c r="AB43" s="433"/>
      <c r="AC43" s="433"/>
    </row>
    <row r="44" ht="15.75" customHeight="1">
      <c r="A44" s="414" t="s">
        <v>209</v>
      </c>
      <c r="B44" s="415" t="s">
        <v>210</v>
      </c>
      <c r="C44" s="293">
        <v>46310.0</v>
      </c>
      <c r="D44" s="438"/>
      <c r="E44" s="417">
        <f>'PL Cronograma detallado'!$L143</f>
        <v>0.61</v>
      </c>
      <c r="F44" s="417">
        <f t="shared" si="8"/>
        <v>220.89</v>
      </c>
      <c r="G44" s="323">
        <f>E44/'PL Cronograma detallado'!M$238</f>
        <v>0.001034740128</v>
      </c>
      <c r="H44" s="323">
        <f t="shared" si="9"/>
        <v>0.3746946668</v>
      </c>
      <c r="I44" s="418">
        <f>'R Cronograma detallado'!AO62*'PL Cronograma detallado'!M$238</f>
        <v>0</v>
      </c>
      <c r="J44" s="418">
        <f t="shared" si="10"/>
        <v>124.2</v>
      </c>
      <c r="K44" s="226">
        <f>I44/'PL Cronograma detallado'!M$238</f>
        <v>0</v>
      </c>
      <c r="L44" s="226">
        <f t="shared" si="11"/>
        <v>0.2106798752</v>
      </c>
      <c r="M44" s="419">
        <f>'R Cronograma detallado'!L62</f>
        <v>45.19</v>
      </c>
      <c r="N44" s="419">
        <f t="shared" si="12"/>
        <v>1113.51</v>
      </c>
      <c r="O44" s="420">
        <f>M44/'PL Cronograma detallado'!M$238</f>
        <v>0.0766555842</v>
      </c>
      <c r="P44" s="419">
        <f t="shared" si="13"/>
        <v>1.88884177</v>
      </c>
      <c r="Q44" s="421">
        <f t="shared" si="2"/>
        <v>-45.19</v>
      </c>
      <c r="R44" s="421">
        <f t="shared" si="14"/>
        <v>-989.31</v>
      </c>
      <c r="S44" s="422">
        <f t="shared" si="3"/>
        <v>-0.3638486312</v>
      </c>
      <c r="T44" s="207">
        <f t="shared" si="4"/>
        <v>-96.69</v>
      </c>
      <c r="U44" s="423">
        <f t="shared" si="15"/>
        <v>-2724.37</v>
      </c>
      <c r="V44" s="424">
        <f t="shared" si="5"/>
        <v>-0.4377291865</v>
      </c>
      <c r="W44" s="425">
        <f t="shared" si="6"/>
        <v>0.5622708135</v>
      </c>
      <c r="X44" s="425">
        <f t="shared" si="7"/>
        <v>0.1115391869</v>
      </c>
      <c r="Y44" s="426">
        <f>('PL Cronograma detallado'!M$238-I44)/('PL Cronograma detallado'!M$238-M44)</f>
        <v>1.083019492</v>
      </c>
      <c r="Z44" s="432"/>
      <c r="AA44" s="432"/>
      <c r="AB44" s="432"/>
      <c r="AC44" s="432"/>
    </row>
    <row r="45" ht="15.75" customHeight="1">
      <c r="A45" s="429" t="s">
        <v>211</v>
      </c>
      <c r="B45" s="430" t="s">
        <v>212</v>
      </c>
      <c r="C45" s="431">
        <v>46310.0</v>
      </c>
      <c r="D45" s="438"/>
      <c r="E45" s="417">
        <f>'PL Cronograma detallado'!$L145</f>
        <v>0</v>
      </c>
      <c r="F45" s="417">
        <f t="shared" si="8"/>
        <v>220.89</v>
      </c>
      <c r="G45" s="323">
        <f>E45/'PL Cronograma detallado'!M$238</f>
        <v>0</v>
      </c>
      <c r="H45" s="323">
        <f t="shared" si="9"/>
        <v>0.3746946668</v>
      </c>
      <c r="I45" s="418">
        <f>'R Cronograma detallado'!AO63*'PL Cronograma detallado'!M$238</f>
        <v>7.65</v>
      </c>
      <c r="J45" s="418">
        <f t="shared" si="10"/>
        <v>131.85</v>
      </c>
      <c r="K45" s="226">
        <f>I45/'PL Cronograma detallado'!M$238</f>
        <v>0.01297665898</v>
      </c>
      <c r="L45" s="226">
        <f t="shared" si="11"/>
        <v>0.2236565341</v>
      </c>
      <c r="M45" s="419">
        <f>'R Cronograma detallado'!L63</f>
        <v>20.41</v>
      </c>
      <c r="N45" s="419">
        <f t="shared" si="12"/>
        <v>1133.92</v>
      </c>
      <c r="O45" s="420">
        <f>M45/'PL Cronograma detallado'!M$238</f>
        <v>0.03462138689</v>
      </c>
      <c r="P45" s="419">
        <f t="shared" si="13"/>
        <v>1.923463156</v>
      </c>
      <c r="Q45" s="421">
        <f t="shared" si="2"/>
        <v>-12.76</v>
      </c>
      <c r="R45" s="421">
        <f t="shared" si="14"/>
        <v>-1002.07</v>
      </c>
      <c r="S45" s="422">
        <f t="shared" si="3"/>
        <v>-0.09677664012</v>
      </c>
      <c r="T45" s="207">
        <f t="shared" si="4"/>
        <v>-89.04</v>
      </c>
      <c r="U45" s="423">
        <f t="shared" si="15"/>
        <v>-2813.41</v>
      </c>
      <c r="V45" s="424">
        <f t="shared" si="5"/>
        <v>-0.4030965639</v>
      </c>
      <c r="W45" s="425">
        <f t="shared" si="6"/>
        <v>0.5969034361</v>
      </c>
      <c r="X45" s="425">
        <f t="shared" si="7"/>
        <v>0.1162780443</v>
      </c>
      <c r="Y45" s="426">
        <f>('PL Cronograma detallado'!M$238-I45)/('PL Cronograma detallado'!M$238-M45)</f>
        <v>1.022420973</v>
      </c>
      <c r="Z45" s="432"/>
      <c r="AA45" s="432"/>
      <c r="AB45" s="432"/>
      <c r="AC45" s="432"/>
    </row>
    <row r="46" ht="15.75" customHeight="1">
      <c r="A46" s="414" t="s">
        <v>401</v>
      </c>
      <c r="B46" s="415" t="s">
        <v>446</v>
      </c>
      <c r="C46" s="293">
        <v>46314.0</v>
      </c>
      <c r="D46" s="438"/>
      <c r="E46" s="417">
        <f>'PL Cronograma detallado'!$L167</f>
        <v>5.75</v>
      </c>
      <c r="F46" s="417">
        <f t="shared" si="8"/>
        <v>226.64</v>
      </c>
      <c r="G46" s="323">
        <f>E46/'PL Cronograma detallado'!M$238</f>
        <v>0.009753697924</v>
      </c>
      <c r="H46" s="323">
        <f t="shared" si="9"/>
        <v>0.3844483648</v>
      </c>
      <c r="I46" s="418">
        <f>'R Cronograma detallado'!AO66*'PL Cronograma detallado'!M$238</f>
        <v>0</v>
      </c>
      <c r="J46" s="418">
        <f t="shared" si="10"/>
        <v>131.85</v>
      </c>
      <c r="K46" s="226">
        <f>I46/'PL Cronograma detallado'!M$238</f>
        <v>0</v>
      </c>
      <c r="L46" s="226">
        <f t="shared" si="11"/>
        <v>0.2236565341</v>
      </c>
      <c r="M46" s="419">
        <f>'R Cronograma detallado'!L66</f>
        <v>58.15</v>
      </c>
      <c r="N46" s="419">
        <f t="shared" si="12"/>
        <v>1192.07</v>
      </c>
      <c r="O46" s="420">
        <f>M46/'PL Cronograma detallado'!M$238</f>
        <v>0.09863957118</v>
      </c>
      <c r="P46" s="419">
        <f t="shared" si="13"/>
        <v>2.022102728</v>
      </c>
      <c r="Q46" s="421">
        <f t="shared" si="2"/>
        <v>-58.15</v>
      </c>
      <c r="R46" s="421">
        <f t="shared" si="14"/>
        <v>-1060.22</v>
      </c>
      <c r="S46" s="422">
        <f t="shared" si="3"/>
        <v>-0.4410314752</v>
      </c>
      <c r="T46" s="207">
        <f t="shared" si="4"/>
        <v>-94.79</v>
      </c>
      <c r="U46" s="423">
        <f t="shared" si="15"/>
        <v>-2908.2</v>
      </c>
      <c r="V46" s="424">
        <f t="shared" si="5"/>
        <v>-0.4182403812</v>
      </c>
      <c r="W46" s="425">
        <f t="shared" si="6"/>
        <v>0.5817596188</v>
      </c>
      <c r="X46" s="425">
        <f t="shared" si="7"/>
        <v>0.1106059208</v>
      </c>
      <c r="Y46" s="426">
        <f>('PL Cronograma detallado'!M$238-I46)/('PL Cronograma detallado'!M$238-M46)</f>
        <v>1.109434104</v>
      </c>
      <c r="Z46" s="432"/>
      <c r="AA46" s="432"/>
      <c r="AB46" s="432"/>
      <c r="AC46" s="432"/>
    </row>
    <row r="47" ht="15.75" customHeight="1">
      <c r="A47" s="414" t="s">
        <v>403</v>
      </c>
      <c r="B47" s="436" t="s">
        <v>734</v>
      </c>
      <c r="C47" s="293">
        <v>46312.0</v>
      </c>
      <c r="D47" s="438"/>
      <c r="E47" s="417">
        <f>'PL Cronograma detallado'!$L168</f>
        <v>1.93</v>
      </c>
      <c r="F47" s="417">
        <f t="shared" si="8"/>
        <v>228.57</v>
      </c>
      <c r="G47" s="323">
        <f>E47/'PL Cronograma detallado'!M$238</f>
        <v>0.003273849912</v>
      </c>
      <c r="H47" s="323">
        <f t="shared" si="9"/>
        <v>0.3877222147</v>
      </c>
      <c r="I47" s="418">
        <f>'R Cronograma detallado'!AO67*'PL Cronograma detallado'!M$238</f>
        <v>3.57</v>
      </c>
      <c r="J47" s="418">
        <f t="shared" si="10"/>
        <v>135.42</v>
      </c>
      <c r="K47" s="226">
        <f>I47/'PL Cronograma detallado'!M$238</f>
        <v>0.006055774189</v>
      </c>
      <c r="L47" s="226">
        <f t="shared" si="11"/>
        <v>0.2297123083</v>
      </c>
      <c r="M47" s="419">
        <f>'R Cronograma detallado'!L67</f>
        <v>7.65</v>
      </c>
      <c r="N47" s="419">
        <f t="shared" si="12"/>
        <v>1199.72</v>
      </c>
      <c r="O47" s="420">
        <f>M47/'PL Cronograma detallado'!M$238</f>
        <v>0.01297665898</v>
      </c>
      <c r="P47" s="419">
        <f t="shared" si="13"/>
        <v>2.035079387</v>
      </c>
      <c r="Q47" s="421">
        <f t="shared" si="2"/>
        <v>-4.08</v>
      </c>
      <c r="R47" s="421">
        <f t="shared" si="14"/>
        <v>-1064.3</v>
      </c>
      <c r="S47" s="422">
        <f t="shared" si="3"/>
        <v>-0.03012848914</v>
      </c>
      <c r="T47" s="207">
        <f t="shared" si="4"/>
        <v>-93.15</v>
      </c>
      <c r="U47" s="423">
        <f t="shared" si="15"/>
        <v>-3001.35</v>
      </c>
      <c r="V47" s="424">
        <f t="shared" si="5"/>
        <v>-0.4075337971</v>
      </c>
      <c r="W47" s="425">
        <f t="shared" si="6"/>
        <v>0.5924662029</v>
      </c>
      <c r="X47" s="425">
        <f t="shared" si="7"/>
        <v>0.1128763378</v>
      </c>
      <c r="Y47" s="426">
        <f>('PL Cronograma detallado'!M$238-I47)/('PL Cronograma detallado'!M$238-M47)</f>
        <v>1.007011876</v>
      </c>
      <c r="Z47" s="432"/>
      <c r="AA47" s="432"/>
      <c r="AB47" s="432"/>
      <c r="AC47" s="432"/>
    </row>
    <row r="48" ht="15.75" customHeight="1">
      <c r="A48" s="414" t="s">
        <v>405</v>
      </c>
      <c r="B48" s="436" t="s">
        <v>450</v>
      </c>
      <c r="C48" s="293">
        <v>46318.0</v>
      </c>
      <c r="D48" s="438"/>
      <c r="E48" s="417">
        <f>'PL Cronograma detallado'!$L169</f>
        <v>5.31</v>
      </c>
      <c r="F48" s="417">
        <f t="shared" si="8"/>
        <v>233.88</v>
      </c>
      <c r="G48" s="323">
        <f>E48/'PL Cronograma detallado'!M$238</f>
        <v>0.009007327996</v>
      </c>
      <c r="H48" s="323">
        <f t="shared" si="9"/>
        <v>0.3967295427</v>
      </c>
      <c r="I48" s="418">
        <f>'R Cronograma detallado'!AO68*'PL Cronograma detallado'!M$238</f>
        <v>15.84</v>
      </c>
      <c r="J48" s="418">
        <f t="shared" si="10"/>
        <v>151.26</v>
      </c>
      <c r="K48" s="226">
        <f>I48/'PL Cronograma detallado'!M$238</f>
        <v>0.02686931741</v>
      </c>
      <c r="L48" s="226">
        <f t="shared" si="11"/>
        <v>0.2565816257</v>
      </c>
      <c r="M48" s="419">
        <f>'R Cronograma detallado'!L68</f>
        <v>45.49</v>
      </c>
      <c r="N48" s="419">
        <f t="shared" si="12"/>
        <v>1245.21</v>
      </c>
      <c r="O48" s="420">
        <f>M48/'PL Cronograma detallado'!M$238</f>
        <v>0.07716447279</v>
      </c>
      <c r="P48" s="419">
        <f t="shared" si="13"/>
        <v>2.112243859</v>
      </c>
      <c r="Q48" s="421">
        <f t="shared" si="2"/>
        <v>-29.65</v>
      </c>
      <c r="R48" s="421">
        <f t="shared" si="14"/>
        <v>-1093.95</v>
      </c>
      <c r="S48" s="422">
        <f t="shared" si="3"/>
        <v>-0.1960200978</v>
      </c>
      <c r="T48" s="207">
        <f t="shared" si="4"/>
        <v>-82.62</v>
      </c>
      <c r="U48" s="423">
        <f t="shared" si="15"/>
        <v>-3083.97</v>
      </c>
      <c r="V48" s="424">
        <f t="shared" si="5"/>
        <v>-0.3532580811</v>
      </c>
      <c r="W48" s="425">
        <f t="shared" si="6"/>
        <v>0.6467419189</v>
      </c>
      <c r="X48" s="425">
        <f t="shared" si="7"/>
        <v>0.1214734864</v>
      </c>
      <c r="Y48" s="426">
        <f>('PL Cronograma detallado'!M$238-I48)/('PL Cronograma detallado'!M$238-M48)</f>
        <v>1.054500671</v>
      </c>
      <c r="Z48" s="432"/>
      <c r="AA48" s="432"/>
      <c r="AB48" s="432"/>
      <c r="AC48" s="432"/>
    </row>
    <row r="49" ht="15.75" customHeight="1">
      <c r="A49" s="414" t="s">
        <v>416</v>
      </c>
      <c r="B49" s="415" t="s">
        <v>735</v>
      </c>
      <c r="C49" s="293">
        <v>46319.0</v>
      </c>
      <c r="D49" s="438"/>
      <c r="E49" s="417">
        <f>'PL Cronograma detallado'!$L171</f>
        <v>1.49</v>
      </c>
      <c r="F49" s="417">
        <f t="shared" si="8"/>
        <v>235.37</v>
      </c>
      <c r="G49" s="323">
        <f>E49/'PL Cronograma detallado'!M$238</f>
        <v>0.002527479984</v>
      </c>
      <c r="H49" s="323">
        <f t="shared" si="9"/>
        <v>0.3992570227</v>
      </c>
      <c r="I49" s="418">
        <f>'R Cronograma detallado'!AO70*'PL Cronograma detallado'!M$238</f>
        <v>0</v>
      </c>
      <c r="J49" s="418">
        <f t="shared" si="10"/>
        <v>151.26</v>
      </c>
      <c r="K49" s="226">
        <f>I49/'PL Cronograma detallado'!M$238</f>
        <v>0</v>
      </c>
      <c r="L49" s="226">
        <f t="shared" si="11"/>
        <v>0.2565816257</v>
      </c>
      <c r="M49" s="419">
        <f>'R Cronograma detallado'!L70</f>
        <v>20.75</v>
      </c>
      <c r="N49" s="419">
        <f t="shared" si="12"/>
        <v>1265.96</v>
      </c>
      <c r="O49" s="420">
        <f>M49/'PL Cronograma detallado'!M$238</f>
        <v>0.03519812729</v>
      </c>
      <c r="P49" s="419">
        <f t="shared" si="13"/>
        <v>2.147441987</v>
      </c>
      <c r="Q49" s="421">
        <f t="shared" si="2"/>
        <v>-20.75</v>
      </c>
      <c r="R49" s="421">
        <f t="shared" si="14"/>
        <v>-1114.7</v>
      </c>
      <c r="S49" s="422">
        <f t="shared" si="3"/>
        <v>-0.1371810128</v>
      </c>
      <c r="T49" s="207">
        <f t="shared" si="4"/>
        <v>-84.11</v>
      </c>
      <c r="U49" s="423">
        <f t="shared" si="15"/>
        <v>-3168.08</v>
      </c>
      <c r="V49" s="424">
        <f t="shared" si="5"/>
        <v>-0.3573522539</v>
      </c>
      <c r="W49" s="425">
        <f t="shared" si="6"/>
        <v>0.6426477461</v>
      </c>
      <c r="X49" s="425">
        <f t="shared" si="7"/>
        <v>0.1194824481</v>
      </c>
      <c r="Y49" s="426">
        <f>('PL Cronograma detallado'!M$238-I49)/('PL Cronograma detallado'!M$238-M49)</f>
        <v>1.036482234</v>
      </c>
      <c r="Z49" s="432"/>
      <c r="AA49" s="432"/>
      <c r="AB49" s="432"/>
      <c r="AC49" s="432"/>
    </row>
    <row r="50" ht="15.75" customHeight="1">
      <c r="A50" s="414" t="s">
        <v>418</v>
      </c>
      <c r="B50" s="415" t="s">
        <v>736</v>
      </c>
      <c r="C50" s="293">
        <v>46322.0</v>
      </c>
      <c r="D50" s="443"/>
      <c r="E50" s="417">
        <f>'PL Cronograma detallado'!$L172</f>
        <v>5.11</v>
      </c>
      <c r="F50" s="417">
        <f t="shared" si="8"/>
        <v>240.48</v>
      </c>
      <c r="G50" s="323">
        <f>E50/'PL Cronograma detallado'!M$238</f>
        <v>0.008668068937</v>
      </c>
      <c r="H50" s="323">
        <f t="shared" si="9"/>
        <v>0.4079250916</v>
      </c>
      <c r="I50" s="418">
        <f>'R Cronograma detallado'!AO71*'PL Cronograma detallado'!M$238</f>
        <v>3.43</v>
      </c>
      <c r="J50" s="418">
        <f t="shared" si="10"/>
        <v>154.69</v>
      </c>
      <c r="K50" s="226">
        <f>I50/'PL Cronograma detallado'!M$238</f>
        <v>0.005818292848</v>
      </c>
      <c r="L50" s="226">
        <f t="shared" si="11"/>
        <v>0.2623999186</v>
      </c>
      <c r="M50" s="419">
        <f>'R Cronograma detallado'!L71</f>
        <v>8.53</v>
      </c>
      <c r="N50" s="419">
        <f t="shared" si="12"/>
        <v>1274.49</v>
      </c>
      <c r="O50" s="420">
        <f>M50/'PL Cronograma detallado'!M$238</f>
        <v>0.01446939883</v>
      </c>
      <c r="P50" s="419">
        <f t="shared" si="13"/>
        <v>2.161911386</v>
      </c>
      <c r="Q50" s="421">
        <f t="shared" si="2"/>
        <v>-5.1</v>
      </c>
      <c r="R50" s="421">
        <f t="shared" si="14"/>
        <v>-1119.8</v>
      </c>
      <c r="S50" s="422">
        <f t="shared" si="3"/>
        <v>-0.03296916413</v>
      </c>
      <c r="T50" s="207">
        <f t="shared" si="4"/>
        <v>-85.79</v>
      </c>
      <c r="U50" s="423">
        <f t="shared" si="15"/>
        <v>-3253.87</v>
      </c>
      <c r="V50" s="424">
        <f t="shared" si="5"/>
        <v>-0.3567448436</v>
      </c>
      <c r="W50" s="425">
        <f t="shared" si="6"/>
        <v>0.6432551564</v>
      </c>
      <c r="X50" s="425">
        <f t="shared" si="7"/>
        <v>0.1213740398</v>
      </c>
      <c r="Y50" s="426">
        <f>('PL Cronograma detallado'!M$238-I50)/('PL Cronograma detallado'!M$238-M50)</f>
        <v>1.00877812</v>
      </c>
      <c r="Z50" s="432"/>
      <c r="AA50" s="432"/>
      <c r="AB50" s="432"/>
      <c r="AC50" s="432"/>
    </row>
    <row r="51" ht="15.75" customHeight="1">
      <c r="A51" s="414" t="s">
        <v>420</v>
      </c>
      <c r="B51" s="415" t="s">
        <v>462</v>
      </c>
      <c r="C51" s="293">
        <v>46325.0</v>
      </c>
      <c r="D51" s="443"/>
      <c r="E51" s="417">
        <f>'PL Cronograma detallado'!$L173</f>
        <v>5.01</v>
      </c>
      <c r="F51" s="417">
        <f t="shared" si="8"/>
        <v>245.49</v>
      </c>
      <c r="G51" s="323">
        <f>E51/'PL Cronograma detallado'!M$238</f>
        <v>0.008498439408</v>
      </c>
      <c r="H51" s="323">
        <f t="shared" si="9"/>
        <v>0.416423531</v>
      </c>
      <c r="I51" s="418">
        <f>'R Cronograma detallado'!AO72*'PL Cronograma detallado'!M$238</f>
        <v>3.13</v>
      </c>
      <c r="J51" s="418">
        <f t="shared" si="10"/>
        <v>157.82</v>
      </c>
      <c r="K51" s="226">
        <f>I51/'PL Cronograma detallado'!M$238</f>
        <v>0.005309404261</v>
      </c>
      <c r="L51" s="226">
        <f t="shared" si="11"/>
        <v>0.2677093228</v>
      </c>
      <c r="M51" s="419">
        <f>'R Cronograma detallado'!L72</f>
        <v>7.21</v>
      </c>
      <c r="N51" s="419">
        <f t="shared" si="12"/>
        <v>1281.7</v>
      </c>
      <c r="O51" s="420">
        <f>M51/'PL Cronograma detallado'!M$238</f>
        <v>0.01223028905</v>
      </c>
      <c r="P51" s="419">
        <f t="shared" si="13"/>
        <v>2.174141675</v>
      </c>
      <c r="Q51" s="421">
        <f t="shared" si="2"/>
        <v>-4.08</v>
      </c>
      <c r="R51" s="421">
        <f t="shared" si="14"/>
        <v>-1123.88</v>
      </c>
      <c r="S51" s="422">
        <f t="shared" si="3"/>
        <v>-0.02585223673</v>
      </c>
      <c r="T51" s="207">
        <f t="shared" si="4"/>
        <v>-87.67</v>
      </c>
      <c r="U51" s="423">
        <f t="shared" si="15"/>
        <v>-3341.54</v>
      </c>
      <c r="V51" s="424">
        <f t="shared" si="5"/>
        <v>-0.3571224897</v>
      </c>
      <c r="W51" s="425">
        <f t="shared" si="6"/>
        <v>0.6428775103</v>
      </c>
      <c r="X51" s="425">
        <f t="shared" si="7"/>
        <v>0.1231333385</v>
      </c>
      <c r="Y51" s="426">
        <f>('PL Cronograma detallado'!M$238-I51)/('PL Cronograma detallado'!M$238-M51)</f>
        <v>1.007006577</v>
      </c>
      <c r="Z51" s="432"/>
      <c r="AA51" s="432"/>
      <c r="AB51" s="432"/>
      <c r="AC51" s="432"/>
    </row>
    <row r="52" ht="15.75" customHeight="1">
      <c r="A52" s="414" t="s">
        <v>430</v>
      </c>
      <c r="B52" s="415" t="s">
        <v>737</v>
      </c>
      <c r="C52" s="293">
        <v>46326.0</v>
      </c>
      <c r="D52" s="438"/>
      <c r="E52" s="417">
        <f>'PL Cronograma detallado'!$L175</f>
        <v>5.94</v>
      </c>
      <c r="F52" s="417">
        <f t="shared" si="8"/>
        <v>251.43</v>
      </c>
      <c r="G52" s="323">
        <f>E52/'PL Cronograma detallado'!M$238</f>
        <v>0.01007599403</v>
      </c>
      <c r="H52" s="323">
        <f t="shared" si="9"/>
        <v>0.426499525</v>
      </c>
      <c r="I52" s="418">
        <f>'R Cronograma detallado'!AO74*'PL Cronograma detallado'!M$238</f>
        <v>0</v>
      </c>
      <c r="J52" s="418">
        <f t="shared" si="10"/>
        <v>157.82</v>
      </c>
      <c r="K52" s="226">
        <f>I52/'PL Cronograma detallado'!M$238</f>
        <v>0</v>
      </c>
      <c r="L52" s="226">
        <f t="shared" si="11"/>
        <v>0.2677093228</v>
      </c>
      <c r="M52" s="419">
        <f>'R Cronograma detallado'!L74</f>
        <v>48.37</v>
      </c>
      <c r="N52" s="419">
        <f t="shared" si="12"/>
        <v>1330.07</v>
      </c>
      <c r="O52" s="420">
        <f>M52/'PL Cronograma detallado'!M$238</f>
        <v>0.08204980323</v>
      </c>
      <c r="P52" s="419">
        <f t="shared" si="13"/>
        <v>2.256191478</v>
      </c>
      <c r="Q52" s="421">
        <f t="shared" si="2"/>
        <v>-48.37</v>
      </c>
      <c r="R52" s="421">
        <f t="shared" si="14"/>
        <v>-1172.25</v>
      </c>
      <c r="S52" s="422">
        <f t="shared" si="3"/>
        <v>-0.3064884045</v>
      </c>
      <c r="T52" s="207">
        <f t="shared" si="4"/>
        <v>-93.61</v>
      </c>
      <c r="U52" s="423">
        <f t="shared" si="15"/>
        <v>-3435.15</v>
      </c>
      <c r="V52" s="424">
        <f t="shared" si="5"/>
        <v>-0.3723103846</v>
      </c>
      <c r="W52" s="425">
        <f t="shared" si="6"/>
        <v>0.6276896154</v>
      </c>
      <c r="X52" s="425">
        <f t="shared" si="7"/>
        <v>0.1186554091</v>
      </c>
      <c r="Y52" s="426">
        <f>('PL Cronograma detallado'!M$238-I52)/('PL Cronograma detallado'!M$238-M52)</f>
        <v>1.08938372</v>
      </c>
      <c r="Z52" s="432"/>
      <c r="AA52" s="432"/>
      <c r="AB52" s="432"/>
      <c r="AC52" s="432"/>
    </row>
    <row r="53" ht="15.75" customHeight="1">
      <c r="A53" s="414" t="s">
        <v>434</v>
      </c>
      <c r="B53" s="415" t="s">
        <v>469</v>
      </c>
      <c r="C53" s="293">
        <v>46327.0</v>
      </c>
      <c r="D53" s="438"/>
      <c r="E53" s="417">
        <f>'PL Cronograma detallado'!$L176</f>
        <v>3.43</v>
      </c>
      <c r="F53" s="417">
        <f t="shared" si="8"/>
        <v>254.86</v>
      </c>
      <c r="G53" s="323">
        <f>E53/'PL Cronograma detallado'!M$238</f>
        <v>0.005818292848</v>
      </c>
      <c r="H53" s="323">
        <f t="shared" si="9"/>
        <v>0.4323178179</v>
      </c>
      <c r="I53" s="418">
        <f>'R Cronograma detallado'!AO75*'PL Cronograma detallado'!M$238</f>
        <v>2.37</v>
      </c>
      <c r="J53" s="418">
        <f t="shared" si="10"/>
        <v>160.19</v>
      </c>
      <c r="K53" s="226">
        <f>I53/'PL Cronograma detallado'!M$238</f>
        <v>0.00402021984</v>
      </c>
      <c r="L53" s="226">
        <f t="shared" si="11"/>
        <v>0.2717295427</v>
      </c>
      <c r="M53" s="419">
        <f>'R Cronograma detallado'!L75</f>
        <v>5.01</v>
      </c>
      <c r="N53" s="419">
        <f t="shared" si="12"/>
        <v>1335.08</v>
      </c>
      <c r="O53" s="420">
        <f>M53/'PL Cronograma detallado'!M$238</f>
        <v>0.008498439408</v>
      </c>
      <c r="P53" s="419">
        <f t="shared" si="13"/>
        <v>2.264689917</v>
      </c>
      <c r="Q53" s="421">
        <f t="shared" si="2"/>
        <v>-2.64</v>
      </c>
      <c r="R53" s="421">
        <f t="shared" si="14"/>
        <v>-1174.89</v>
      </c>
      <c r="S53" s="422">
        <f t="shared" si="3"/>
        <v>-0.01648042949</v>
      </c>
      <c r="T53" s="207">
        <f t="shared" si="4"/>
        <v>-94.67</v>
      </c>
      <c r="U53" s="423">
        <f t="shared" si="15"/>
        <v>-3529.82</v>
      </c>
      <c r="V53" s="424">
        <f t="shared" si="5"/>
        <v>-0.3714588401</v>
      </c>
      <c r="W53" s="425">
        <f t="shared" si="6"/>
        <v>0.6285411599</v>
      </c>
      <c r="X53" s="425">
        <f t="shared" si="7"/>
        <v>0.1199853192</v>
      </c>
      <c r="Y53" s="426">
        <f>('PL Cronograma detallado'!M$238-I53)/('PL Cronograma detallado'!M$238-M53)</f>
        <v>1.004516604</v>
      </c>
      <c r="Z53" s="432"/>
      <c r="AA53" s="432"/>
      <c r="AB53" s="432"/>
      <c r="AC53" s="432"/>
    </row>
    <row r="54" ht="15.75" customHeight="1">
      <c r="A54" s="414" t="s">
        <v>436</v>
      </c>
      <c r="B54" s="415" t="s">
        <v>473</v>
      </c>
      <c r="C54" s="293">
        <v>46329.0</v>
      </c>
      <c r="D54" s="438"/>
      <c r="E54" s="417">
        <f>'PL Cronograma detallado'!$L178</f>
        <v>1.88</v>
      </c>
      <c r="F54" s="417">
        <f t="shared" si="8"/>
        <v>256.74</v>
      </c>
      <c r="G54" s="323">
        <f>E54/'PL Cronograma detallado'!M$238</f>
        <v>0.003189035147</v>
      </c>
      <c r="H54" s="323">
        <f t="shared" si="9"/>
        <v>0.435506853</v>
      </c>
      <c r="I54" s="418">
        <f>'R Cronograma detallado'!AO76*'PL Cronograma detallado'!M$238</f>
        <v>7.73</v>
      </c>
      <c r="J54" s="418">
        <f t="shared" si="10"/>
        <v>167.92</v>
      </c>
      <c r="K54" s="226">
        <f>I54/'PL Cronograma detallado'!M$238</f>
        <v>0.0131123626</v>
      </c>
      <c r="L54" s="226">
        <f t="shared" si="11"/>
        <v>0.2848419053</v>
      </c>
      <c r="M54" s="419">
        <f>'R Cronograma detallado'!L76</f>
        <v>21.73</v>
      </c>
      <c r="N54" s="419">
        <f t="shared" si="12"/>
        <v>1356.81</v>
      </c>
      <c r="O54" s="420">
        <f>M54/'PL Cronograma detallado'!M$238</f>
        <v>0.03686049668</v>
      </c>
      <c r="P54" s="419">
        <f t="shared" si="13"/>
        <v>2.301550414</v>
      </c>
      <c r="Q54" s="421">
        <f t="shared" si="2"/>
        <v>-14</v>
      </c>
      <c r="R54" s="421">
        <f t="shared" si="14"/>
        <v>-1188.89</v>
      </c>
      <c r="S54" s="422">
        <f t="shared" si="3"/>
        <v>-0.08337303478</v>
      </c>
      <c r="T54" s="207">
        <f t="shared" si="4"/>
        <v>-88.82</v>
      </c>
      <c r="U54" s="423">
        <f t="shared" si="15"/>
        <v>-3618.64</v>
      </c>
      <c r="V54" s="424">
        <f t="shared" si="5"/>
        <v>-0.3459531043</v>
      </c>
      <c r="W54" s="425">
        <f t="shared" si="6"/>
        <v>0.6540468957</v>
      </c>
      <c r="X54" s="425">
        <f t="shared" si="7"/>
        <v>0.1237608803</v>
      </c>
      <c r="Y54" s="426">
        <f>('PL Cronograma detallado'!M$238-I54)/('PL Cronograma detallado'!M$238-M54)</f>
        <v>1.024657003</v>
      </c>
      <c r="Z54" s="432"/>
      <c r="AA54" s="432"/>
      <c r="AB54" s="432"/>
      <c r="AC54" s="432"/>
    </row>
    <row r="55" ht="15.75" customHeight="1">
      <c r="A55" s="414" t="s">
        <v>445</v>
      </c>
      <c r="B55" s="415" t="s">
        <v>480</v>
      </c>
      <c r="C55" s="293">
        <v>46330.0</v>
      </c>
      <c r="D55" s="438"/>
      <c r="E55" s="417">
        <f>'PL Cronograma detallado'!$L181</f>
        <v>5.06</v>
      </c>
      <c r="F55" s="417">
        <f t="shared" si="8"/>
        <v>261.8</v>
      </c>
      <c r="G55" s="323">
        <f>E55/'PL Cronograma detallado'!M$238</f>
        <v>0.008583254173</v>
      </c>
      <c r="H55" s="323">
        <f t="shared" si="9"/>
        <v>0.4440901072</v>
      </c>
      <c r="I55" s="418">
        <f>'R Cronograma detallado'!AO78*'PL Cronograma detallado'!M$238</f>
        <v>6.84</v>
      </c>
      <c r="J55" s="418">
        <f t="shared" si="10"/>
        <v>174.76</v>
      </c>
      <c r="K55" s="226">
        <f>I55/'PL Cronograma detallado'!M$238</f>
        <v>0.01160265979</v>
      </c>
      <c r="L55" s="226">
        <f t="shared" si="11"/>
        <v>0.2964445651</v>
      </c>
      <c r="M55" s="419">
        <f>'R Cronograma detallado'!L78</f>
        <v>19.09</v>
      </c>
      <c r="N55" s="419">
        <f t="shared" si="12"/>
        <v>1375.9</v>
      </c>
      <c r="O55" s="420">
        <f>M55/'PL Cronograma detallado'!M$238</f>
        <v>0.03238227711</v>
      </c>
      <c r="P55" s="419">
        <f t="shared" si="13"/>
        <v>2.333932691</v>
      </c>
      <c r="Q55" s="421">
        <f t="shared" si="2"/>
        <v>-12.25</v>
      </c>
      <c r="R55" s="421">
        <f t="shared" si="14"/>
        <v>-1201.14</v>
      </c>
      <c r="S55" s="422">
        <f t="shared" si="3"/>
        <v>-0.07009613184</v>
      </c>
      <c r="T55" s="207">
        <f t="shared" si="4"/>
        <v>-87.04</v>
      </c>
      <c r="U55" s="423">
        <f t="shared" si="15"/>
        <v>-3705.68</v>
      </c>
      <c r="V55" s="424">
        <f t="shared" si="5"/>
        <v>-0.3324675325</v>
      </c>
      <c r="W55" s="425">
        <f t="shared" si="6"/>
        <v>0.6675324675</v>
      </c>
      <c r="X55" s="425">
        <f t="shared" si="7"/>
        <v>0.1270150447</v>
      </c>
      <c r="Y55" s="426">
        <f>('PL Cronograma detallado'!M$238-I55)/('PL Cronograma detallado'!M$238-M55)</f>
        <v>1.021475028</v>
      </c>
      <c r="Z55" s="432"/>
      <c r="AA55" s="432"/>
      <c r="AB55" s="432"/>
      <c r="AC55" s="432"/>
    </row>
    <row r="56" ht="15.75" customHeight="1">
      <c r="A56" s="414" t="s">
        <v>447</v>
      </c>
      <c r="B56" s="415" t="s">
        <v>489</v>
      </c>
      <c r="C56" s="293">
        <v>46331.0</v>
      </c>
      <c r="D56" s="438"/>
      <c r="E56" s="417">
        <f>'PL Cronograma detallado'!$L184</f>
        <v>2.49</v>
      </c>
      <c r="F56" s="417">
        <f t="shared" si="8"/>
        <v>264.29</v>
      </c>
      <c r="G56" s="323">
        <f>E56/'PL Cronograma detallado'!M$238</f>
        <v>0.004223775275</v>
      </c>
      <c r="H56" s="323">
        <f t="shared" si="9"/>
        <v>0.4483138825</v>
      </c>
      <c r="I56" s="418">
        <f>'R Cronograma detallado'!AO79*'PL Cronograma detallado'!M$238</f>
        <v>0</v>
      </c>
      <c r="J56" s="418">
        <f t="shared" si="10"/>
        <v>174.76</v>
      </c>
      <c r="K56" s="226">
        <f>I56/'PL Cronograma detallado'!M$238</f>
        <v>0</v>
      </c>
      <c r="L56" s="226">
        <f t="shared" si="11"/>
        <v>0.2964445651</v>
      </c>
      <c r="M56" s="419">
        <f>'R Cronograma detallado'!L79</f>
        <v>0</v>
      </c>
      <c r="N56" s="419">
        <f t="shared" si="12"/>
        <v>1375.9</v>
      </c>
      <c r="O56" s="420">
        <f>M56/'PL Cronograma detallado'!M$238</f>
        <v>0</v>
      </c>
      <c r="P56" s="419">
        <f t="shared" si="13"/>
        <v>2.333932691</v>
      </c>
      <c r="Q56" s="421">
        <f t="shared" si="2"/>
        <v>0</v>
      </c>
      <c r="R56" s="421">
        <f t="shared" si="14"/>
        <v>-1201.14</v>
      </c>
      <c r="S56" s="422">
        <f t="shared" si="3"/>
        <v>0</v>
      </c>
      <c r="T56" s="207">
        <f t="shared" si="4"/>
        <v>-89.53</v>
      </c>
      <c r="U56" s="423">
        <f t="shared" si="15"/>
        <v>-3795.21</v>
      </c>
      <c r="V56" s="424">
        <f t="shared" si="5"/>
        <v>-0.3387566688</v>
      </c>
      <c r="W56" s="425">
        <f t="shared" si="6"/>
        <v>0.6612433312</v>
      </c>
      <c r="X56" s="425">
        <f t="shared" si="7"/>
        <v>0.1270150447</v>
      </c>
      <c r="Y56" s="426">
        <f>('PL Cronograma detallado'!M$238-I56)/('PL Cronograma detallado'!M$238-M56)</f>
        <v>1</v>
      </c>
      <c r="Z56" s="432"/>
      <c r="AA56" s="432"/>
      <c r="AB56" s="432"/>
      <c r="AC56" s="432"/>
    </row>
    <row r="57" ht="15.75" customHeight="1">
      <c r="A57" s="429" t="s">
        <v>276</v>
      </c>
      <c r="B57" s="430" t="s">
        <v>277</v>
      </c>
      <c r="C57" s="431">
        <v>46331.0</v>
      </c>
      <c r="D57" s="438"/>
      <c r="E57" s="417">
        <f>'PL Cronograma detallado'!$L185</f>
        <v>0</v>
      </c>
      <c r="F57" s="417">
        <f t="shared" si="8"/>
        <v>264.29</v>
      </c>
      <c r="G57" s="323">
        <f>E57/'PL Cronograma detallado'!M$238</f>
        <v>0</v>
      </c>
      <c r="H57" s="323">
        <f t="shared" si="9"/>
        <v>0.4483138825</v>
      </c>
      <c r="I57" s="418">
        <f>'R Cronograma detallado'!AO80*'PL Cronograma detallado'!M$238</f>
        <v>0</v>
      </c>
      <c r="J57" s="418">
        <f t="shared" si="10"/>
        <v>174.76</v>
      </c>
      <c r="K57" s="226">
        <f>I57/'PL Cronograma detallado'!M$238</f>
        <v>0</v>
      </c>
      <c r="L57" s="226">
        <f t="shared" si="11"/>
        <v>0.2964445651</v>
      </c>
      <c r="M57" s="419">
        <f>'R Cronograma detallado'!L80</f>
        <v>351.69</v>
      </c>
      <c r="N57" s="419">
        <f t="shared" si="12"/>
        <v>1727.59</v>
      </c>
      <c r="O57" s="420">
        <f>M57/'PL Cronograma detallado'!M$238</f>
        <v>0.5965700909</v>
      </c>
      <c r="P57" s="419">
        <f t="shared" si="13"/>
        <v>2.930502782</v>
      </c>
      <c r="Q57" s="421">
        <f t="shared" si="2"/>
        <v>-351.69</v>
      </c>
      <c r="R57" s="421">
        <f t="shared" si="14"/>
        <v>-1552.83</v>
      </c>
      <c r="S57" s="422">
        <f t="shared" si="3"/>
        <v>-2.012417029</v>
      </c>
      <c r="T57" s="207">
        <f t="shared" si="4"/>
        <v>-89.53</v>
      </c>
      <c r="U57" s="423">
        <f t="shared" si="15"/>
        <v>-3884.74</v>
      </c>
      <c r="V57" s="424">
        <f t="shared" si="5"/>
        <v>-0.3387566688</v>
      </c>
      <c r="W57" s="425">
        <f t="shared" si="6"/>
        <v>0.6612433312</v>
      </c>
      <c r="X57" s="425">
        <f t="shared" si="7"/>
        <v>0.1011582609</v>
      </c>
      <c r="Y57" s="426">
        <f>('PL Cronograma detallado'!M$238-I57)/('PL Cronograma detallado'!M$238-M57)</f>
        <v>2.478745322</v>
      </c>
      <c r="Z57" s="432"/>
      <c r="AA57" s="432"/>
      <c r="AB57" s="432"/>
      <c r="AC57" s="432"/>
    </row>
    <row r="58" ht="15.75" customHeight="1">
      <c r="A58" s="414" t="s">
        <v>496</v>
      </c>
      <c r="B58" s="415" t="s">
        <v>518</v>
      </c>
      <c r="C58" s="293">
        <v>46335.0</v>
      </c>
      <c r="D58" s="438"/>
      <c r="E58" s="417">
        <f>'PL Cronograma detallado'!$L195</f>
        <v>6.86</v>
      </c>
      <c r="F58" s="417">
        <f t="shared" si="8"/>
        <v>271.15</v>
      </c>
      <c r="G58" s="323">
        <f>E58/'PL Cronograma detallado'!M$238</f>
        <v>0.0116365857</v>
      </c>
      <c r="H58" s="323">
        <f t="shared" si="9"/>
        <v>0.4599504682</v>
      </c>
      <c r="I58" s="418">
        <f>'R Cronograma detallado'!AO83*'PL Cronograma detallado'!M$238</f>
        <v>1.6</v>
      </c>
      <c r="J58" s="418">
        <f t="shared" si="10"/>
        <v>176.36</v>
      </c>
      <c r="K58" s="226">
        <f>I58/'PL Cronograma detallado'!M$238</f>
        <v>0.002714072466</v>
      </c>
      <c r="L58" s="226">
        <f t="shared" si="11"/>
        <v>0.2991586375</v>
      </c>
      <c r="M58" s="419">
        <f>'R Cronograma detallado'!L83</f>
        <v>3.52</v>
      </c>
      <c r="N58" s="419">
        <f t="shared" si="12"/>
        <v>1731.11</v>
      </c>
      <c r="O58" s="420">
        <f>M58/'PL Cronograma detallado'!M$238</f>
        <v>0.005970959425</v>
      </c>
      <c r="P58" s="419">
        <f t="shared" si="13"/>
        <v>2.936473741</v>
      </c>
      <c r="Q58" s="421">
        <f t="shared" si="2"/>
        <v>-1.92</v>
      </c>
      <c r="R58" s="421">
        <f t="shared" si="14"/>
        <v>-1554.75</v>
      </c>
      <c r="S58" s="422">
        <f t="shared" si="3"/>
        <v>-0.01088682241</v>
      </c>
      <c r="T58" s="207">
        <f t="shared" si="4"/>
        <v>-94.79</v>
      </c>
      <c r="U58" s="423">
        <f t="shared" si="15"/>
        <v>-3979.53</v>
      </c>
      <c r="V58" s="424">
        <f t="shared" si="5"/>
        <v>-0.3495851005</v>
      </c>
      <c r="W58" s="425">
        <f t="shared" si="6"/>
        <v>0.6504148995</v>
      </c>
      <c r="X58" s="425">
        <f t="shared" si="7"/>
        <v>0.1018768305</v>
      </c>
      <c r="Y58" s="426">
        <f>('PL Cronograma detallado'!M$238-I58)/('PL Cronograma detallado'!M$238-M58)</f>
        <v>1.003276451</v>
      </c>
      <c r="Z58" s="432"/>
      <c r="AA58" s="432"/>
      <c r="AB58" s="432"/>
      <c r="AC58" s="432"/>
    </row>
    <row r="59" ht="15.75" customHeight="1">
      <c r="A59" s="414" t="s">
        <v>499</v>
      </c>
      <c r="B59" s="415" t="s">
        <v>738</v>
      </c>
      <c r="C59" s="293">
        <v>46333.0</v>
      </c>
      <c r="D59" s="438"/>
      <c r="E59" s="417">
        <f>'PL Cronograma detallado'!$L196</f>
        <v>1.93</v>
      </c>
      <c r="F59" s="417">
        <f t="shared" si="8"/>
        <v>273.08</v>
      </c>
      <c r="G59" s="323">
        <f>E59/'PL Cronograma detallado'!M$238</f>
        <v>0.003273849912</v>
      </c>
      <c r="H59" s="323">
        <f t="shared" si="9"/>
        <v>0.4632243181</v>
      </c>
      <c r="I59" s="418">
        <f>'R Cronograma detallado'!AO84*'PL Cronograma detallado'!M$238</f>
        <v>1.11</v>
      </c>
      <c r="J59" s="418">
        <f t="shared" si="10"/>
        <v>177.47</v>
      </c>
      <c r="K59" s="226">
        <f>I59/'PL Cronograma detallado'!M$238</f>
        <v>0.001882887773</v>
      </c>
      <c r="L59" s="226">
        <f t="shared" si="11"/>
        <v>0.3010415253</v>
      </c>
      <c r="M59" s="419">
        <f>'R Cronograma detallado'!L84</f>
        <v>2.64</v>
      </c>
      <c r="N59" s="419">
        <f t="shared" si="12"/>
        <v>1733.75</v>
      </c>
      <c r="O59" s="420">
        <f>M59/'PL Cronograma detallado'!M$238</f>
        <v>0.004478219568</v>
      </c>
      <c r="P59" s="419">
        <f t="shared" si="13"/>
        <v>2.940951961</v>
      </c>
      <c r="Q59" s="421">
        <f t="shared" si="2"/>
        <v>-1.53</v>
      </c>
      <c r="R59" s="421">
        <f t="shared" si="14"/>
        <v>-1556.28</v>
      </c>
      <c r="S59" s="422">
        <f t="shared" si="3"/>
        <v>-0.00862117541</v>
      </c>
      <c r="T59" s="207">
        <f t="shared" si="4"/>
        <v>-95.61</v>
      </c>
      <c r="U59" s="423">
        <f t="shared" si="15"/>
        <v>-4075.14</v>
      </c>
      <c r="V59" s="424">
        <f t="shared" si="5"/>
        <v>-0.3501171818</v>
      </c>
      <c r="W59" s="425">
        <f t="shared" si="6"/>
        <v>0.6498828182</v>
      </c>
      <c r="X59" s="425">
        <f t="shared" si="7"/>
        <v>0.1023619322</v>
      </c>
      <c r="Y59" s="426">
        <f>('PL Cronograma detallado'!M$238-I59)/('PL Cronograma detallado'!M$238-M59)</f>
        <v>1.002607007</v>
      </c>
      <c r="Z59" s="432"/>
      <c r="AA59" s="432"/>
      <c r="AB59" s="432"/>
      <c r="AC59" s="432"/>
    </row>
    <row r="60" ht="15.75" customHeight="1">
      <c r="A60" s="414" t="s">
        <v>502</v>
      </c>
      <c r="B60" s="415" t="s">
        <v>524</v>
      </c>
      <c r="C60" s="293">
        <v>46339.0</v>
      </c>
      <c r="D60" s="438"/>
      <c r="E60" s="417">
        <f>'PL Cronograma detallado'!$L197</f>
        <v>6.86</v>
      </c>
      <c r="F60" s="417">
        <f t="shared" si="8"/>
        <v>279.94</v>
      </c>
      <c r="G60" s="323">
        <f>E60/'PL Cronograma detallado'!M$238</f>
        <v>0.0116365857</v>
      </c>
      <c r="H60" s="323">
        <f t="shared" si="9"/>
        <v>0.4748609038</v>
      </c>
      <c r="I60" s="418">
        <f>'R Cronograma detallado'!AO85*'PL Cronograma detallado'!M$238</f>
        <v>9.64</v>
      </c>
      <c r="J60" s="418">
        <f t="shared" si="10"/>
        <v>187.11</v>
      </c>
      <c r="K60" s="226">
        <f>I60/'PL Cronograma detallado'!M$238</f>
        <v>0.01635228661</v>
      </c>
      <c r="L60" s="226">
        <f t="shared" si="11"/>
        <v>0.3173938119</v>
      </c>
      <c r="M60" s="419">
        <f>'R Cronograma detallado'!L85</f>
        <v>22</v>
      </c>
      <c r="N60" s="419">
        <f t="shared" si="12"/>
        <v>1755.75</v>
      </c>
      <c r="O60" s="420">
        <f>M60/'PL Cronograma detallado'!M$238</f>
        <v>0.0373184964</v>
      </c>
      <c r="P60" s="419">
        <f t="shared" si="13"/>
        <v>2.978270457</v>
      </c>
      <c r="Q60" s="421">
        <f t="shared" si="2"/>
        <v>-12.36</v>
      </c>
      <c r="R60" s="421">
        <f t="shared" si="14"/>
        <v>-1568.64</v>
      </c>
      <c r="S60" s="422">
        <f t="shared" si="3"/>
        <v>-0.06605739939</v>
      </c>
      <c r="T60" s="207">
        <f t="shared" si="4"/>
        <v>-92.83</v>
      </c>
      <c r="U60" s="423">
        <f t="shared" si="15"/>
        <v>-4167.97</v>
      </c>
      <c r="V60" s="424">
        <f t="shared" si="5"/>
        <v>-0.3316067729</v>
      </c>
      <c r="W60" s="425">
        <f t="shared" si="6"/>
        <v>0.6683932271</v>
      </c>
      <c r="X60" s="425">
        <f t="shared" si="7"/>
        <v>0.1065698419</v>
      </c>
      <c r="Y60" s="426">
        <f>('PL Cronograma detallado'!M$238-I60)/('PL Cronograma detallado'!M$238-M60)</f>
        <v>1.021778968</v>
      </c>
      <c r="Z60" s="432"/>
      <c r="AA60" s="432"/>
      <c r="AB60" s="432"/>
      <c r="AC60" s="432"/>
    </row>
    <row r="61" ht="15.75" customHeight="1">
      <c r="A61" s="414" t="s">
        <v>517</v>
      </c>
      <c r="B61" s="415" t="s">
        <v>739</v>
      </c>
      <c r="C61" s="293">
        <v>46340.0</v>
      </c>
      <c r="D61" s="438"/>
      <c r="E61" s="417">
        <f>'PL Cronograma detallado'!$L199</f>
        <v>1.93</v>
      </c>
      <c r="F61" s="417">
        <f t="shared" si="8"/>
        <v>281.87</v>
      </c>
      <c r="G61" s="323">
        <f>E61/'PL Cronograma detallado'!M$238</f>
        <v>0.003273849912</v>
      </c>
      <c r="H61" s="323">
        <f t="shared" si="9"/>
        <v>0.4781347537</v>
      </c>
      <c r="I61" s="418">
        <f>'R Cronograma detallado'!AO87*'PL Cronograma detallado'!M$238</f>
        <v>3.69</v>
      </c>
      <c r="J61" s="418">
        <f t="shared" si="10"/>
        <v>190.8</v>
      </c>
      <c r="K61" s="226">
        <f>I61/'PL Cronograma detallado'!M$238</f>
        <v>0.006259329624</v>
      </c>
      <c r="L61" s="226">
        <f t="shared" si="11"/>
        <v>0.3236531415</v>
      </c>
      <c r="M61" s="419">
        <f>'R Cronograma detallado'!L87</f>
        <v>7.65</v>
      </c>
      <c r="N61" s="419">
        <f t="shared" si="12"/>
        <v>1763.4</v>
      </c>
      <c r="O61" s="420">
        <f>M61/'PL Cronograma detallado'!M$238</f>
        <v>0.01297665898</v>
      </c>
      <c r="P61" s="419">
        <f t="shared" si="13"/>
        <v>2.991247116</v>
      </c>
      <c r="Q61" s="421">
        <f t="shared" si="2"/>
        <v>-3.96</v>
      </c>
      <c r="R61" s="421">
        <f t="shared" si="14"/>
        <v>-1572.6</v>
      </c>
      <c r="S61" s="422">
        <f t="shared" si="3"/>
        <v>-0.02075471698</v>
      </c>
      <c r="T61" s="207">
        <f t="shared" si="4"/>
        <v>-91.07</v>
      </c>
      <c r="U61" s="423">
        <f t="shared" si="15"/>
        <v>-4259.04</v>
      </c>
      <c r="V61" s="424">
        <f t="shared" si="5"/>
        <v>-0.3230922056</v>
      </c>
      <c r="W61" s="425">
        <f t="shared" si="6"/>
        <v>0.6769077944</v>
      </c>
      <c r="X61" s="425">
        <f t="shared" si="7"/>
        <v>0.1082000681</v>
      </c>
      <c r="Y61" s="426">
        <f>('PL Cronograma detallado'!M$238-I61)/('PL Cronograma detallado'!M$238-M61)</f>
        <v>1.006805644</v>
      </c>
      <c r="Z61" s="432"/>
      <c r="AA61" s="432"/>
      <c r="AB61" s="432"/>
      <c r="AC61" s="432"/>
    </row>
    <row r="62" ht="15.75" customHeight="1">
      <c r="A62" s="414" t="s">
        <v>521</v>
      </c>
      <c r="B62" s="415" t="s">
        <v>532</v>
      </c>
      <c r="C62" s="293">
        <v>46343.0</v>
      </c>
      <c r="D62" s="438"/>
      <c r="E62" s="417">
        <f>'PL Cronograma detallado'!$L200</f>
        <v>6.86</v>
      </c>
      <c r="F62" s="417">
        <f t="shared" si="8"/>
        <v>288.73</v>
      </c>
      <c r="G62" s="323">
        <f>E62/'PL Cronograma detallado'!M$238</f>
        <v>0.0116365857</v>
      </c>
      <c r="H62" s="323">
        <f t="shared" si="9"/>
        <v>0.4897713394</v>
      </c>
      <c r="I62" s="418">
        <f>'R Cronograma detallado'!AO88*'PL Cronograma detallado'!M$238</f>
        <v>0.8</v>
      </c>
      <c r="J62" s="418">
        <f t="shared" si="10"/>
        <v>191.6</v>
      </c>
      <c r="K62" s="226">
        <f>I62/'PL Cronograma detallado'!M$238</f>
        <v>0.001357036233</v>
      </c>
      <c r="L62" s="226">
        <f t="shared" si="11"/>
        <v>0.3250101778</v>
      </c>
      <c r="M62" s="419">
        <f>'R Cronograma detallado'!L88</f>
        <v>1.76</v>
      </c>
      <c r="N62" s="419">
        <f t="shared" si="12"/>
        <v>1765.16</v>
      </c>
      <c r="O62" s="420">
        <f>M62/'PL Cronograma detallado'!M$238</f>
        <v>0.002985479712</v>
      </c>
      <c r="P62" s="419">
        <f t="shared" si="13"/>
        <v>2.994232596</v>
      </c>
      <c r="Q62" s="421">
        <f t="shared" si="2"/>
        <v>-0.96</v>
      </c>
      <c r="R62" s="421">
        <f t="shared" si="14"/>
        <v>-1573.56</v>
      </c>
      <c r="S62" s="422">
        <f t="shared" si="3"/>
        <v>-0.005010438413</v>
      </c>
      <c r="T62" s="207">
        <f t="shared" si="4"/>
        <v>-97.13</v>
      </c>
      <c r="U62" s="423">
        <f t="shared" si="15"/>
        <v>-4356.17</v>
      </c>
      <c r="V62" s="424">
        <f t="shared" si="5"/>
        <v>-0.3364042531</v>
      </c>
      <c r="W62" s="425">
        <f t="shared" si="6"/>
        <v>0.6635957469</v>
      </c>
      <c r="X62" s="425">
        <f t="shared" si="7"/>
        <v>0.108545401</v>
      </c>
      <c r="Y62" s="426">
        <f>('PL Cronograma detallado'!M$238-I62)/('PL Cronograma detallado'!M$238-M62)</f>
        <v>1.00163332</v>
      </c>
      <c r="Z62" s="432"/>
      <c r="AA62" s="432"/>
      <c r="AB62" s="432"/>
      <c r="AC62" s="432"/>
    </row>
    <row r="63" ht="15.75" customHeight="1">
      <c r="A63" s="414" t="s">
        <v>523</v>
      </c>
      <c r="B63" s="415" t="s">
        <v>534</v>
      </c>
      <c r="C63" s="293">
        <v>46346.0</v>
      </c>
      <c r="D63" s="438"/>
      <c r="E63" s="417">
        <f>'PL Cronograma detallado'!$L201</f>
        <v>6.86</v>
      </c>
      <c r="F63" s="417">
        <f t="shared" si="8"/>
        <v>295.59</v>
      </c>
      <c r="G63" s="323">
        <f>E63/'PL Cronograma detallado'!M$238</f>
        <v>0.0116365857</v>
      </c>
      <c r="H63" s="323">
        <f t="shared" si="9"/>
        <v>0.5014079251</v>
      </c>
      <c r="I63" s="418">
        <f>'R Cronograma detallado'!AO89*'PL Cronograma detallado'!M$238</f>
        <v>3.08</v>
      </c>
      <c r="J63" s="418">
        <f t="shared" si="10"/>
        <v>194.68</v>
      </c>
      <c r="K63" s="226">
        <f>I63/'PL Cronograma detallado'!M$238</f>
        <v>0.005224589497</v>
      </c>
      <c r="L63" s="226">
        <f t="shared" si="11"/>
        <v>0.3302347673</v>
      </c>
      <c r="M63" s="419">
        <f>'R Cronograma detallado'!L89</f>
        <v>7.04</v>
      </c>
      <c r="N63" s="419">
        <f t="shared" si="12"/>
        <v>1772.2</v>
      </c>
      <c r="O63" s="420">
        <f>M63/'PL Cronograma detallado'!M$238</f>
        <v>0.01194191885</v>
      </c>
      <c r="P63" s="419">
        <f t="shared" si="13"/>
        <v>3.006174515</v>
      </c>
      <c r="Q63" s="421">
        <f t="shared" si="2"/>
        <v>-3.96</v>
      </c>
      <c r="R63" s="421">
        <f t="shared" si="14"/>
        <v>-1577.52</v>
      </c>
      <c r="S63" s="422">
        <f t="shared" si="3"/>
        <v>-0.02034107253</v>
      </c>
      <c r="T63" s="207">
        <f t="shared" si="4"/>
        <v>-100.91</v>
      </c>
      <c r="U63" s="423">
        <f t="shared" si="15"/>
        <v>-4457.08</v>
      </c>
      <c r="V63" s="424">
        <f t="shared" si="5"/>
        <v>-0.3413850266</v>
      </c>
      <c r="W63" s="425">
        <f t="shared" si="6"/>
        <v>0.6586149734</v>
      </c>
      <c r="X63" s="425">
        <f t="shared" si="7"/>
        <v>0.1098521612</v>
      </c>
      <c r="Y63" s="426">
        <f>('PL Cronograma detallado'!M$238-I63)/('PL Cronograma detallado'!M$238-M63)</f>
        <v>1.006798517</v>
      </c>
      <c r="Z63" s="432"/>
      <c r="AA63" s="432"/>
      <c r="AB63" s="432"/>
      <c r="AC63" s="432"/>
    </row>
    <row r="64" ht="15.75" customHeight="1">
      <c r="A64" s="414" t="s">
        <v>528</v>
      </c>
      <c r="B64" s="415" t="s">
        <v>740</v>
      </c>
      <c r="C64" s="293">
        <v>46347.0</v>
      </c>
      <c r="D64" s="438"/>
      <c r="E64" s="417">
        <f>'PL Cronograma detallado'!$L203</f>
        <v>1.93</v>
      </c>
      <c r="F64" s="417">
        <f t="shared" si="8"/>
        <v>297.52</v>
      </c>
      <c r="G64" s="323">
        <f>E64/'PL Cronograma detallado'!M$238</f>
        <v>0.003273849912</v>
      </c>
      <c r="H64" s="323">
        <f t="shared" si="9"/>
        <v>0.504681775</v>
      </c>
      <c r="I64" s="418">
        <f>'R Cronograma detallado'!AO91*'PL Cronograma detallado'!M$238</f>
        <v>4.62</v>
      </c>
      <c r="J64" s="418">
        <f t="shared" si="10"/>
        <v>199.3</v>
      </c>
      <c r="K64" s="226">
        <f>I64/'PL Cronograma detallado'!M$238</f>
        <v>0.007836884245</v>
      </c>
      <c r="L64" s="226">
        <f t="shared" si="11"/>
        <v>0.3380716515</v>
      </c>
      <c r="M64" s="419">
        <f>'R Cronograma detallado'!L91</f>
        <v>10.56</v>
      </c>
      <c r="N64" s="419">
        <f t="shared" si="12"/>
        <v>1782.76</v>
      </c>
      <c r="O64" s="420">
        <f>M64/'PL Cronograma detallado'!M$238</f>
        <v>0.01791287827</v>
      </c>
      <c r="P64" s="419">
        <f t="shared" si="13"/>
        <v>3.024087393</v>
      </c>
      <c r="Q64" s="421">
        <f t="shared" si="2"/>
        <v>-5.94</v>
      </c>
      <c r="R64" s="421">
        <f t="shared" si="14"/>
        <v>-1583.46</v>
      </c>
      <c r="S64" s="422">
        <f t="shared" si="3"/>
        <v>-0.0298043151</v>
      </c>
      <c r="T64" s="207">
        <f t="shared" si="4"/>
        <v>-98.22</v>
      </c>
      <c r="U64" s="423">
        <f t="shared" si="15"/>
        <v>-4555.3</v>
      </c>
      <c r="V64" s="424">
        <f t="shared" si="5"/>
        <v>-0.330129067</v>
      </c>
      <c r="W64" s="425">
        <f t="shared" si="6"/>
        <v>0.669870933</v>
      </c>
      <c r="X64" s="425">
        <f t="shared" si="7"/>
        <v>0.1117929503</v>
      </c>
      <c r="Y64" s="426">
        <f>('PL Cronograma detallado'!M$238-I64)/('PL Cronograma detallado'!M$238-M64)</f>
        <v>1.010259776</v>
      </c>
      <c r="Z64" s="432"/>
      <c r="AA64" s="432"/>
      <c r="AB64" s="432"/>
      <c r="AC64" s="432"/>
    </row>
    <row r="65" ht="15.75" customHeight="1">
      <c r="A65" s="414" t="s">
        <v>531</v>
      </c>
      <c r="B65" s="415" t="s">
        <v>541</v>
      </c>
      <c r="C65" s="293">
        <v>46348.0</v>
      </c>
      <c r="D65" s="438"/>
      <c r="E65" s="417">
        <f>'PL Cronograma detallado'!$L204</f>
        <v>4.98</v>
      </c>
      <c r="F65" s="417">
        <f t="shared" si="8"/>
        <v>302.5</v>
      </c>
      <c r="G65" s="323">
        <f>E65/'PL Cronograma detallado'!M$238</f>
        <v>0.00844755055</v>
      </c>
      <c r="H65" s="323">
        <f t="shared" si="9"/>
        <v>0.5131293256</v>
      </c>
      <c r="I65" s="418">
        <f>'R Cronograma detallado'!AO92*'PL Cronograma detallado'!M$238</f>
        <v>0.8</v>
      </c>
      <c r="J65" s="418">
        <f t="shared" si="10"/>
        <v>200.1</v>
      </c>
      <c r="K65" s="226">
        <f>I65/'PL Cronograma detallado'!M$238</f>
        <v>0.001357036233</v>
      </c>
      <c r="L65" s="226">
        <f t="shared" si="11"/>
        <v>0.3394286877</v>
      </c>
      <c r="M65" s="419">
        <f>'R Cronograma detallado'!L92</f>
        <v>1.76</v>
      </c>
      <c r="N65" s="419">
        <f t="shared" si="12"/>
        <v>1784.52</v>
      </c>
      <c r="O65" s="420">
        <f>M65/'PL Cronograma detallado'!M$238</f>
        <v>0.002985479712</v>
      </c>
      <c r="P65" s="419">
        <f t="shared" si="13"/>
        <v>3.027072873</v>
      </c>
      <c r="Q65" s="421">
        <f t="shared" si="2"/>
        <v>-0.96</v>
      </c>
      <c r="R65" s="421">
        <f t="shared" si="14"/>
        <v>-1584.42</v>
      </c>
      <c r="S65" s="422">
        <f t="shared" si="3"/>
        <v>-0.004797601199</v>
      </c>
      <c r="T65" s="207">
        <f t="shared" si="4"/>
        <v>-102.4</v>
      </c>
      <c r="U65" s="423">
        <f t="shared" si="15"/>
        <v>-4657.7</v>
      </c>
      <c r="V65" s="424">
        <f t="shared" si="5"/>
        <v>-0.3385123967</v>
      </c>
      <c r="W65" s="425">
        <f t="shared" si="6"/>
        <v>0.6614876033</v>
      </c>
      <c r="X65" s="425">
        <f t="shared" si="7"/>
        <v>0.1121309932</v>
      </c>
      <c r="Y65" s="426">
        <f>('PL Cronograma detallado'!M$238-I65)/('PL Cronograma detallado'!M$238-M65)</f>
        <v>1.00163332</v>
      </c>
      <c r="Z65" s="432"/>
      <c r="AA65" s="432"/>
      <c r="AB65" s="432"/>
      <c r="AC65" s="432"/>
    </row>
    <row r="66" ht="15.75" customHeight="1">
      <c r="A66" s="414" t="s">
        <v>533</v>
      </c>
      <c r="B66" s="415" t="s">
        <v>543</v>
      </c>
      <c r="C66" s="293">
        <v>46349.0</v>
      </c>
      <c r="D66" s="438"/>
      <c r="E66" s="417">
        <f>'PL Cronograma detallado'!$L205</f>
        <v>2.49</v>
      </c>
      <c r="F66" s="417">
        <f t="shared" si="8"/>
        <v>304.99</v>
      </c>
      <c r="G66" s="323">
        <f>E66/'PL Cronograma detallado'!M$238</f>
        <v>0.004223775275</v>
      </c>
      <c r="H66" s="323">
        <f t="shared" si="9"/>
        <v>0.5173531008</v>
      </c>
      <c r="I66" s="418">
        <f>'R Cronograma detallado'!AO93*'PL Cronograma detallado'!M$238</f>
        <v>2.43</v>
      </c>
      <c r="J66" s="418">
        <f t="shared" si="10"/>
        <v>202.53</v>
      </c>
      <c r="K66" s="226">
        <f>I66/'PL Cronograma detallado'!M$238</f>
        <v>0.004121997557</v>
      </c>
      <c r="L66" s="226">
        <f t="shared" si="11"/>
        <v>0.3435506853</v>
      </c>
      <c r="M66" s="419">
        <f>'R Cronograma detallado'!L93</f>
        <v>3.15</v>
      </c>
      <c r="N66" s="419">
        <f t="shared" si="12"/>
        <v>1787.67</v>
      </c>
      <c r="O66" s="420">
        <f>M66/'PL Cronograma detallado'!M$238</f>
        <v>0.005343330167</v>
      </c>
      <c r="P66" s="419">
        <f t="shared" si="13"/>
        <v>3.032416203</v>
      </c>
      <c r="Q66" s="421">
        <f t="shared" si="2"/>
        <v>-0.72</v>
      </c>
      <c r="R66" s="421">
        <f t="shared" si="14"/>
        <v>-1585.14</v>
      </c>
      <c r="S66" s="422">
        <f t="shared" si="3"/>
        <v>-0.003555028885</v>
      </c>
      <c r="T66" s="207">
        <f t="shared" si="4"/>
        <v>-102.46</v>
      </c>
      <c r="U66" s="423">
        <f t="shared" si="15"/>
        <v>-4760.16</v>
      </c>
      <c r="V66" s="424">
        <f t="shared" si="5"/>
        <v>-0.3359454408</v>
      </c>
      <c r="W66" s="425">
        <f t="shared" si="6"/>
        <v>0.6640545592</v>
      </c>
      <c r="X66" s="425">
        <f t="shared" si="7"/>
        <v>0.1132927218</v>
      </c>
      <c r="Y66" s="426">
        <f>('PL Cronograma detallado'!M$238-I66)/('PL Cronograma detallado'!M$238-M66)</f>
        <v>1.001227894</v>
      </c>
      <c r="Z66" s="432"/>
      <c r="AA66" s="432"/>
      <c r="AB66" s="432"/>
      <c r="AC66" s="432"/>
    </row>
    <row r="67" ht="15.75" customHeight="1">
      <c r="A67" s="414" t="s">
        <v>537</v>
      </c>
      <c r="B67" s="415" t="s">
        <v>548</v>
      </c>
      <c r="C67" s="293">
        <v>46351.0</v>
      </c>
      <c r="D67" s="438"/>
      <c r="E67" s="417">
        <f>'PL Cronograma detallado'!$L207</f>
        <v>2.49</v>
      </c>
      <c r="F67" s="417">
        <f t="shared" si="8"/>
        <v>307.48</v>
      </c>
      <c r="G67" s="323">
        <f>E67/'PL Cronograma detallado'!M$238</f>
        <v>0.004223775275</v>
      </c>
      <c r="H67" s="323">
        <f t="shared" si="9"/>
        <v>0.5215768761</v>
      </c>
      <c r="I67" s="418">
        <f>'R Cronograma detallado'!AO95*'PL Cronograma detallado'!M$238</f>
        <v>3.08</v>
      </c>
      <c r="J67" s="418">
        <f t="shared" si="10"/>
        <v>205.61</v>
      </c>
      <c r="K67" s="226">
        <f>I67/'PL Cronograma detallado'!M$238</f>
        <v>0.005224589497</v>
      </c>
      <c r="L67" s="226">
        <f t="shared" si="11"/>
        <v>0.3487752748</v>
      </c>
      <c r="M67" s="419">
        <f>'R Cronograma detallado'!L95</f>
        <v>7.04</v>
      </c>
      <c r="N67" s="419">
        <f t="shared" si="12"/>
        <v>1794.71</v>
      </c>
      <c r="O67" s="420">
        <f>M67/'PL Cronograma detallado'!M$238</f>
        <v>0.01194191885</v>
      </c>
      <c r="P67" s="419">
        <f t="shared" si="13"/>
        <v>3.044358122</v>
      </c>
      <c r="Q67" s="421">
        <f t="shared" si="2"/>
        <v>-3.96</v>
      </c>
      <c r="R67" s="421">
        <f t="shared" si="14"/>
        <v>-1589.1</v>
      </c>
      <c r="S67" s="422">
        <f t="shared" si="3"/>
        <v>-0.01925976363</v>
      </c>
      <c r="T67" s="207">
        <f t="shared" si="4"/>
        <v>-101.87</v>
      </c>
      <c r="U67" s="423">
        <f t="shared" si="15"/>
        <v>-4862.03</v>
      </c>
      <c r="V67" s="424">
        <f t="shared" si="5"/>
        <v>-0.3313061012</v>
      </c>
      <c r="W67" s="425">
        <f t="shared" si="6"/>
        <v>0.6686938988</v>
      </c>
      <c r="X67" s="425">
        <f t="shared" si="7"/>
        <v>0.11456447</v>
      </c>
      <c r="Y67" s="426">
        <f>('PL Cronograma detallado'!M$238-I67)/('PL Cronograma detallado'!M$238-M67)</f>
        <v>1.006798517</v>
      </c>
      <c r="Z67" s="432"/>
      <c r="AA67" s="432"/>
      <c r="AB67" s="432"/>
      <c r="AC67" s="432"/>
    </row>
    <row r="68" ht="15.75" customHeight="1">
      <c r="A68" s="414" t="s">
        <v>540</v>
      </c>
      <c r="B68" s="415" t="s">
        <v>555</v>
      </c>
      <c r="C68" s="293">
        <v>46352.0</v>
      </c>
      <c r="D68" s="438"/>
      <c r="E68" s="417">
        <f>'PL Cronograma detallado'!$L210</f>
        <v>7.28</v>
      </c>
      <c r="F68" s="417">
        <f t="shared" si="8"/>
        <v>314.76</v>
      </c>
      <c r="G68" s="323">
        <f>E68/'PL Cronograma detallado'!M$238</f>
        <v>0.01234902972</v>
      </c>
      <c r="H68" s="323">
        <f t="shared" si="9"/>
        <v>0.5339259058</v>
      </c>
      <c r="I68" s="418">
        <f>'R Cronograma detallado'!AO96*'PL Cronograma detallado'!M$238</f>
        <v>2.61</v>
      </c>
      <c r="J68" s="418">
        <f t="shared" si="10"/>
        <v>208.22</v>
      </c>
      <c r="K68" s="226">
        <f>I68/'PL Cronograma detallado'!M$238</f>
        <v>0.00442733071</v>
      </c>
      <c r="L68" s="226">
        <f t="shared" si="11"/>
        <v>0.3532026055</v>
      </c>
      <c r="M68" s="419">
        <f>'R Cronograma detallado'!L96</f>
        <v>5.01</v>
      </c>
      <c r="N68" s="419">
        <f t="shared" si="12"/>
        <v>1799.72</v>
      </c>
      <c r="O68" s="420">
        <f>M68/'PL Cronograma detallado'!M$238</f>
        <v>0.008498439408</v>
      </c>
      <c r="P68" s="419">
        <f t="shared" si="13"/>
        <v>3.052856561</v>
      </c>
      <c r="Q68" s="421">
        <f t="shared" si="2"/>
        <v>-2.4</v>
      </c>
      <c r="R68" s="421">
        <f t="shared" si="14"/>
        <v>-1591.5</v>
      </c>
      <c r="S68" s="422">
        <f t="shared" si="3"/>
        <v>-0.01152627029</v>
      </c>
      <c r="T68" s="207">
        <f t="shared" si="4"/>
        <v>-106.54</v>
      </c>
      <c r="U68" s="423">
        <f t="shared" si="15"/>
        <v>-4968.57</v>
      </c>
      <c r="V68" s="424">
        <f t="shared" si="5"/>
        <v>-0.3384801118</v>
      </c>
      <c r="W68" s="425">
        <f t="shared" si="6"/>
        <v>0.6615198882</v>
      </c>
      <c r="X68" s="425">
        <f t="shared" si="7"/>
        <v>0.1156957749</v>
      </c>
      <c r="Y68" s="426">
        <f>('PL Cronograma detallado'!M$238-I68)/('PL Cronograma detallado'!M$238-M68)</f>
        <v>1.004106003</v>
      </c>
      <c r="Z68" s="432"/>
      <c r="AA68" s="432"/>
      <c r="AB68" s="432"/>
      <c r="AC68" s="432"/>
    </row>
    <row r="69" ht="15.75" customHeight="1">
      <c r="A69" s="429" t="s">
        <v>281</v>
      </c>
      <c r="B69" s="430" t="s">
        <v>53</v>
      </c>
      <c r="C69" s="431">
        <v>46352.0</v>
      </c>
      <c r="D69" s="438"/>
      <c r="E69" s="417">
        <f>'PL Cronograma detallado'!$L212</f>
        <v>0</v>
      </c>
      <c r="F69" s="417">
        <f t="shared" si="8"/>
        <v>314.76</v>
      </c>
      <c r="G69" s="323">
        <f>E69/'PL Cronograma detallado'!M$238</f>
        <v>0</v>
      </c>
      <c r="H69" s="323">
        <f t="shared" si="9"/>
        <v>0.5339259058</v>
      </c>
      <c r="I69" s="418">
        <f>'R Cronograma detallado'!AO97*'PL Cronograma detallado'!M$238</f>
        <v>0</v>
      </c>
      <c r="J69" s="418">
        <f t="shared" si="10"/>
        <v>208.22</v>
      </c>
      <c r="K69" s="226">
        <f>I69/'PL Cronograma detallado'!M$238</f>
        <v>0</v>
      </c>
      <c r="L69" s="226">
        <f t="shared" si="11"/>
        <v>0.3532026055</v>
      </c>
      <c r="M69" s="419">
        <f>'R Cronograma detallado'!L97</f>
        <v>65.53</v>
      </c>
      <c r="N69" s="419">
        <f t="shared" si="12"/>
        <v>1865.25</v>
      </c>
      <c r="O69" s="420">
        <f>M69/'PL Cronograma detallado'!M$238</f>
        <v>0.1111582304</v>
      </c>
      <c r="P69" s="419">
        <f t="shared" si="13"/>
        <v>3.164014792</v>
      </c>
      <c r="Q69" s="421">
        <f t="shared" si="2"/>
        <v>-65.53</v>
      </c>
      <c r="R69" s="421">
        <f t="shared" si="14"/>
        <v>-1657.03</v>
      </c>
      <c r="S69" s="422">
        <f t="shared" si="3"/>
        <v>-0.3147152051</v>
      </c>
      <c r="T69" s="207">
        <f t="shared" si="4"/>
        <v>-106.54</v>
      </c>
      <c r="U69" s="423">
        <f t="shared" si="15"/>
        <v>-5075.11</v>
      </c>
      <c r="V69" s="424">
        <f t="shared" si="5"/>
        <v>-0.3384801118</v>
      </c>
      <c r="W69" s="425">
        <f t="shared" si="6"/>
        <v>0.6615198882</v>
      </c>
      <c r="X69" s="425">
        <f t="shared" si="7"/>
        <v>0.1116311486</v>
      </c>
      <c r="Y69" s="426">
        <f>('PL Cronograma detallado'!M$238-I69)/('PL Cronograma detallado'!M$238-M69)</f>
        <v>1.125059639</v>
      </c>
      <c r="Z69" s="432"/>
      <c r="AA69" s="432"/>
      <c r="AB69" s="432"/>
      <c r="AC69" s="432"/>
    </row>
    <row r="70" ht="15.75" customHeight="1">
      <c r="A70" s="414" t="s">
        <v>562</v>
      </c>
      <c r="B70" s="415" t="s">
        <v>741</v>
      </c>
      <c r="C70" s="293">
        <v>46354.0</v>
      </c>
      <c r="D70" s="438"/>
      <c r="E70" s="417">
        <f>'PL Cronograma detallado'!$L216</f>
        <v>1.93</v>
      </c>
      <c r="F70" s="417">
        <f t="shared" si="8"/>
        <v>316.69</v>
      </c>
      <c r="G70" s="323">
        <f>E70/'PL Cronograma detallado'!M$238</f>
        <v>0.003273849912</v>
      </c>
      <c r="H70" s="323">
        <f t="shared" si="9"/>
        <v>0.5371997557</v>
      </c>
      <c r="I70" s="418">
        <f>'R Cronograma detallado'!AO100*'PL Cronograma detallado'!M$238</f>
        <v>13.61</v>
      </c>
      <c r="J70" s="418">
        <f t="shared" si="10"/>
        <v>221.83</v>
      </c>
      <c r="K70" s="226">
        <f>I70/'PL Cronograma detallado'!M$238</f>
        <v>0.02308657891</v>
      </c>
      <c r="L70" s="226">
        <f t="shared" si="11"/>
        <v>0.3762891844</v>
      </c>
      <c r="M70" s="419">
        <f>'R Cronograma detallado'!L100</f>
        <v>30.53</v>
      </c>
      <c r="N70" s="419">
        <f t="shared" si="12"/>
        <v>1895.78</v>
      </c>
      <c r="O70" s="420">
        <f>M70/'PL Cronograma detallado'!M$238</f>
        <v>0.05178789524</v>
      </c>
      <c r="P70" s="419">
        <f t="shared" si="13"/>
        <v>3.215802687</v>
      </c>
      <c r="Q70" s="421">
        <f t="shared" si="2"/>
        <v>-16.92</v>
      </c>
      <c r="R70" s="421">
        <f t="shared" si="14"/>
        <v>-1673.95</v>
      </c>
      <c r="S70" s="422">
        <f t="shared" si="3"/>
        <v>-0.07627462471</v>
      </c>
      <c r="T70" s="207">
        <f t="shared" si="4"/>
        <v>-94.86</v>
      </c>
      <c r="U70" s="423">
        <f t="shared" si="15"/>
        <v>-5169.97</v>
      </c>
      <c r="V70" s="424">
        <f t="shared" si="5"/>
        <v>-0.2995358237</v>
      </c>
      <c r="W70" s="425">
        <f t="shared" si="6"/>
        <v>0.7004641763</v>
      </c>
      <c r="X70" s="425">
        <f t="shared" si="7"/>
        <v>0.1170125226</v>
      </c>
      <c r="Y70" s="426">
        <f>('PL Cronograma detallado'!M$238-I70)/('PL Cronograma detallado'!M$238-M70)</f>
        <v>1.030268878</v>
      </c>
      <c r="Z70" s="432"/>
      <c r="AA70" s="432"/>
      <c r="AB70" s="432"/>
      <c r="AC70" s="432"/>
    </row>
    <row r="71" ht="15.75" customHeight="1">
      <c r="A71" s="414" t="s">
        <v>564</v>
      </c>
      <c r="B71" s="415" t="s">
        <v>563</v>
      </c>
      <c r="C71" s="293">
        <v>46355.0</v>
      </c>
      <c r="D71" s="438"/>
      <c r="E71" s="417">
        <f>'PL Cronograma detallado'!$L215</f>
        <v>5.05</v>
      </c>
      <c r="F71" s="417">
        <f t="shared" si="8"/>
        <v>321.74</v>
      </c>
      <c r="G71" s="323">
        <f>E71/'PL Cronograma detallado'!M$238</f>
        <v>0.00856629122</v>
      </c>
      <c r="H71" s="323">
        <f t="shared" si="9"/>
        <v>0.545766047</v>
      </c>
      <c r="I71" s="418">
        <f>'R Cronograma detallado'!AO101*'PL Cronograma detallado'!M$238</f>
        <v>0.77</v>
      </c>
      <c r="J71" s="418">
        <f t="shared" si="10"/>
        <v>222.6</v>
      </c>
      <c r="K71" s="226">
        <f>I71/'PL Cronograma detallado'!M$238</f>
        <v>0.001306147374</v>
      </c>
      <c r="L71" s="226">
        <f t="shared" si="11"/>
        <v>0.3775953318</v>
      </c>
      <c r="M71" s="419">
        <f>'R Cronograma detallado'!L101</f>
        <v>1.76</v>
      </c>
      <c r="N71" s="419">
        <f t="shared" si="12"/>
        <v>1897.54</v>
      </c>
      <c r="O71" s="420">
        <f>M71/'PL Cronograma detallado'!M$238</f>
        <v>0.002985479712</v>
      </c>
      <c r="P71" s="419">
        <f t="shared" si="13"/>
        <v>3.218788167</v>
      </c>
      <c r="Q71" s="421">
        <f t="shared" si="2"/>
        <v>-0.99</v>
      </c>
      <c r="R71" s="421">
        <f t="shared" si="14"/>
        <v>-1674.94</v>
      </c>
      <c r="S71" s="422">
        <f t="shared" si="3"/>
        <v>-0.004447439353</v>
      </c>
      <c r="T71" s="207">
        <f t="shared" si="4"/>
        <v>-99.14</v>
      </c>
      <c r="U71" s="423">
        <f t="shared" si="15"/>
        <v>-5269.11</v>
      </c>
      <c r="V71" s="424">
        <f t="shared" si="5"/>
        <v>-0.308137005</v>
      </c>
      <c r="W71" s="425">
        <f t="shared" si="6"/>
        <v>0.691862995</v>
      </c>
      <c r="X71" s="425">
        <f t="shared" si="7"/>
        <v>0.11730978</v>
      </c>
      <c r="Y71" s="426">
        <f>('PL Cronograma detallado'!M$238-I71)/('PL Cronograma detallado'!M$238-M71)</f>
        <v>1.001684361</v>
      </c>
      <c r="Z71" s="432"/>
      <c r="AA71" s="432"/>
      <c r="AB71" s="432"/>
      <c r="AC71" s="432"/>
    </row>
    <row r="72" ht="15.75" customHeight="1">
      <c r="A72" s="414" t="s">
        <v>567</v>
      </c>
      <c r="B72" s="415" t="s">
        <v>568</v>
      </c>
      <c r="C72" s="293">
        <v>46358.0</v>
      </c>
      <c r="D72" s="438"/>
      <c r="E72" s="417">
        <f>'PL Cronograma detallado'!$L217</f>
        <v>3.43</v>
      </c>
      <c r="F72" s="417">
        <f t="shared" si="8"/>
        <v>325.17</v>
      </c>
      <c r="G72" s="323">
        <f>E72/'PL Cronograma detallado'!M$238</f>
        <v>0.005818292848</v>
      </c>
      <c r="H72" s="323">
        <f t="shared" si="9"/>
        <v>0.5515843398</v>
      </c>
      <c r="I72" s="418">
        <f>'R Cronograma detallado'!AO102*'PL Cronograma detallado'!M$238</f>
        <v>0</v>
      </c>
      <c r="J72" s="418">
        <f t="shared" si="10"/>
        <v>222.6</v>
      </c>
      <c r="K72" s="226">
        <f>I72/'PL Cronograma detallado'!M$238</f>
        <v>0</v>
      </c>
      <c r="L72" s="226">
        <f t="shared" si="11"/>
        <v>0.3775953318</v>
      </c>
      <c r="M72" s="419">
        <f>'R Cronograma detallado'!L102</f>
        <v>47.49</v>
      </c>
      <c r="N72" s="419">
        <f t="shared" si="12"/>
        <v>1945.03</v>
      </c>
      <c r="O72" s="420">
        <f>M72/'PL Cronograma detallado'!M$238</f>
        <v>0.08055706337</v>
      </c>
      <c r="P72" s="419">
        <f t="shared" si="13"/>
        <v>3.29934523</v>
      </c>
      <c r="Q72" s="421">
        <f t="shared" si="2"/>
        <v>-47.49</v>
      </c>
      <c r="R72" s="421">
        <f t="shared" si="14"/>
        <v>-1722.43</v>
      </c>
      <c r="S72" s="422">
        <f t="shared" si="3"/>
        <v>-0.2133423181</v>
      </c>
      <c r="T72" s="207">
        <f t="shared" si="4"/>
        <v>-102.57</v>
      </c>
      <c r="U72" s="423">
        <f t="shared" si="15"/>
        <v>-5371.68</v>
      </c>
      <c r="V72" s="424">
        <f t="shared" si="5"/>
        <v>-0.3154350032</v>
      </c>
      <c r="W72" s="425">
        <f t="shared" si="6"/>
        <v>0.6845649968</v>
      </c>
      <c r="X72" s="425">
        <f t="shared" si="7"/>
        <v>0.1144455355</v>
      </c>
      <c r="Y72" s="426">
        <f>('PL Cronograma detallado'!M$238-I72)/('PL Cronograma detallado'!M$238-M72)</f>
        <v>1.087615077</v>
      </c>
      <c r="Z72" s="432"/>
      <c r="AA72" s="432"/>
      <c r="AB72" s="432"/>
      <c r="AC72" s="432"/>
    </row>
    <row r="73" ht="15.75" customHeight="1">
      <c r="A73" s="414" t="s">
        <v>571</v>
      </c>
      <c r="B73" s="415" t="s">
        <v>742</v>
      </c>
      <c r="C73" s="293">
        <v>46360.0</v>
      </c>
      <c r="D73" s="438"/>
      <c r="E73" s="417">
        <f>'PL Cronograma detallado'!$L219</f>
        <v>4.41</v>
      </c>
      <c r="F73" s="417">
        <f t="shared" si="8"/>
        <v>329.58</v>
      </c>
      <c r="G73" s="323">
        <f>E73/'PL Cronograma detallado'!M$238</f>
        <v>0.007480662234</v>
      </c>
      <c r="H73" s="323">
        <f t="shared" si="9"/>
        <v>0.559065002</v>
      </c>
      <c r="I73" s="418">
        <f>'R Cronograma detallado'!AO104*'PL Cronograma detallado'!M$238</f>
        <v>1.6</v>
      </c>
      <c r="J73" s="418">
        <f t="shared" si="10"/>
        <v>224.2</v>
      </c>
      <c r="K73" s="226">
        <f>I73/'PL Cronograma detallado'!M$238</f>
        <v>0.002714072466</v>
      </c>
      <c r="L73" s="226">
        <f t="shared" si="11"/>
        <v>0.3803094043</v>
      </c>
      <c r="M73" s="419">
        <f>'R Cronograma detallado'!L104</f>
        <v>3.52</v>
      </c>
      <c r="N73" s="419">
        <f t="shared" si="12"/>
        <v>1948.55</v>
      </c>
      <c r="O73" s="420">
        <f>M73/'PL Cronograma detallado'!M$238</f>
        <v>0.005970959425</v>
      </c>
      <c r="P73" s="419">
        <f t="shared" si="13"/>
        <v>3.305316189</v>
      </c>
      <c r="Q73" s="421">
        <f t="shared" si="2"/>
        <v>-1.92</v>
      </c>
      <c r="R73" s="421">
        <f t="shared" si="14"/>
        <v>-1724.35</v>
      </c>
      <c r="S73" s="422">
        <f t="shared" si="3"/>
        <v>-0.008563782337</v>
      </c>
      <c r="T73" s="207">
        <f t="shared" si="4"/>
        <v>-105.38</v>
      </c>
      <c r="U73" s="423">
        <f t="shared" si="15"/>
        <v>-5477.06</v>
      </c>
      <c r="V73" s="424">
        <f t="shared" si="5"/>
        <v>-0.3197402755</v>
      </c>
      <c r="W73" s="425">
        <f t="shared" si="6"/>
        <v>0.6802597245</v>
      </c>
      <c r="X73" s="425">
        <f t="shared" si="7"/>
        <v>0.1150599163</v>
      </c>
      <c r="Y73" s="426">
        <f>('PL Cronograma detallado'!M$238-I73)/('PL Cronograma detallado'!M$238-M73)</f>
        <v>1.003276451</v>
      </c>
      <c r="Z73" s="432"/>
      <c r="AA73" s="432"/>
      <c r="AB73" s="432"/>
      <c r="AC73" s="432"/>
    </row>
    <row r="74" ht="15.75" customHeight="1">
      <c r="A74" s="414" t="s">
        <v>574</v>
      </c>
      <c r="B74" s="415" t="s">
        <v>743</v>
      </c>
      <c r="C74" s="293">
        <v>46361.0</v>
      </c>
      <c r="D74" s="438"/>
      <c r="E74" s="417">
        <f>'PL Cronograma detallado'!$L221</f>
        <v>1.49</v>
      </c>
      <c r="F74" s="417">
        <f t="shared" si="8"/>
        <v>331.07</v>
      </c>
      <c r="G74" s="323">
        <f>E74/'PL Cronograma detallado'!M$238</f>
        <v>0.002527479984</v>
      </c>
      <c r="H74" s="323">
        <f t="shared" si="9"/>
        <v>0.561592482</v>
      </c>
      <c r="I74" s="418">
        <f>'R Cronograma detallado'!AO105*'PL Cronograma detallado'!M$238</f>
        <v>9.75</v>
      </c>
      <c r="J74" s="418">
        <f t="shared" si="10"/>
        <v>233.95</v>
      </c>
      <c r="K74" s="226">
        <f>I74/'PL Cronograma detallado'!M$238</f>
        <v>0.01653887909</v>
      </c>
      <c r="L74" s="226">
        <f t="shared" si="11"/>
        <v>0.3968482833</v>
      </c>
      <c r="M74" s="419">
        <f>'R Cronograma detallado'!L105</f>
        <v>22.44</v>
      </c>
      <c r="N74" s="419">
        <f t="shared" si="12"/>
        <v>1970.99</v>
      </c>
      <c r="O74" s="420">
        <f>M74/'PL Cronograma detallado'!M$238</f>
        <v>0.03806486633</v>
      </c>
      <c r="P74" s="419">
        <f t="shared" si="13"/>
        <v>3.343381056</v>
      </c>
      <c r="Q74" s="421">
        <f t="shared" si="2"/>
        <v>-12.69</v>
      </c>
      <c r="R74" s="421">
        <f t="shared" si="14"/>
        <v>-1737.04</v>
      </c>
      <c r="S74" s="422">
        <f t="shared" si="3"/>
        <v>-0.05424235948</v>
      </c>
      <c r="T74" s="207">
        <f t="shared" si="4"/>
        <v>-97.12</v>
      </c>
      <c r="U74" s="423">
        <f t="shared" si="15"/>
        <v>-5574.18</v>
      </c>
      <c r="V74" s="424">
        <f t="shared" si="5"/>
        <v>-0.2933518591</v>
      </c>
      <c r="W74" s="425">
        <f t="shared" si="6"/>
        <v>0.7066481409</v>
      </c>
      <c r="X74" s="425">
        <f t="shared" si="7"/>
        <v>0.1186966956</v>
      </c>
      <c r="Y74" s="426">
        <f>('PL Cronograma detallado'!M$238-I74)/('PL Cronograma detallado'!M$238-M74)</f>
        <v>1.022377795</v>
      </c>
      <c r="Z74" s="432"/>
      <c r="AA74" s="432"/>
      <c r="AB74" s="432"/>
      <c r="AC74" s="432"/>
    </row>
    <row r="75" ht="15.75" customHeight="1">
      <c r="A75" s="414" t="s">
        <v>576</v>
      </c>
      <c r="B75" s="415" t="s">
        <v>744</v>
      </c>
      <c r="C75" s="293">
        <v>46362.0</v>
      </c>
      <c r="D75" s="438"/>
      <c r="E75" s="417">
        <f>'PL Cronograma detallado'!$L222</f>
        <v>3.65</v>
      </c>
      <c r="F75" s="417">
        <f t="shared" si="8"/>
        <v>334.72</v>
      </c>
      <c r="G75" s="323">
        <f>E75/'PL Cronograma detallado'!M$238</f>
        <v>0.006191477812</v>
      </c>
      <c r="H75" s="323">
        <f t="shared" si="9"/>
        <v>0.5677839598</v>
      </c>
      <c r="I75" s="418">
        <f>'R Cronograma detallado'!AO106*'PL Cronograma detallado'!M$238</f>
        <v>1.6</v>
      </c>
      <c r="J75" s="418">
        <f t="shared" si="10"/>
        <v>235.55</v>
      </c>
      <c r="K75" s="226">
        <f>I75/'PL Cronograma detallado'!M$238</f>
        <v>0.002714072466</v>
      </c>
      <c r="L75" s="226">
        <f t="shared" si="11"/>
        <v>0.3995623558</v>
      </c>
      <c r="M75" s="419">
        <f>'R Cronograma detallado'!L106</f>
        <v>3.52</v>
      </c>
      <c r="N75" s="419">
        <f t="shared" si="12"/>
        <v>1974.51</v>
      </c>
      <c r="O75" s="420">
        <f>M75/'PL Cronograma detallado'!M$238</f>
        <v>0.005970959425</v>
      </c>
      <c r="P75" s="419">
        <f t="shared" si="13"/>
        <v>3.349352015</v>
      </c>
      <c r="Q75" s="421">
        <f t="shared" si="2"/>
        <v>-1.92</v>
      </c>
      <c r="R75" s="421">
        <f t="shared" si="14"/>
        <v>-1738.96</v>
      </c>
      <c r="S75" s="422">
        <f t="shared" si="3"/>
        <v>-0.00815113564</v>
      </c>
      <c r="T75" s="207">
        <f t="shared" si="4"/>
        <v>-99.17</v>
      </c>
      <c r="U75" s="423">
        <f t="shared" si="15"/>
        <v>-5673.35</v>
      </c>
      <c r="V75" s="424">
        <f t="shared" si="5"/>
        <v>-0.2962774857</v>
      </c>
      <c r="W75" s="425">
        <f t="shared" si="6"/>
        <v>0.7037225143</v>
      </c>
      <c r="X75" s="425">
        <f t="shared" si="7"/>
        <v>0.1192954201</v>
      </c>
      <c r="Y75" s="426">
        <f>('PL Cronograma detallado'!M$238-I75)/('PL Cronograma detallado'!M$238-M75)</f>
        <v>1.003276451</v>
      </c>
      <c r="Z75" s="432"/>
      <c r="AA75" s="432"/>
      <c r="AB75" s="432"/>
      <c r="AC75" s="432"/>
    </row>
    <row r="76" ht="15.75" customHeight="1">
      <c r="A76" s="414" t="s">
        <v>583</v>
      </c>
      <c r="B76" s="415" t="s">
        <v>597</v>
      </c>
      <c r="C76" s="293">
        <v>46364.0</v>
      </c>
      <c r="D76" s="438"/>
      <c r="E76" s="417">
        <f>'PL Cronograma detallado'!$L230</f>
        <v>3.31</v>
      </c>
      <c r="F76" s="417">
        <f t="shared" si="8"/>
        <v>338.03</v>
      </c>
      <c r="G76" s="323">
        <f>E76/'PL Cronograma detallado'!M$238</f>
        <v>0.005614737413</v>
      </c>
      <c r="H76" s="323">
        <f t="shared" si="9"/>
        <v>0.5733986972</v>
      </c>
      <c r="I76" s="418">
        <f>'R Cronograma detallado'!AO108*'PL Cronograma detallado'!M$238</f>
        <v>2.43</v>
      </c>
      <c r="J76" s="418">
        <f t="shared" si="10"/>
        <v>237.98</v>
      </c>
      <c r="K76" s="226">
        <f>I76/'PL Cronograma detallado'!M$238</f>
        <v>0.004121997557</v>
      </c>
      <c r="L76" s="226">
        <f t="shared" si="11"/>
        <v>0.4036843534</v>
      </c>
      <c r="M76" s="419">
        <f>'R Cronograma detallado'!L108</f>
        <v>3.15</v>
      </c>
      <c r="N76" s="419">
        <f t="shared" si="12"/>
        <v>1977.66</v>
      </c>
      <c r="O76" s="420">
        <f>M76/'PL Cronograma detallado'!M$238</f>
        <v>0.005343330167</v>
      </c>
      <c r="P76" s="419">
        <f t="shared" si="13"/>
        <v>3.354695345</v>
      </c>
      <c r="Q76" s="421">
        <f t="shared" si="2"/>
        <v>-0.72</v>
      </c>
      <c r="R76" s="421">
        <f t="shared" si="14"/>
        <v>-1739.68</v>
      </c>
      <c r="S76" s="422">
        <f t="shared" si="3"/>
        <v>-0.003025464325</v>
      </c>
      <c r="T76" s="207">
        <f t="shared" si="4"/>
        <v>-100.05</v>
      </c>
      <c r="U76" s="423">
        <f t="shared" si="15"/>
        <v>-5773.4</v>
      </c>
      <c r="V76" s="424">
        <f t="shared" si="5"/>
        <v>-0.2959796468</v>
      </c>
      <c r="W76" s="425">
        <f t="shared" si="6"/>
        <v>0.7040203532</v>
      </c>
      <c r="X76" s="425">
        <f t="shared" si="7"/>
        <v>0.1203341323</v>
      </c>
      <c r="Y76" s="426">
        <f>('PL Cronograma detallado'!M$238-I76)/('PL Cronograma detallado'!M$238-M76)</f>
        <v>1.001227894</v>
      </c>
      <c r="Z76" s="432"/>
      <c r="AA76" s="432"/>
      <c r="AB76" s="432"/>
      <c r="AC76" s="432"/>
    </row>
    <row r="77" ht="15.75" customHeight="1">
      <c r="A77" s="414" t="s">
        <v>585</v>
      </c>
      <c r="B77" s="415" t="s">
        <v>600</v>
      </c>
      <c r="C77" s="293">
        <v>46365.0</v>
      </c>
      <c r="D77" s="438"/>
      <c r="E77" s="417">
        <f>'PL Cronograma detallado'!$L231</f>
        <v>2.49</v>
      </c>
      <c r="F77" s="417">
        <f t="shared" si="8"/>
        <v>340.52</v>
      </c>
      <c r="G77" s="323">
        <f>E77/'PL Cronograma detallado'!M$238</f>
        <v>0.004223775275</v>
      </c>
      <c r="H77" s="323">
        <f t="shared" si="9"/>
        <v>0.5776224725</v>
      </c>
      <c r="I77" s="418">
        <f>'R Cronograma detallado'!AO109*'PL Cronograma detallado'!M$238</f>
        <v>1.21</v>
      </c>
      <c r="J77" s="418">
        <f t="shared" si="10"/>
        <v>239.19</v>
      </c>
      <c r="K77" s="226">
        <f>I77/'PL Cronograma detallado'!M$238</f>
        <v>0.002052517302</v>
      </c>
      <c r="L77" s="226">
        <f t="shared" si="11"/>
        <v>0.4057368707</v>
      </c>
      <c r="M77" s="419">
        <f>'R Cronograma detallado'!L109</f>
        <v>1.93</v>
      </c>
      <c r="N77" s="419">
        <f t="shared" si="12"/>
        <v>1979.59</v>
      </c>
      <c r="O77" s="420">
        <f>M77/'PL Cronograma detallado'!M$238</f>
        <v>0.003273849912</v>
      </c>
      <c r="P77" s="419">
        <f t="shared" si="13"/>
        <v>3.357969195</v>
      </c>
      <c r="Q77" s="421">
        <f t="shared" si="2"/>
        <v>-0.72</v>
      </c>
      <c r="R77" s="421">
        <f t="shared" si="14"/>
        <v>-1740.4</v>
      </c>
      <c r="S77" s="422">
        <f t="shared" si="3"/>
        <v>-0.003010159288</v>
      </c>
      <c r="T77" s="207">
        <f t="shared" si="4"/>
        <v>-101.33</v>
      </c>
      <c r="U77" s="423">
        <f t="shared" si="15"/>
        <v>-5874.73</v>
      </c>
      <c r="V77" s="424">
        <f t="shared" si="5"/>
        <v>-0.2975742981</v>
      </c>
      <c r="W77" s="425">
        <f t="shared" si="6"/>
        <v>0.7024257019</v>
      </c>
      <c r="X77" s="425">
        <f t="shared" si="7"/>
        <v>0.1208280503</v>
      </c>
      <c r="Y77" s="426">
        <f>('PL Cronograma detallado'!M$238-I77)/('PL Cronograma detallado'!M$238-M77)</f>
        <v>1.001225344</v>
      </c>
      <c r="Z77" s="432"/>
      <c r="AA77" s="432"/>
      <c r="AB77" s="432"/>
      <c r="AC77" s="432"/>
    </row>
    <row r="78" ht="15.75" customHeight="1">
      <c r="A78" s="414" t="s">
        <v>596</v>
      </c>
      <c r="B78" s="415" t="s">
        <v>607</v>
      </c>
      <c r="C78" s="293">
        <v>46366.0</v>
      </c>
      <c r="D78" s="438"/>
      <c r="E78" s="417">
        <f>'PL Cronograma detallado'!$L234</f>
        <v>5.06</v>
      </c>
      <c r="F78" s="417">
        <f t="shared" si="8"/>
        <v>345.58</v>
      </c>
      <c r="G78" s="323">
        <f>E78/'PL Cronograma detallado'!M$238</f>
        <v>0.008583254173</v>
      </c>
      <c r="H78" s="323">
        <f t="shared" si="9"/>
        <v>0.5862057267</v>
      </c>
      <c r="I78" s="418">
        <f>'R Cronograma detallado'!AO111*'PL Cronograma detallado'!M$238</f>
        <v>1.36</v>
      </c>
      <c r="J78" s="418">
        <f t="shared" si="10"/>
        <v>240.55</v>
      </c>
      <c r="K78" s="226">
        <f>I78/'PL Cronograma detallado'!M$238</f>
        <v>0.002306961596</v>
      </c>
      <c r="L78" s="226">
        <f t="shared" si="11"/>
        <v>0.4080438323</v>
      </c>
      <c r="M78" s="419">
        <f>'R Cronograma detallado'!L111</f>
        <v>3.52</v>
      </c>
      <c r="N78" s="419">
        <f t="shared" si="12"/>
        <v>1983.11</v>
      </c>
      <c r="O78" s="420">
        <f>M78/'PL Cronograma detallado'!M$238</f>
        <v>0.005970959425</v>
      </c>
      <c r="P78" s="419">
        <f t="shared" si="13"/>
        <v>3.363940155</v>
      </c>
      <c r="Q78" s="421">
        <f t="shared" si="2"/>
        <v>-2.16</v>
      </c>
      <c r="R78" s="421">
        <f t="shared" si="14"/>
        <v>-1742.56</v>
      </c>
      <c r="S78" s="422">
        <f t="shared" si="3"/>
        <v>-0.008979422158</v>
      </c>
      <c r="T78" s="207">
        <f t="shared" si="4"/>
        <v>-105.03</v>
      </c>
      <c r="U78" s="423">
        <f t="shared" si="15"/>
        <v>-5979.76</v>
      </c>
      <c r="V78" s="424">
        <f t="shared" si="5"/>
        <v>-0.3039238382</v>
      </c>
      <c r="W78" s="425">
        <f t="shared" si="6"/>
        <v>0.6960761618</v>
      </c>
      <c r="X78" s="425">
        <f t="shared" si="7"/>
        <v>0.1212993732</v>
      </c>
      <c r="Y78" s="426">
        <f>('PL Cronograma detallado'!M$238-I78)/('PL Cronograma detallado'!M$238-M78)</f>
        <v>1.003686007</v>
      </c>
      <c r="Z78" s="432"/>
      <c r="AA78" s="432"/>
      <c r="AB78" s="432"/>
      <c r="AC78" s="432"/>
    </row>
    <row r="79" ht="15.75" customHeight="1">
      <c r="A79" s="414" t="s">
        <v>599</v>
      </c>
      <c r="B79" s="415" t="s">
        <v>614</v>
      </c>
      <c r="C79" s="293">
        <v>46367.0</v>
      </c>
      <c r="D79" s="438"/>
      <c r="E79" s="417">
        <f>'PL Cronograma detallado'!$L237</f>
        <v>5.72</v>
      </c>
      <c r="F79" s="417">
        <f t="shared" si="8"/>
        <v>351.3</v>
      </c>
      <c r="G79" s="323">
        <f>E79/'PL Cronograma detallado'!M$238</f>
        <v>0.009702809065</v>
      </c>
      <c r="H79" s="323">
        <f t="shared" si="9"/>
        <v>0.5959085358</v>
      </c>
      <c r="I79" s="418">
        <f>'R Cronograma detallado'!AO112*'PL Cronograma detallado'!M$238</f>
        <v>4.62</v>
      </c>
      <c r="J79" s="418">
        <f t="shared" si="10"/>
        <v>245.17</v>
      </c>
      <c r="K79" s="226">
        <f>I79/'PL Cronograma detallado'!M$238</f>
        <v>0.007836884245</v>
      </c>
      <c r="L79" s="226">
        <f t="shared" si="11"/>
        <v>0.4158807165</v>
      </c>
      <c r="M79" s="419">
        <f>'R Cronograma detallado'!L112</f>
        <v>10.56</v>
      </c>
      <c r="N79" s="419">
        <f t="shared" si="12"/>
        <v>1993.67</v>
      </c>
      <c r="O79" s="420">
        <f>M79/'PL Cronograma detallado'!M$238</f>
        <v>0.01791287827</v>
      </c>
      <c r="P79" s="419">
        <f t="shared" si="13"/>
        <v>3.381853033</v>
      </c>
      <c r="Q79" s="421">
        <f t="shared" si="2"/>
        <v>-5.94</v>
      </c>
      <c r="R79" s="421">
        <f t="shared" si="14"/>
        <v>-1748.5</v>
      </c>
      <c r="S79" s="422">
        <f t="shared" si="3"/>
        <v>-0.02422808663</v>
      </c>
      <c r="T79" s="207">
        <f t="shared" si="4"/>
        <v>-106.13</v>
      </c>
      <c r="U79" s="423">
        <f t="shared" si="15"/>
        <v>-6085.89</v>
      </c>
      <c r="V79" s="424">
        <f t="shared" si="5"/>
        <v>-0.3021064617</v>
      </c>
      <c r="W79" s="425">
        <f t="shared" si="6"/>
        <v>0.6978935383</v>
      </c>
      <c r="X79" s="425">
        <f t="shared" si="7"/>
        <v>0.1229742134</v>
      </c>
      <c r="Y79" s="426">
        <f>('PL Cronograma detallado'!M$238-I79)/('PL Cronograma detallado'!M$238-M79)</f>
        <v>1.010259776</v>
      </c>
      <c r="Z79" s="432"/>
      <c r="AA79" s="432"/>
      <c r="AB79" s="432"/>
      <c r="AC79" s="432"/>
    </row>
    <row r="80" ht="15.75" customHeight="1">
      <c r="A80" s="429" t="s">
        <v>283</v>
      </c>
      <c r="B80" s="430" t="s">
        <v>56</v>
      </c>
      <c r="C80" s="431">
        <v>46367.0</v>
      </c>
      <c r="D80" s="438"/>
      <c r="E80" s="417">
        <f>'PL Cronograma detallado'!$L238</f>
        <v>0</v>
      </c>
      <c r="F80" s="417">
        <f t="shared" si="8"/>
        <v>351.3</v>
      </c>
      <c r="G80" s="323">
        <f>E80/'PL Cronograma detallado'!M$238</f>
        <v>0</v>
      </c>
      <c r="H80" s="323">
        <f t="shared" si="9"/>
        <v>0.5959085358</v>
      </c>
      <c r="I80" s="418">
        <f>'R Cronograma detallado'!AO113*'PL Cronograma detallado'!M$238</f>
        <v>3</v>
      </c>
      <c r="J80" s="418">
        <f t="shared" si="10"/>
        <v>248.17</v>
      </c>
      <c r="K80" s="226">
        <f>I80/'PL Cronograma detallado'!M$238</f>
        <v>0.005088885873</v>
      </c>
      <c r="L80" s="226">
        <f t="shared" si="11"/>
        <v>0.4209696024</v>
      </c>
      <c r="M80" s="419">
        <f>'R Cronograma detallado'!L113</f>
        <v>6.6</v>
      </c>
      <c r="N80" s="419">
        <f t="shared" si="12"/>
        <v>2000.27</v>
      </c>
      <c r="O80" s="420">
        <f>M80/'PL Cronograma detallado'!M$238</f>
        <v>0.01119554892</v>
      </c>
      <c r="P80" s="419">
        <f t="shared" si="13"/>
        <v>3.393048582</v>
      </c>
      <c r="Q80" s="421">
        <f t="shared" si="2"/>
        <v>-3.6</v>
      </c>
      <c r="R80" s="421">
        <f t="shared" si="14"/>
        <v>-1752.1</v>
      </c>
      <c r="S80" s="422">
        <f t="shared" si="3"/>
        <v>-0.01450618528</v>
      </c>
      <c r="T80" s="207">
        <f t="shared" si="4"/>
        <v>-103.13</v>
      </c>
      <c r="U80" s="423">
        <f t="shared" si="15"/>
        <v>-6189.02</v>
      </c>
      <c r="V80" s="424">
        <f t="shared" si="5"/>
        <v>-0.2935667521</v>
      </c>
      <c r="W80" s="425">
        <f t="shared" si="6"/>
        <v>0.7064332479</v>
      </c>
      <c r="X80" s="425">
        <f t="shared" si="7"/>
        <v>0.1240682508</v>
      </c>
      <c r="Y80" s="426">
        <f>('PL Cronograma detallado'!M$238-I80)/('PL Cronograma detallado'!M$238-M80)</f>
        <v>1.006175805</v>
      </c>
      <c r="Z80" s="432"/>
      <c r="AA80" s="432"/>
      <c r="AB80" s="432"/>
      <c r="AC80" s="432"/>
    </row>
    <row r="81" ht="15.75" customHeight="1">
      <c r="A81" s="432"/>
      <c r="B81" s="432"/>
      <c r="C81" s="432"/>
      <c r="D81" s="438"/>
      <c r="E81" s="432"/>
      <c r="F81" s="432"/>
      <c r="G81" s="432"/>
      <c r="H81" s="432"/>
      <c r="I81" s="432"/>
      <c r="J81" s="432"/>
      <c r="K81" s="432"/>
      <c r="L81" s="432"/>
      <c r="M81" s="432"/>
      <c r="N81" s="432"/>
      <c r="O81" s="432"/>
      <c r="P81" s="432"/>
      <c r="Q81" s="432"/>
      <c r="R81" s="432"/>
      <c r="S81" s="432"/>
      <c r="T81" s="432"/>
      <c r="U81" s="432"/>
      <c r="V81" s="432"/>
      <c r="W81" s="432"/>
      <c r="X81" s="432"/>
      <c r="Y81" s="432"/>
      <c r="Z81" s="432"/>
      <c r="AA81" s="432"/>
      <c r="AB81" s="432"/>
      <c r="AC81" s="432"/>
    </row>
    <row r="82" ht="15.75" customHeight="1">
      <c r="A82" s="432"/>
      <c r="B82" s="432"/>
      <c r="C82" s="432"/>
      <c r="D82" s="438"/>
      <c r="E82" s="432"/>
      <c r="F82" s="432"/>
      <c r="G82" s="432"/>
      <c r="H82" s="432"/>
      <c r="I82" s="432"/>
      <c r="J82" s="432"/>
      <c r="K82" s="432"/>
      <c r="L82" s="432"/>
      <c r="M82" s="432"/>
      <c r="N82" s="432"/>
      <c r="O82" s="432"/>
      <c r="P82" s="432"/>
      <c r="Q82" s="432"/>
      <c r="R82" s="432"/>
      <c r="S82" s="432"/>
      <c r="T82" s="432"/>
      <c r="U82" s="432"/>
      <c r="V82" s="432"/>
      <c r="W82" s="432"/>
      <c r="X82" s="432"/>
      <c r="Y82" s="432"/>
      <c r="Z82" s="432"/>
      <c r="AA82" s="432"/>
      <c r="AB82" s="432"/>
      <c r="AC82" s="432"/>
    </row>
    <row r="83" ht="15.75" customHeight="1">
      <c r="A83" s="432"/>
      <c r="B83" s="432"/>
      <c r="C83" s="432"/>
      <c r="D83" s="438"/>
      <c r="E83" s="432"/>
      <c r="F83" s="432"/>
      <c r="G83" s="432"/>
      <c r="H83" s="432"/>
      <c r="I83" s="432"/>
      <c r="J83" s="432"/>
      <c r="K83" s="432"/>
      <c r="L83" s="432"/>
      <c r="M83" s="432"/>
      <c r="N83" s="432"/>
      <c r="O83" s="432"/>
      <c r="P83" s="432"/>
      <c r="Q83" s="432"/>
      <c r="R83" s="432"/>
      <c r="S83" s="432"/>
      <c r="T83" s="432"/>
      <c r="U83" s="432"/>
      <c r="V83" s="432"/>
      <c r="W83" s="432"/>
      <c r="X83" s="432"/>
      <c r="Y83" s="432"/>
      <c r="Z83" s="432"/>
      <c r="AA83" s="432"/>
      <c r="AB83" s="432"/>
      <c r="AC83" s="432"/>
    </row>
    <row r="84" ht="15.75" customHeight="1">
      <c r="A84" s="432"/>
      <c r="B84" s="432"/>
      <c r="C84" s="432"/>
      <c r="D84" s="438"/>
      <c r="E84" s="432"/>
      <c r="F84" s="432"/>
      <c r="G84" s="432"/>
      <c r="H84" s="432"/>
      <c r="I84" s="432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  <c r="V84" s="432"/>
      <c r="W84" s="432"/>
      <c r="X84" s="432"/>
      <c r="Y84" s="432"/>
      <c r="Z84" s="432"/>
      <c r="AA84" s="432"/>
      <c r="AB84" s="432"/>
      <c r="AC84" s="432"/>
    </row>
    <row r="85" ht="15.75" customHeight="1">
      <c r="A85" s="432"/>
      <c r="B85" s="432"/>
      <c r="C85" s="432"/>
      <c r="D85" s="438"/>
      <c r="E85" s="432"/>
      <c r="F85" s="432"/>
      <c r="G85" s="432"/>
      <c r="H85" s="432"/>
      <c r="I85" s="432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  <c r="V85" s="432"/>
      <c r="W85" s="432"/>
      <c r="X85" s="432"/>
      <c r="Y85" s="432"/>
      <c r="Z85" s="432"/>
      <c r="AA85" s="432"/>
      <c r="AB85" s="432"/>
      <c r="AC85" s="432"/>
    </row>
    <row r="86" ht="15.75" customHeight="1">
      <c r="A86" s="432"/>
      <c r="B86" s="432"/>
      <c r="C86" s="432"/>
      <c r="D86" s="438"/>
      <c r="E86" s="432"/>
      <c r="F86" s="432"/>
      <c r="G86" s="432"/>
      <c r="H86" s="432"/>
      <c r="I86" s="432"/>
      <c r="J86" s="432"/>
      <c r="K86" s="432"/>
      <c r="L86" s="432"/>
      <c r="M86" s="432"/>
      <c r="N86" s="432"/>
      <c r="O86" s="432"/>
      <c r="P86" s="432"/>
      <c r="Q86" s="432"/>
      <c r="R86" s="432"/>
      <c r="S86" s="432"/>
      <c r="T86" s="432"/>
      <c r="U86" s="432"/>
      <c r="V86" s="432"/>
      <c r="W86" s="432"/>
      <c r="X86" s="432"/>
      <c r="Y86" s="432"/>
      <c r="Z86" s="432"/>
      <c r="AA86" s="432"/>
      <c r="AB86" s="432"/>
      <c r="AC86" s="432"/>
    </row>
    <row r="87" ht="15.75" customHeight="1">
      <c r="A87" s="432"/>
      <c r="B87" s="432"/>
      <c r="C87" s="432"/>
      <c r="D87" s="438"/>
      <c r="E87" s="432"/>
      <c r="F87" s="432"/>
      <c r="G87" s="432"/>
      <c r="H87" s="432"/>
      <c r="I87" s="432"/>
      <c r="J87" s="432"/>
      <c r="K87" s="432"/>
      <c r="L87" s="432"/>
      <c r="M87" s="432"/>
      <c r="N87" s="432"/>
      <c r="O87" s="432"/>
      <c r="P87" s="432"/>
      <c r="Q87" s="432"/>
      <c r="R87" s="432"/>
      <c r="S87" s="432"/>
      <c r="T87" s="432"/>
      <c r="U87" s="432"/>
      <c r="V87" s="432"/>
      <c r="W87" s="432"/>
      <c r="X87" s="432"/>
      <c r="Y87" s="432"/>
      <c r="Z87" s="432"/>
      <c r="AA87" s="432"/>
      <c r="AB87" s="432"/>
      <c r="AC87" s="432"/>
    </row>
    <row r="88" ht="15.75" customHeight="1">
      <c r="A88" s="432"/>
      <c r="B88" s="432"/>
      <c r="C88" s="432"/>
      <c r="D88" s="438"/>
      <c r="E88" s="432"/>
      <c r="F88" s="432"/>
      <c r="G88" s="432"/>
      <c r="H88" s="432"/>
      <c r="I88" s="432"/>
      <c r="J88" s="432"/>
      <c r="K88" s="432"/>
      <c r="L88" s="432"/>
      <c r="M88" s="432"/>
      <c r="N88" s="432"/>
      <c r="O88" s="432"/>
      <c r="P88" s="432"/>
      <c r="Q88" s="432"/>
      <c r="R88" s="432"/>
      <c r="S88" s="432"/>
      <c r="T88" s="432"/>
      <c r="U88" s="432"/>
      <c r="V88" s="432"/>
      <c r="W88" s="432"/>
      <c r="X88" s="432"/>
      <c r="Y88" s="432"/>
      <c r="Z88" s="432"/>
      <c r="AA88" s="432"/>
      <c r="AB88" s="432"/>
      <c r="AC88" s="432"/>
    </row>
    <row r="89" ht="15.75" customHeight="1">
      <c r="A89" s="432"/>
      <c r="B89" s="432"/>
      <c r="C89" s="432"/>
      <c r="D89" s="438"/>
      <c r="E89" s="432"/>
      <c r="F89" s="432"/>
      <c r="G89" s="432"/>
      <c r="H89" s="432"/>
      <c r="I89" s="432"/>
      <c r="J89" s="432"/>
      <c r="K89" s="432"/>
      <c r="L89" s="432"/>
      <c r="M89" s="432"/>
      <c r="N89" s="432"/>
      <c r="O89" s="432"/>
      <c r="P89" s="432"/>
      <c r="Q89" s="432"/>
      <c r="R89" s="432"/>
      <c r="S89" s="432"/>
      <c r="T89" s="432"/>
      <c r="U89" s="432"/>
      <c r="V89" s="432"/>
      <c r="W89" s="432"/>
      <c r="X89" s="432"/>
      <c r="Y89" s="432"/>
      <c r="Z89" s="432"/>
      <c r="AA89" s="432"/>
      <c r="AB89" s="432"/>
      <c r="AC89" s="432"/>
    </row>
    <row r="90" ht="15.75" customHeight="1">
      <c r="A90" s="432"/>
      <c r="B90" s="432"/>
      <c r="C90" s="432"/>
      <c r="D90" s="438"/>
      <c r="E90" s="432"/>
      <c r="F90" s="432"/>
      <c r="G90" s="432"/>
      <c r="H90" s="432"/>
      <c r="I90" s="432"/>
      <c r="J90" s="432"/>
      <c r="K90" s="432"/>
      <c r="L90" s="432"/>
      <c r="M90" s="432"/>
      <c r="N90" s="432"/>
      <c r="O90" s="432"/>
      <c r="P90" s="432"/>
      <c r="Q90" s="432"/>
      <c r="R90" s="432"/>
      <c r="S90" s="432"/>
      <c r="T90" s="432"/>
      <c r="U90" s="432"/>
      <c r="V90" s="432"/>
      <c r="W90" s="432"/>
      <c r="X90" s="432"/>
      <c r="Y90" s="432"/>
      <c r="Z90" s="432"/>
      <c r="AA90" s="432"/>
      <c r="AB90" s="432"/>
      <c r="AC90" s="432"/>
    </row>
    <row r="91" ht="15.75" customHeight="1">
      <c r="A91" s="432"/>
      <c r="B91" s="432"/>
      <c r="C91" s="432"/>
      <c r="D91" s="438"/>
      <c r="E91" s="432"/>
      <c r="F91" s="432"/>
      <c r="G91" s="432"/>
      <c r="H91" s="432"/>
      <c r="I91" s="432"/>
      <c r="J91" s="432"/>
      <c r="K91" s="432"/>
      <c r="L91" s="432"/>
      <c r="M91" s="432"/>
      <c r="N91" s="432"/>
      <c r="O91" s="432"/>
      <c r="P91" s="432"/>
      <c r="Q91" s="432"/>
      <c r="R91" s="432"/>
      <c r="S91" s="432"/>
      <c r="T91" s="432"/>
      <c r="U91" s="432"/>
      <c r="V91" s="432"/>
      <c r="W91" s="432"/>
      <c r="X91" s="432"/>
      <c r="Y91" s="432"/>
      <c r="Z91" s="432"/>
      <c r="AA91" s="432"/>
      <c r="AB91" s="432"/>
      <c r="AC91" s="432"/>
    </row>
    <row r="92" ht="15.75" customHeight="1">
      <c r="A92" s="432"/>
      <c r="B92" s="432"/>
      <c r="C92" s="432"/>
      <c r="D92" s="438"/>
      <c r="E92" s="432"/>
      <c r="F92" s="432"/>
      <c r="G92" s="432"/>
      <c r="H92" s="432"/>
      <c r="I92" s="432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  <c r="V92" s="432"/>
      <c r="W92" s="432"/>
      <c r="X92" s="432"/>
      <c r="Y92" s="432"/>
      <c r="Z92" s="432"/>
      <c r="AA92" s="432"/>
      <c r="AB92" s="432"/>
      <c r="AC92" s="432"/>
    </row>
    <row r="93" ht="15.75" customHeight="1">
      <c r="A93" s="432"/>
      <c r="B93" s="432"/>
      <c r="C93" s="432"/>
      <c r="D93" s="438"/>
      <c r="E93" s="432"/>
      <c r="F93" s="432"/>
      <c r="G93" s="432"/>
      <c r="H93" s="432"/>
      <c r="I93" s="432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  <c r="V93" s="432"/>
      <c r="W93" s="432"/>
      <c r="X93" s="432"/>
      <c r="Y93" s="432"/>
      <c r="Z93" s="432"/>
      <c r="AA93" s="432"/>
      <c r="AB93" s="432"/>
      <c r="AC93" s="432"/>
    </row>
    <row r="94" ht="15.75" customHeight="1">
      <c r="A94" s="432"/>
      <c r="B94" s="432"/>
      <c r="C94" s="432"/>
      <c r="D94" s="438"/>
      <c r="E94" s="432"/>
      <c r="F94" s="432"/>
      <c r="G94" s="432"/>
      <c r="H94" s="432"/>
      <c r="I94" s="432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  <c r="V94" s="432"/>
      <c r="W94" s="432"/>
      <c r="X94" s="432"/>
      <c r="Y94" s="432"/>
      <c r="Z94" s="432"/>
      <c r="AA94" s="432"/>
      <c r="AB94" s="432"/>
      <c r="AC94" s="432"/>
    </row>
    <row r="95" ht="15.75" customHeight="1">
      <c r="A95" s="432"/>
      <c r="B95" s="432"/>
      <c r="C95" s="432"/>
      <c r="D95" s="438"/>
      <c r="E95" s="432"/>
      <c r="F95" s="432"/>
      <c r="G95" s="432"/>
      <c r="H95" s="432"/>
      <c r="I95" s="432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2"/>
      <c r="AA95" s="432"/>
      <c r="AB95" s="432"/>
      <c r="AC95" s="432"/>
    </row>
    <row r="96" ht="15.75" customHeight="1">
      <c r="A96" s="432"/>
      <c r="B96" s="432"/>
      <c r="C96" s="432"/>
      <c r="D96" s="438"/>
      <c r="E96" s="432"/>
      <c r="F96" s="432"/>
      <c r="G96" s="432"/>
      <c r="H96" s="432"/>
      <c r="I96" s="432"/>
      <c r="J96" s="432"/>
      <c r="K96" s="432"/>
      <c r="L96" s="432"/>
      <c r="M96" s="432"/>
      <c r="N96" s="432"/>
      <c r="O96" s="432"/>
      <c r="P96" s="432"/>
      <c r="Q96" s="432"/>
      <c r="R96" s="432"/>
      <c r="S96" s="432"/>
      <c r="T96" s="432"/>
      <c r="U96" s="432"/>
      <c r="V96" s="432"/>
      <c r="W96" s="432"/>
      <c r="X96" s="432"/>
      <c r="Y96" s="432"/>
      <c r="Z96" s="432"/>
      <c r="AA96" s="432"/>
      <c r="AB96" s="432"/>
      <c r="AC96" s="432"/>
    </row>
    <row r="97" ht="15.75" customHeight="1">
      <c r="A97" s="432"/>
      <c r="B97" s="432"/>
      <c r="C97" s="432"/>
      <c r="D97" s="438"/>
      <c r="E97" s="432"/>
      <c r="F97" s="432"/>
      <c r="G97" s="432"/>
      <c r="H97" s="432"/>
      <c r="I97" s="432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2"/>
      <c r="AA97" s="432"/>
      <c r="AB97" s="432"/>
      <c r="AC97" s="432"/>
    </row>
    <row r="98" ht="15.75" customHeight="1">
      <c r="A98" s="432"/>
      <c r="B98" s="432"/>
      <c r="C98" s="432"/>
      <c r="D98" s="438"/>
      <c r="E98" s="432"/>
      <c r="F98" s="432"/>
      <c r="G98" s="432"/>
      <c r="H98" s="432"/>
      <c r="I98" s="432"/>
      <c r="J98" s="432"/>
      <c r="K98" s="432"/>
      <c r="L98" s="432"/>
      <c r="M98" s="432"/>
      <c r="N98" s="432"/>
      <c r="O98" s="432"/>
      <c r="P98" s="432"/>
      <c r="Q98" s="432"/>
      <c r="R98" s="432"/>
      <c r="S98" s="432"/>
      <c r="T98" s="432"/>
      <c r="U98" s="432"/>
      <c r="V98" s="432"/>
      <c r="W98" s="432"/>
      <c r="X98" s="432"/>
      <c r="Y98" s="432"/>
      <c r="Z98" s="432"/>
      <c r="AA98" s="432"/>
      <c r="AB98" s="432"/>
      <c r="AC98" s="432"/>
    </row>
    <row r="99" ht="15.75" customHeight="1">
      <c r="A99" s="432"/>
      <c r="B99" s="432"/>
      <c r="C99" s="432"/>
      <c r="D99" s="438"/>
      <c r="E99" s="432"/>
      <c r="F99" s="432"/>
      <c r="G99" s="432"/>
      <c r="H99" s="432"/>
      <c r="I99" s="432"/>
      <c r="J99" s="432"/>
      <c r="K99" s="432"/>
      <c r="L99" s="432"/>
      <c r="M99" s="432"/>
      <c r="N99" s="432"/>
      <c r="O99" s="432"/>
      <c r="P99" s="432"/>
      <c r="Q99" s="432"/>
      <c r="R99" s="432"/>
      <c r="S99" s="432"/>
      <c r="T99" s="432"/>
      <c r="U99" s="432"/>
      <c r="V99" s="432"/>
      <c r="W99" s="432"/>
      <c r="X99" s="432"/>
      <c r="Y99" s="432"/>
      <c r="Z99" s="432"/>
      <c r="AA99" s="432"/>
      <c r="AB99" s="432"/>
      <c r="AC99" s="432"/>
    </row>
    <row r="100" ht="15.75" customHeight="1">
      <c r="A100" s="432"/>
      <c r="B100" s="432"/>
      <c r="C100" s="432"/>
      <c r="D100" s="438"/>
      <c r="E100" s="432"/>
      <c r="F100" s="432"/>
      <c r="G100" s="432"/>
      <c r="H100" s="432"/>
      <c r="I100" s="432"/>
      <c r="J100" s="432"/>
      <c r="K100" s="432"/>
      <c r="L100" s="432"/>
      <c r="M100" s="432"/>
      <c r="N100" s="432"/>
      <c r="O100" s="432"/>
      <c r="P100" s="432"/>
      <c r="Q100" s="432"/>
      <c r="R100" s="432"/>
      <c r="S100" s="432"/>
      <c r="T100" s="432"/>
      <c r="U100" s="432"/>
      <c r="V100" s="432"/>
      <c r="W100" s="432"/>
      <c r="X100" s="432"/>
      <c r="Y100" s="432"/>
      <c r="Z100" s="432"/>
      <c r="AA100" s="432"/>
      <c r="AB100" s="432"/>
      <c r="AC100" s="432"/>
    </row>
    <row r="101" ht="15.75" customHeight="1">
      <c r="A101" s="432"/>
      <c r="B101" s="432"/>
      <c r="C101" s="432"/>
      <c r="D101" s="438"/>
      <c r="E101" s="432"/>
      <c r="F101" s="432"/>
      <c r="G101" s="432"/>
      <c r="H101" s="432"/>
      <c r="I101" s="432"/>
      <c r="J101" s="432"/>
      <c r="K101" s="432"/>
      <c r="L101" s="432"/>
      <c r="M101" s="432"/>
      <c r="N101" s="432"/>
      <c r="O101" s="432"/>
      <c r="P101" s="432"/>
      <c r="Q101" s="432"/>
      <c r="R101" s="432"/>
      <c r="S101" s="432"/>
      <c r="T101" s="432"/>
      <c r="U101" s="432"/>
      <c r="V101" s="432"/>
      <c r="W101" s="432"/>
      <c r="X101" s="432"/>
      <c r="Y101" s="432"/>
      <c r="Z101" s="432"/>
      <c r="AA101" s="432"/>
      <c r="AB101" s="432"/>
      <c r="AC101" s="432"/>
    </row>
    <row r="102" ht="15.75" customHeight="1">
      <c r="A102" s="432"/>
      <c r="B102" s="432"/>
      <c r="C102" s="432"/>
      <c r="D102" s="438"/>
      <c r="E102" s="432"/>
      <c r="F102" s="432"/>
      <c r="G102" s="432"/>
      <c r="H102" s="432"/>
      <c r="I102" s="432"/>
      <c r="J102" s="432"/>
      <c r="K102" s="432"/>
      <c r="L102" s="432"/>
      <c r="M102" s="432"/>
      <c r="N102" s="432"/>
      <c r="O102" s="432"/>
      <c r="P102" s="432"/>
      <c r="Q102" s="432"/>
      <c r="R102" s="432"/>
      <c r="S102" s="432"/>
      <c r="T102" s="432"/>
      <c r="U102" s="432"/>
      <c r="V102" s="432"/>
      <c r="W102" s="432"/>
      <c r="X102" s="432"/>
      <c r="Y102" s="432"/>
      <c r="Z102" s="432"/>
      <c r="AA102" s="432"/>
      <c r="AB102" s="432"/>
      <c r="AC102" s="432"/>
    </row>
    <row r="103" ht="15.75" customHeight="1">
      <c r="A103" s="432"/>
      <c r="B103" s="432"/>
      <c r="C103" s="432"/>
      <c r="D103" s="438"/>
      <c r="E103" s="432"/>
      <c r="F103" s="432"/>
      <c r="G103" s="432"/>
      <c r="H103" s="432"/>
      <c r="I103" s="432"/>
      <c r="J103" s="432"/>
      <c r="K103" s="432"/>
      <c r="L103" s="432"/>
      <c r="M103" s="432"/>
      <c r="N103" s="432"/>
      <c r="O103" s="432"/>
      <c r="P103" s="432"/>
      <c r="Q103" s="432"/>
      <c r="R103" s="432"/>
      <c r="S103" s="432"/>
      <c r="T103" s="432"/>
      <c r="U103" s="432"/>
      <c r="V103" s="432"/>
      <c r="W103" s="432"/>
      <c r="X103" s="432"/>
      <c r="Y103" s="432"/>
      <c r="Z103" s="432"/>
      <c r="AA103" s="432"/>
      <c r="AB103" s="432"/>
      <c r="AC103" s="432"/>
    </row>
    <row r="104" ht="15.75" customHeight="1">
      <c r="A104" s="432"/>
      <c r="B104" s="432"/>
      <c r="C104" s="432"/>
      <c r="D104" s="438"/>
      <c r="E104" s="432"/>
      <c r="F104" s="432"/>
      <c r="G104" s="432"/>
      <c r="H104" s="432"/>
      <c r="I104" s="432"/>
      <c r="J104" s="432"/>
      <c r="K104" s="432"/>
      <c r="L104" s="432"/>
      <c r="M104" s="432"/>
      <c r="N104" s="432"/>
      <c r="O104" s="432"/>
      <c r="P104" s="432"/>
      <c r="Q104" s="432"/>
      <c r="R104" s="432"/>
      <c r="S104" s="432"/>
      <c r="T104" s="432"/>
      <c r="U104" s="432"/>
      <c r="V104" s="432"/>
      <c r="W104" s="432"/>
      <c r="X104" s="432"/>
      <c r="Y104" s="432"/>
      <c r="Z104" s="432"/>
      <c r="AA104" s="432"/>
      <c r="AB104" s="432"/>
      <c r="AC104" s="432"/>
    </row>
    <row r="105" ht="15.75" customHeight="1">
      <c r="A105" s="432"/>
      <c r="B105" s="432"/>
      <c r="C105" s="432"/>
      <c r="D105" s="438"/>
      <c r="E105" s="432"/>
      <c r="F105" s="432"/>
      <c r="G105" s="432"/>
      <c r="H105" s="432"/>
      <c r="I105" s="432"/>
      <c r="J105" s="432"/>
      <c r="K105" s="432"/>
      <c r="L105" s="432"/>
      <c r="M105" s="432"/>
      <c r="N105" s="432"/>
      <c r="O105" s="432"/>
      <c r="P105" s="432"/>
      <c r="Q105" s="432"/>
      <c r="R105" s="432"/>
      <c r="S105" s="432"/>
      <c r="T105" s="432"/>
      <c r="U105" s="432"/>
      <c r="V105" s="432"/>
      <c r="W105" s="432"/>
      <c r="X105" s="432"/>
      <c r="Y105" s="432"/>
      <c r="Z105" s="432"/>
      <c r="AA105" s="432"/>
      <c r="AB105" s="432"/>
      <c r="AC105" s="432"/>
    </row>
    <row r="106" ht="15.75" customHeight="1">
      <c r="A106" s="432"/>
      <c r="B106" s="432"/>
      <c r="C106" s="432"/>
      <c r="D106" s="438"/>
      <c r="E106" s="432"/>
      <c r="F106" s="432"/>
      <c r="G106" s="432"/>
      <c r="H106" s="432"/>
      <c r="I106" s="432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  <c r="V106" s="432"/>
      <c r="W106" s="432"/>
      <c r="X106" s="432"/>
      <c r="Y106" s="432"/>
      <c r="Z106" s="432"/>
      <c r="AA106" s="432"/>
      <c r="AB106" s="432"/>
      <c r="AC106" s="432"/>
    </row>
    <row r="107" ht="15.75" customHeight="1">
      <c r="A107" s="432"/>
      <c r="B107" s="432"/>
      <c r="C107" s="432"/>
      <c r="D107" s="438"/>
      <c r="E107" s="432"/>
      <c r="F107" s="432"/>
      <c r="G107" s="432"/>
      <c r="H107" s="432"/>
      <c r="I107" s="432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  <c r="U107" s="432"/>
      <c r="V107" s="432"/>
      <c r="W107" s="432"/>
      <c r="X107" s="432"/>
      <c r="Y107" s="432"/>
      <c r="Z107" s="432"/>
      <c r="AA107" s="432"/>
      <c r="AB107" s="432"/>
      <c r="AC107" s="432"/>
    </row>
    <row r="108" ht="15.75" customHeight="1">
      <c r="A108" s="432"/>
      <c r="B108" s="432"/>
      <c r="C108" s="432"/>
      <c r="D108" s="438"/>
      <c r="E108" s="432"/>
      <c r="F108" s="432"/>
      <c r="G108" s="432"/>
      <c r="H108" s="432"/>
      <c r="I108" s="432"/>
      <c r="J108" s="432"/>
      <c r="K108" s="432"/>
      <c r="L108" s="432"/>
      <c r="M108" s="432"/>
      <c r="N108" s="432"/>
      <c r="O108" s="432"/>
      <c r="P108" s="432"/>
      <c r="Q108" s="432"/>
      <c r="R108" s="432"/>
      <c r="S108" s="432"/>
      <c r="T108" s="432"/>
      <c r="U108" s="432"/>
      <c r="V108" s="432"/>
      <c r="W108" s="432"/>
      <c r="X108" s="432"/>
      <c r="Y108" s="432"/>
      <c r="Z108" s="432"/>
      <c r="AA108" s="432"/>
      <c r="AB108" s="432"/>
      <c r="AC108" s="432"/>
    </row>
    <row r="109" ht="15.75" customHeight="1">
      <c r="A109" s="432"/>
      <c r="B109" s="432"/>
      <c r="C109" s="432"/>
      <c r="D109" s="438"/>
      <c r="E109" s="432"/>
      <c r="F109" s="432"/>
      <c r="G109" s="432"/>
      <c r="H109" s="432"/>
      <c r="I109" s="432"/>
      <c r="J109" s="432"/>
      <c r="K109" s="432"/>
      <c r="L109" s="432"/>
      <c r="M109" s="432"/>
      <c r="N109" s="432"/>
      <c r="O109" s="432"/>
      <c r="P109" s="432"/>
      <c r="Q109" s="432"/>
      <c r="R109" s="432"/>
      <c r="S109" s="432"/>
      <c r="T109" s="432"/>
      <c r="U109" s="432"/>
      <c r="V109" s="432"/>
      <c r="W109" s="432"/>
      <c r="X109" s="432"/>
      <c r="Y109" s="432"/>
      <c r="Z109" s="432"/>
      <c r="AA109" s="432"/>
      <c r="AB109" s="432"/>
      <c r="AC109" s="432"/>
    </row>
    <row r="110" ht="15.75" customHeight="1">
      <c r="A110" s="432"/>
      <c r="B110" s="432"/>
      <c r="C110" s="432"/>
      <c r="D110" s="438"/>
      <c r="E110" s="432"/>
      <c r="F110" s="432"/>
      <c r="G110" s="432"/>
      <c r="H110" s="432"/>
      <c r="I110" s="432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  <c r="V110" s="432"/>
      <c r="W110" s="432"/>
      <c r="X110" s="432"/>
      <c r="Y110" s="432"/>
      <c r="Z110" s="432"/>
      <c r="AA110" s="432"/>
      <c r="AB110" s="432"/>
      <c r="AC110" s="432"/>
    </row>
    <row r="111" ht="15.75" customHeight="1">
      <c r="A111" s="432"/>
      <c r="B111" s="432"/>
      <c r="C111" s="432"/>
      <c r="D111" s="438"/>
      <c r="E111" s="432"/>
      <c r="F111" s="432"/>
      <c r="G111" s="432"/>
      <c r="H111" s="432"/>
      <c r="I111" s="432"/>
      <c r="J111" s="432"/>
      <c r="K111" s="432"/>
      <c r="L111" s="432"/>
      <c r="M111" s="432"/>
      <c r="N111" s="432"/>
      <c r="O111" s="432"/>
      <c r="P111" s="432"/>
      <c r="Q111" s="432"/>
      <c r="R111" s="432"/>
      <c r="S111" s="432"/>
      <c r="T111" s="432"/>
      <c r="U111" s="432"/>
      <c r="V111" s="432"/>
      <c r="W111" s="432"/>
      <c r="X111" s="432"/>
      <c r="Y111" s="432"/>
      <c r="Z111" s="432"/>
      <c r="AA111" s="432"/>
      <c r="AB111" s="432"/>
      <c r="AC111" s="432"/>
    </row>
    <row r="112" ht="15.75" customHeight="1">
      <c r="A112" s="432"/>
      <c r="B112" s="432"/>
      <c r="C112" s="432"/>
      <c r="D112" s="438"/>
      <c r="E112" s="432"/>
      <c r="F112" s="432"/>
      <c r="G112" s="432"/>
      <c r="H112" s="432"/>
      <c r="I112" s="432"/>
      <c r="J112" s="432"/>
      <c r="K112" s="432"/>
      <c r="L112" s="432"/>
      <c r="M112" s="432"/>
      <c r="N112" s="432"/>
      <c r="O112" s="432"/>
      <c r="P112" s="432"/>
      <c r="Q112" s="432"/>
      <c r="R112" s="432"/>
      <c r="S112" s="432"/>
      <c r="T112" s="432"/>
      <c r="U112" s="432"/>
      <c r="V112" s="432"/>
      <c r="W112" s="432"/>
      <c r="X112" s="432"/>
      <c r="Y112" s="432"/>
      <c r="Z112" s="432"/>
      <c r="AA112" s="432"/>
      <c r="AB112" s="432"/>
      <c r="AC112" s="432"/>
    </row>
    <row r="113" ht="15.75" customHeight="1">
      <c r="A113" s="432"/>
      <c r="B113" s="432"/>
      <c r="C113" s="432"/>
      <c r="D113" s="438"/>
      <c r="E113" s="432"/>
      <c r="F113" s="432"/>
      <c r="G113" s="432"/>
      <c r="H113" s="432"/>
      <c r="I113" s="432"/>
      <c r="J113" s="432"/>
      <c r="K113" s="432"/>
      <c r="L113" s="432"/>
      <c r="M113" s="432"/>
      <c r="N113" s="432"/>
      <c r="O113" s="432"/>
      <c r="P113" s="432"/>
      <c r="Q113" s="432"/>
      <c r="R113" s="432"/>
      <c r="S113" s="432"/>
      <c r="T113" s="432"/>
      <c r="U113" s="432"/>
      <c r="V113" s="432"/>
      <c r="W113" s="432"/>
      <c r="X113" s="432"/>
      <c r="Y113" s="432"/>
      <c r="Z113" s="432"/>
      <c r="AA113" s="432"/>
      <c r="AB113" s="432"/>
      <c r="AC113" s="432"/>
    </row>
    <row r="114" ht="15.75" customHeight="1">
      <c r="A114" s="432"/>
      <c r="B114" s="432"/>
      <c r="C114" s="432"/>
      <c r="D114" s="438"/>
      <c r="E114" s="432"/>
      <c r="F114" s="432"/>
      <c r="G114" s="432"/>
      <c r="H114" s="432"/>
      <c r="I114" s="432"/>
      <c r="J114" s="432"/>
      <c r="K114" s="432"/>
      <c r="L114" s="432"/>
      <c r="M114" s="432"/>
      <c r="N114" s="432"/>
      <c r="O114" s="432"/>
      <c r="P114" s="432"/>
      <c r="Q114" s="432"/>
      <c r="R114" s="432"/>
      <c r="S114" s="432"/>
      <c r="T114" s="432"/>
      <c r="U114" s="432"/>
      <c r="V114" s="432"/>
      <c r="W114" s="432"/>
      <c r="X114" s="432"/>
      <c r="Y114" s="432"/>
      <c r="Z114" s="432"/>
      <c r="AA114" s="432"/>
      <c r="AB114" s="432"/>
      <c r="AC114" s="432"/>
    </row>
    <row r="115" ht="15.75" customHeight="1">
      <c r="A115" s="432"/>
      <c r="B115" s="432"/>
      <c r="C115" s="432"/>
      <c r="D115" s="438"/>
      <c r="E115" s="432"/>
      <c r="F115" s="432"/>
      <c r="G115" s="432"/>
      <c r="H115" s="432"/>
      <c r="I115" s="432"/>
      <c r="J115" s="432"/>
      <c r="K115" s="432"/>
      <c r="L115" s="432"/>
      <c r="M115" s="432"/>
      <c r="N115" s="432"/>
      <c r="O115" s="432"/>
      <c r="P115" s="432"/>
      <c r="Q115" s="432"/>
      <c r="R115" s="432"/>
      <c r="S115" s="432"/>
      <c r="T115" s="432"/>
      <c r="U115" s="432"/>
      <c r="V115" s="432"/>
      <c r="W115" s="432"/>
      <c r="X115" s="432"/>
      <c r="Y115" s="432"/>
      <c r="Z115" s="432"/>
      <c r="AA115" s="432"/>
      <c r="AB115" s="432"/>
      <c r="AC115" s="432"/>
    </row>
    <row r="116" ht="15.75" customHeight="1">
      <c r="A116" s="432"/>
      <c r="B116" s="432"/>
      <c r="C116" s="432"/>
      <c r="D116" s="438"/>
      <c r="E116" s="432"/>
      <c r="F116" s="432"/>
      <c r="G116" s="432"/>
      <c r="H116" s="432"/>
      <c r="I116" s="432"/>
      <c r="J116" s="432"/>
      <c r="K116" s="432"/>
      <c r="L116" s="432"/>
      <c r="M116" s="432"/>
      <c r="N116" s="432"/>
      <c r="O116" s="432"/>
      <c r="P116" s="432"/>
      <c r="Q116" s="432"/>
      <c r="R116" s="432"/>
      <c r="S116" s="432"/>
      <c r="T116" s="432"/>
      <c r="U116" s="432"/>
      <c r="V116" s="432"/>
      <c r="W116" s="432"/>
      <c r="X116" s="432"/>
      <c r="Y116" s="432"/>
      <c r="Z116" s="432"/>
      <c r="AA116" s="432"/>
      <c r="AB116" s="432"/>
      <c r="AC116" s="432"/>
    </row>
    <row r="117" ht="15.75" customHeight="1">
      <c r="A117" s="432"/>
      <c r="B117" s="432"/>
      <c r="C117" s="432"/>
      <c r="D117" s="438"/>
      <c r="E117" s="432"/>
      <c r="F117" s="432"/>
      <c r="G117" s="432"/>
      <c r="H117" s="432"/>
      <c r="I117" s="432"/>
      <c r="J117" s="432"/>
      <c r="K117" s="432"/>
      <c r="L117" s="432"/>
      <c r="M117" s="432"/>
      <c r="N117" s="432"/>
      <c r="O117" s="432"/>
      <c r="P117" s="432"/>
      <c r="Q117" s="432"/>
      <c r="R117" s="432"/>
      <c r="S117" s="432"/>
      <c r="T117" s="432"/>
      <c r="U117" s="432"/>
      <c r="V117" s="432"/>
      <c r="W117" s="432"/>
      <c r="X117" s="432"/>
      <c r="Y117" s="432"/>
      <c r="Z117" s="432"/>
      <c r="AA117" s="432"/>
      <c r="AB117" s="432"/>
      <c r="AC117" s="432"/>
    </row>
    <row r="118" ht="15.75" customHeight="1">
      <c r="A118" s="432"/>
      <c r="B118" s="432"/>
      <c r="C118" s="432"/>
      <c r="D118" s="438"/>
      <c r="E118" s="432"/>
      <c r="F118" s="432"/>
      <c r="G118" s="432"/>
      <c r="H118" s="432"/>
      <c r="I118" s="432"/>
      <c r="J118" s="432"/>
      <c r="K118" s="432"/>
      <c r="L118" s="432"/>
      <c r="M118" s="432"/>
      <c r="N118" s="432"/>
      <c r="O118" s="432"/>
      <c r="P118" s="432"/>
      <c r="Q118" s="432"/>
      <c r="R118" s="432"/>
      <c r="S118" s="432"/>
      <c r="T118" s="432"/>
      <c r="U118" s="432"/>
      <c r="V118" s="432"/>
      <c r="W118" s="432"/>
      <c r="X118" s="432"/>
      <c r="Y118" s="432"/>
      <c r="Z118" s="432"/>
      <c r="AA118" s="432"/>
      <c r="AB118" s="432"/>
      <c r="AC118" s="432"/>
    </row>
    <row r="119" ht="15.75" customHeight="1">
      <c r="A119" s="432"/>
      <c r="B119" s="432"/>
      <c r="C119" s="432"/>
      <c r="D119" s="438"/>
      <c r="E119" s="432"/>
      <c r="F119" s="432"/>
      <c r="G119" s="432"/>
      <c r="H119" s="432"/>
      <c r="I119" s="432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  <c r="V119" s="432"/>
      <c r="W119" s="432"/>
      <c r="X119" s="432"/>
      <c r="Y119" s="432"/>
      <c r="Z119" s="432"/>
      <c r="AA119" s="432"/>
      <c r="AB119" s="432"/>
      <c r="AC119" s="432"/>
    </row>
    <row r="120" ht="15.75" customHeight="1">
      <c r="A120" s="432"/>
      <c r="B120" s="432"/>
      <c r="C120" s="432"/>
      <c r="D120" s="438"/>
      <c r="E120" s="432"/>
      <c r="F120" s="432"/>
      <c r="G120" s="432"/>
      <c r="H120" s="432"/>
      <c r="I120" s="432"/>
      <c r="J120" s="432"/>
      <c r="K120" s="432"/>
      <c r="L120" s="432"/>
      <c r="M120" s="432"/>
      <c r="N120" s="432"/>
      <c r="O120" s="432"/>
      <c r="P120" s="432"/>
      <c r="Q120" s="432"/>
      <c r="R120" s="432"/>
      <c r="S120" s="432"/>
      <c r="T120" s="432"/>
      <c r="U120" s="432"/>
      <c r="V120" s="432"/>
      <c r="W120" s="432"/>
      <c r="X120" s="432"/>
      <c r="Y120" s="432"/>
      <c r="Z120" s="432"/>
      <c r="AA120" s="432"/>
      <c r="AB120" s="432"/>
      <c r="AC120" s="432"/>
    </row>
    <row r="121" ht="15.75" customHeight="1">
      <c r="A121" s="432"/>
      <c r="B121" s="432"/>
      <c r="C121" s="432"/>
      <c r="D121" s="438"/>
      <c r="E121" s="432"/>
      <c r="F121" s="432"/>
      <c r="G121" s="432"/>
      <c r="H121" s="432"/>
      <c r="I121" s="432"/>
      <c r="J121" s="432"/>
      <c r="K121" s="432"/>
      <c r="L121" s="432"/>
      <c r="M121" s="432"/>
      <c r="N121" s="432"/>
      <c r="O121" s="432"/>
      <c r="P121" s="432"/>
      <c r="Q121" s="432"/>
      <c r="R121" s="432"/>
      <c r="S121" s="432"/>
      <c r="T121" s="432"/>
      <c r="U121" s="432"/>
      <c r="V121" s="432"/>
      <c r="W121" s="432"/>
      <c r="X121" s="432"/>
      <c r="Y121" s="432"/>
      <c r="Z121" s="432"/>
      <c r="AA121" s="432"/>
      <c r="AB121" s="432"/>
      <c r="AC121" s="432"/>
    </row>
    <row r="122" ht="15.75" customHeight="1">
      <c r="A122" s="432"/>
      <c r="B122" s="432"/>
      <c r="C122" s="432"/>
      <c r="D122" s="438"/>
      <c r="E122" s="432"/>
      <c r="F122" s="432"/>
      <c r="G122" s="432"/>
      <c r="H122" s="432"/>
      <c r="I122" s="432"/>
      <c r="J122" s="432"/>
      <c r="K122" s="432"/>
      <c r="L122" s="432"/>
      <c r="M122" s="432"/>
      <c r="N122" s="432"/>
      <c r="O122" s="432"/>
      <c r="P122" s="432"/>
      <c r="Q122" s="432"/>
      <c r="R122" s="432"/>
      <c r="S122" s="432"/>
      <c r="T122" s="432"/>
      <c r="U122" s="432"/>
      <c r="V122" s="432"/>
      <c r="W122" s="432"/>
      <c r="X122" s="432"/>
      <c r="Y122" s="432"/>
      <c r="Z122" s="432"/>
      <c r="AA122" s="432"/>
      <c r="AB122" s="432"/>
      <c r="AC122" s="432"/>
    </row>
    <row r="123" ht="15.75" customHeight="1">
      <c r="A123" s="432"/>
      <c r="B123" s="432"/>
      <c r="C123" s="432"/>
      <c r="D123" s="438"/>
      <c r="E123" s="432"/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432"/>
      <c r="U123" s="432"/>
      <c r="V123" s="432"/>
      <c r="W123" s="432"/>
      <c r="X123" s="432"/>
      <c r="Y123" s="432"/>
      <c r="Z123" s="432"/>
      <c r="AA123" s="432"/>
      <c r="AB123" s="432"/>
      <c r="AC123" s="432"/>
    </row>
    <row r="124" ht="15.75" customHeight="1">
      <c r="A124" s="432"/>
      <c r="B124" s="432"/>
      <c r="C124" s="432"/>
      <c r="D124" s="438"/>
      <c r="E124" s="432"/>
      <c r="F124" s="432"/>
      <c r="G124" s="432"/>
      <c r="H124" s="432"/>
      <c r="I124" s="432"/>
      <c r="J124" s="432"/>
      <c r="K124" s="432"/>
      <c r="L124" s="432"/>
      <c r="M124" s="432"/>
      <c r="N124" s="432"/>
      <c r="O124" s="432"/>
      <c r="P124" s="432"/>
      <c r="Q124" s="432"/>
      <c r="R124" s="432"/>
      <c r="S124" s="432"/>
      <c r="T124" s="432"/>
      <c r="U124" s="432"/>
      <c r="V124" s="432"/>
      <c r="W124" s="432"/>
      <c r="X124" s="432"/>
      <c r="Y124" s="432"/>
      <c r="Z124" s="432"/>
      <c r="AA124" s="432"/>
      <c r="AB124" s="432"/>
      <c r="AC124" s="432"/>
    </row>
    <row r="125" ht="15.75" customHeight="1">
      <c r="A125" s="432"/>
      <c r="B125" s="432"/>
      <c r="C125" s="432"/>
      <c r="D125" s="438"/>
      <c r="E125" s="432"/>
      <c r="F125" s="432"/>
      <c r="G125" s="432"/>
      <c r="H125" s="432"/>
      <c r="I125" s="432"/>
      <c r="J125" s="432"/>
      <c r="K125" s="432"/>
      <c r="L125" s="432"/>
      <c r="M125" s="432"/>
      <c r="N125" s="432"/>
      <c r="O125" s="432"/>
      <c r="P125" s="432"/>
      <c r="Q125" s="432"/>
      <c r="R125" s="432"/>
      <c r="S125" s="432"/>
      <c r="T125" s="432"/>
      <c r="U125" s="432"/>
      <c r="V125" s="432"/>
      <c r="W125" s="432"/>
      <c r="X125" s="432"/>
      <c r="Y125" s="432"/>
      <c r="Z125" s="432"/>
      <c r="AA125" s="432"/>
      <c r="AB125" s="432"/>
      <c r="AC125" s="432"/>
    </row>
    <row r="126" ht="15.75" customHeight="1">
      <c r="A126" s="432"/>
      <c r="B126" s="432"/>
      <c r="C126" s="432"/>
      <c r="D126" s="438"/>
      <c r="E126" s="432"/>
      <c r="F126" s="432"/>
      <c r="G126" s="432"/>
      <c r="H126" s="432"/>
      <c r="I126" s="432"/>
      <c r="J126" s="432"/>
      <c r="K126" s="432"/>
      <c r="L126" s="432"/>
      <c r="M126" s="432"/>
      <c r="N126" s="432"/>
      <c r="O126" s="432"/>
      <c r="P126" s="432"/>
      <c r="Q126" s="432"/>
      <c r="R126" s="432"/>
      <c r="S126" s="432"/>
      <c r="T126" s="432"/>
      <c r="U126" s="432"/>
      <c r="V126" s="432"/>
      <c r="W126" s="432"/>
      <c r="X126" s="432"/>
      <c r="Y126" s="432"/>
      <c r="Z126" s="432"/>
      <c r="AA126" s="432"/>
      <c r="AB126" s="432"/>
      <c r="AC126" s="432"/>
    </row>
    <row r="127" ht="15.75" customHeight="1">
      <c r="A127" s="432"/>
      <c r="B127" s="432"/>
      <c r="C127" s="432"/>
      <c r="D127" s="438"/>
      <c r="E127" s="432"/>
      <c r="F127" s="432"/>
      <c r="G127" s="432"/>
      <c r="H127" s="432"/>
      <c r="I127" s="432"/>
      <c r="J127" s="432"/>
      <c r="K127" s="432"/>
      <c r="L127" s="432"/>
      <c r="M127" s="432"/>
      <c r="N127" s="432"/>
      <c r="O127" s="432"/>
      <c r="P127" s="432"/>
      <c r="Q127" s="432"/>
      <c r="R127" s="432"/>
      <c r="S127" s="432"/>
      <c r="T127" s="432"/>
      <c r="U127" s="432"/>
      <c r="V127" s="432"/>
      <c r="W127" s="432"/>
      <c r="X127" s="432"/>
      <c r="Y127" s="432"/>
      <c r="Z127" s="432"/>
      <c r="AA127" s="432"/>
      <c r="AB127" s="432"/>
      <c r="AC127" s="432"/>
    </row>
    <row r="128" ht="15.75" customHeight="1">
      <c r="A128" s="432"/>
      <c r="B128" s="432"/>
      <c r="C128" s="432"/>
      <c r="D128" s="438"/>
      <c r="E128" s="432"/>
      <c r="F128" s="432"/>
      <c r="G128" s="432"/>
      <c r="H128" s="432"/>
      <c r="I128" s="432"/>
      <c r="J128" s="432"/>
      <c r="K128" s="432"/>
      <c r="L128" s="432"/>
      <c r="M128" s="432"/>
      <c r="N128" s="432"/>
      <c r="O128" s="432"/>
      <c r="P128" s="432"/>
      <c r="Q128" s="432"/>
      <c r="R128" s="432"/>
      <c r="S128" s="432"/>
      <c r="T128" s="432"/>
      <c r="U128" s="432"/>
      <c r="V128" s="432"/>
      <c r="W128" s="432"/>
      <c r="X128" s="432"/>
      <c r="Y128" s="432"/>
      <c r="Z128" s="432"/>
      <c r="AA128" s="432"/>
      <c r="AB128" s="432"/>
      <c r="AC128" s="432"/>
    </row>
    <row r="129" ht="15.75" customHeight="1">
      <c r="A129" s="432"/>
      <c r="B129" s="432"/>
      <c r="C129" s="432"/>
      <c r="D129" s="438"/>
      <c r="E129" s="432"/>
      <c r="F129" s="432"/>
      <c r="G129" s="432"/>
      <c r="H129" s="432"/>
      <c r="I129" s="432"/>
      <c r="J129" s="432"/>
      <c r="K129" s="432"/>
      <c r="L129" s="432"/>
      <c r="M129" s="432"/>
      <c r="N129" s="432"/>
      <c r="O129" s="432"/>
      <c r="P129" s="432"/>
      <c r="Q129" s="432"/>
      <c r="R129" s="432"/>
      <c r="S129" s="432"/>
      <c r="T129" s="432"/>
      <c r="U129" s="432"/>
      <c r="V129" s="432"/>
      <c r="W129" s="432"/>
      <c r="X129" s="432"/>
      <c r="Y129" s="432"/>
      <c r="Z129" s="432"/>
      <c r="AA129" s="432"/>
      <c r="AB129" s="432"/>
      <c r="AC129" s="432"/>
    </row>
    <row r="130" ht="15.75" customHeight="1">
      <c r="A130" s="432"/>
      <c r="B130" s="432"/>
      <c r="C130" s="432"/>
      <c r="D130" s="438"/>
      <c r="E130" s="432"/>
      <c r="F130" s="432"/>
      <c r="G130" s="432"/>
      <c r="H130" s="432"/>
      <c r="I130" s="432"/>
      <c r="J130" s="432"/>
      <c r="K130" s="432"/>
      <c r="L130" s="432"/>
      <c r="M130" s="432"/>
      <c r="N130" s="432"/>
      <c r="O130" s="432"/>
      <c r="P130" s="432"/>
      <c r="Q130" s="432"/>
      <c r="R130" s="432"/>
      <c r="S130" s="432"/>
      <c r="T130" s="432"/>
      <c r="U130" s="432"/>
      <c r="V130" s="432"/>
      <c r="W130" s="432"/>
      <c r="X130" s="432"/>
      <c r="Y130" s="432"/>
      <c r="Z130" s="432"/>
      <c r="AA130" s="432"/>
      <c r="AB130" s="432"/>
      <c r="AC130" s="432"/>
    </row>
    <row r="131" ht="15.75" customHeight="1">
      <c r="A131" s="432"/>
      <c r="B131" s="432"/>
      <c r="C131" s="432"/>
      <c r="D131" s="438"/>
      <c r="E131" s="432"/>
      <c r="F131" s="432"/>
      <c r="G131" s="432"/>
      <c r="H131" s="432"/>
      <c r="I131" s="432"/>
      <c r="J131" s="432"/>
      <c r="K131" s="432"/>
      <c r="L131" s="432"/>
      <c r="M131" s="432"/>
      <c r="N131" s="432"/>
      <c r="O131" s="432"/>
      <c r="P131" s="432"/>
      <c r="Q131" s="432"/>
      <c r="R131" s="432"/>
      <c r="S131" s="432"/>
      <c r="T131" s="432"/>
      <c r="U131" s="432"/>
      <c r="V131" s="432"/>
      <c r="W131" s="432"/>
      <c r="X131" s="432"/>
      <c r="Y131" s="432"/>
      <c r="Z131" s="432"/>
      <c r="AA131" s="432"/>
      <c r="AB131" s="432"/>
      <c r="AC131" s="432"/>
    </row>
    <row r="132" ht="15.75" customHeight="1">
      <c r="A132" s="432"/>
      <c r="B132" s="432"/>
      <c r="C132" s="432"/>
      <c r="D132" s="438"/>
      <c r="E132" s="432"/>
      <c r="F132" s="432"/>
      <c r="G132" s="432"/>
      <c r="H132" s="432"/>
      <c r="I132" s="432"/>
      <c r="J132" s="432"/>
      <c r="K132" s="432"/>
      <c r="L132" s="432"/>
      <c r="M132" s="432"/>
      <c r="N132" s="432"/>
      <c r="O132" s="432"/>
      <c r="P132" s="432"/>
      <c r="Q132" s="432"/>
      <c r="R132" s="432"/>
      <c r="S132" s="432"/>
      <c r="T132" s="432"/>
      <c r="U132" s="432"/>
      <c r="V132" s="432"/>
      <c r="W132" s="432"/>
      <c r="X132" s="432"/>
      <c r="Y132" s="432"/>
      <c r="Z132" s="432"/>
      <c r="AA132" s="432"/>
      <c r="AB132" s="432"/>
      <c r="AC132" s="432"/>
    </row>
    <row r="133" ht="15.75" customHeight="1">
      <c r="A133" s="432"/>
      <c r="B133" s="432"/>
      <c r="C133" s="432"/>
      <c r="D133" s="438"/>
      <c r="E133" s="432"/>
      <c r="F133" s="432"/>
      <c r="G133" s="432"/>
      <c r="H133" s="432"/>
      <c r="I133" s="432"/>
      <c r="J133" s="432"/>
      <c r="K133" s="432"/>
      <c r="L133" s="432"/>
      <c r="M133" s="432"/>
      <c r="N133" s="432"/>
      <c r="O133" s="432"/>
      <c r="P133" s="432"/>
      <c r="Q133" s="432"/>
      <c r="R133" s="432"/>
      <c r="S133" s="432"/>
      <c r="T133" s="432"/>
      <c r="U133" s="432"/>
      <c r="V133" s="432"/>
      <c r="W133" s="432"/>
      <c r="X133" s="432"/>
      <c r="Y133" s="432"/>
      <c r="Z133" s="432"/>
      <c r="AA133" s="432"/>
      <c r="AB133" s="432"/>
      <c r="AC133" s="432"/>
    </row>
    <row r="134" ht="15.75" customHeight="1">
      <c r="A134" s="432"/>
      <c r="B134" s="432"/>
      <c r="C134" s="432"/>
      <c r="D134" s="438"/>
      <c r="E134" s="432"/>
      <c r="F134" s="432"/>
      <c r="G134" s="432"/>
      <c r="H134" s="432"/>
      <c r="I134" s="432"/>
      <c r="J134" s="432"/>
      <c r="K134" s="432"/>
      <c r="L134" s="432"/>
      <c r="M134" s="432"/>
      <c r="N134" s="432"/>
      <c r="O134" s="432"/>
      <c r="P134" s="432"/>
      <c r="Q134" s="432"/>
      <c r="R134" s="432"/>
      <c r="S134" s="432"/>
      <c r="T134" s="432"/>
      <c r="U134" s="432"/>
      <c r="V134" s="432"/>
      <c r="W134" s="432"/>
      <c r="X134" s="432"/>
      <c r="Y134" s="432"/>
      <c r="Z134" s="432"/>
      <c r="AA134" s="432"/>
      <c r="AB134" s="432"/>
      <c r="AC134" s="432"/>
    </row>
    <row r="135" ht="15.75" customHeight="1">
      <c r="A135" s="432"/>
      <c r="B135" s="432"/>
      <c r="C135" s="432"/>
      <c r="D135" s="438"/>
      <c r="E135" s="432"/>
      <c r="F135" s="432"/>
      <c r="G135" s="432"/>
      <c r="H135" s="432"/>
      <c r="I135" s="432"/>
      <c r="J135" s="432"/>
      <c r="K135" s="432"/>
      <c r="L135" s="432"/>
      <c r="M135" s="432"/>
      <c r="N135" s="432"/>
      <c r="O135" s="432"/>
      <c r="P135" s="432"/>
      <c r="Q135" s="432"/>
      <c r="R135" s="432"/>
      <c r="S135" s="432"/>
      <c r="T135" s="432"/>
      <c r="U135" s="432"/>
      <c r="V135" s="432"/>
      <c r="W135" s="432"/>
      <c r="X135" s="432"/>
      <c r="Y135" s="432"/>
      <c r="Z135" s="432"/>
      <c r="AA135" s="432"/>
      <c r="AB135" s="432"/>
      <c r="AC135" s="432"/>
    </row>
    <row r="136" ht="15.75" customHeight="1">
      <c r="A136" s="432"/>
      <c r="B136" s="432"/>
      <c r="C136" s="432"/>
      <c r="D136" s="438"/>
      <c r="E136" s="432"/>
      <c r="F136" s="432"/>
      <c r="G136" s="432"/>
      <c r="H136" s="432"/>
      <c r="I136" s="432"/>
      <c r="J136" s="432"/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  <c r="V136" s="432"/>
      <c r="W136" s="432"/>
      <c r="X136" s="432"/>
      <c r="Y136" s="432"/>
      <c r="Z136" s="432"/>
      <c r="AA136" s="432"/>
      <c r="AB136" s="432"/>
      <c r="AC136" s="432"/>
    </row>
    <row r="137" ht="15.75" customHeight="1">
      <c r="A137" s="432"/>
      <c r="B137" s="432"/>
      <c r="C137" s="432"/>
      <c r="D137" s="438"/>
      <c r="E137" s="432"/>
      <c r="F137" s="432"/>
      <c r="G137" s="432"/>
      <c r="H137" s="432"/>
      <c r="I137" s="432"/>
      <c r="J137" s="432"/>
      <c r="K137" s="432"/>
      <c r="L137" s="432"/>
      <c r="M137" s="432"/>
      <c r="N137" s="432"/>
      <c r="O137" s="432"/>
      <c r="P137" s="432"/>
      <c r="Q137" s="432"/>
      <c r="R137" s="432"/>
      <c r="S137" s="432"/>
      <c r="T137" s="432"/>
      <c r="U137" s="432"/>
      <c r="V137" s="432"/>
      <c r="W137" s="432"/>
      <c r="X137" s="432"/>
      <c r="Y137" s="432"/>
      <c r="Z137" s="432"/>
      <c r="AA137" s="432"/>
      <c r="AB137" s="432"/>
      <c r="AC137" s="432"/>
    </row>
    <row r="138" ht="15.75" customHeight="1">
      <c r="A138" s="432"/>
      <c r="B138" s="432"/>
      <c r="C138" s="432"/>
      <c r="D138" s="438"/>
      <c r="E138" s="432"/>
      <c r="F138" s="432"/>
      <c r="G138" s="432"/>
      <c r="H138" s="432"/>
      <c r="I138" s="432"/>
      <c r="J138" s="432"/>
      <c r="K138" s="432"/>
      <c r="L138" s="432"/>
      <c r="M138" s="432"/>
      <c r="N138" s="432"/>
      <c r="O138" s="432"/>
      <c r="P138" s="432"/>
      <c r="Q138" s="432"/>
      <c r="R138" s="432"/>
      <c r="S138" s="432"/>
      <c r="T138" s="432"/>
      <c r="U138" s="432"/>
      <c r="V138" s="432"/>
      <c r="W138" s="432"/>
      <c r="X138" s="432"/>
      <c r="Y138" s="432"/>
      <c r="Z138" s="432"/>
      <c r="AA138" s="432"/>
      <c r="AB138" s="432"/>
      <c r="AC138" s="432"/>
    </row>
    <row r="139" ht="15.75" customHeight="1">
      <c r="A139" s="432"/>
      <c r="B139" s="432"/>
      <c r="C139" s="432"/>
      <c r="D139" s="438"/>
      <c r="E139" s="432"/>
      <c r="F139" s="432"/>
      <c r="G139" s="432"/>
      <c r="H139" s="432"/>
      <c r="I139" s="432"/>
      <c r="J139" s="432"/>
      <c r="K139" s="432"/>
      <c r="L139" s="432"/>
      <c r="M139" s="432"/>
      <c r="N139" s="432"/>
      <c r="O139" s="432"/>
      <c r="P139" s="432"/>
      <c r="Q139" s="432"/>
      <c r="R139" s="432"/>
      <c r="S139" s="432"/>
      <c r="T139" s="432"/>
      <c r="U139" s="432"/>
      <c r="V139" s="432"/>
      <c r="W139" s="432"/>
      <c r="X139" s="432"/>
      <c r="Y139" s="432"/>
      <c r="Z139" s="432"/>
      <c r="AA139" s="432"/>
      <c r="AB139" s="432"/>
      <c r="AC139" s="432"/>
    </row>
    <row r="140" ht="15.75" customHeight="1">
      <c r="A140" s="432"/>
      <c r="B140" s="432"/>
      <c r="C140" s="432"/>
      <c r="D140" s="438"/>
      <c r="E140" s="432"/>
      <c r="F140" s="432"/>
      <c r="G140" s="432"/>
      <c r="H140" s="432"/>
      <c r="I140" s="432"/>
      <c r="J140" s="432"/>
      <c r="K140" s="432"/>
      <c r="L140" s="432"/>
      <c r="M140" s="432"/>
      <c r="N140" s="432"/>
      <c r="O140" s="432"/>
      <c r="P140" s="432"/>
      <c r="Q140" s="432"/>
      <c r="R140" s="432"/>
      <c r="S140" s="432"/>
      <c r="T140" s="432"/>
      <c r="U140" s="432"/>
      <c r="V140" s="432"/>
      <c r="W140" s="432"/>
      <c r="X140" s="432"/>
      <c r="Y140" s="432"/>
      <c r="Z140" s="432"/>
      <c r="AA140" s="432"/>
      <c r="AB140" s="432"/>
      <c r="AC140" s="432"/>
    </row>
    <row r="141" ht="15.75" customHeight="1">
      <c r="A141" s="432"/>
      <c r="B141" s="432"/>
      <c r="C141" s="432"/>
      <c r="D141" s="438"/>
      <c r="E141" s="432"/>
      <c r="F141" s="432"/>
      <c r="G141" s="432"/>
      <c r="H141" s="432"/>
      <c r="I141" s="432"/>
      <c r="J141" s="432"/>
      <c r="K141" s="432"/>
      <c r="L141" s="432"/>
      <c r="M141" s="432"/>
      <c r="N141" s="432"/>
      <c r="O141" s="432"/>
      <c r="P141" s="432"/>
      <c r="Q141" s="432"/>
      <c r="R141" s="432"/>
      <c r="S141" s="432"/>
      <c r="T141" s="432"/>
      <c r="U141" s="432"/>
      <c r="V141" s="432"/>
      <c r="W141" s="432"/>
      <c r="X141" s="432"/>
      <c r="Y141" s="432"/>
      <c r="Z141" s="432"/>
      <c r="AA141" s="432"/>
      <c r="AB141" s="432"/>
      <c r="AC141" s="432"/>
    </row>
    <row r="142" ht="15.75" customHeight="1">
      <c r="A142" s="432"/>
      <c r="B142" s="432"/>
      <c r="C142" s="432"/>
      <c r="D142" s="438"/>
      <c r="E142" s="432"/>
      <c r="F142" s="432"/>
      <c r="G142" s="432"/>
      <c r="H142" s="432"/>
      <c r="I142" s="432"/>
      <c r="J142" s="432"/>
      <c r="K142" s="432"/>
      <c r="L142" s="432"/>
      <c r="M142" s="432"/>
      <c r="N142" s="432"/>
      <c r="O142" s="432"/>
      <c r="P142" s="432"/>
      <c r="Q142" s="432"/>
      <c r="R142" s="432"/>
      <c r="S142" s="432"/>
      <c r="T142" s="432"/>
      <c r="U142" s="432"/>
      <c r="V142" s="432"/>
      <c r="W142" s="432"/>
      <c r="X142" s="432"/>
      <c r="Y142" s="432"/>
      <c r="Z142" s="432"/>
      <c r="AA142" s="432"/>
      <c r="AB142" s="432"/>
      <c r="AC142" s="432"/>
    </row>
    <row r="143" ht="15.75" customHeight="1">
      <c r="A143" s="432"/>
      <c r="B143" s="432"/>
      <c r="C143" s="432"/>
      <c r="D143" s="438"/>
      <c r="E143" s="432"/>
      <c r="F143" s="432"/>
      <c r="G143" s="432"/>
      <c r="H143" s="432"/>
      <c r="I143" s="432"/>
      <c r="J143" s="432"/>
      <c r="K143" s="432"/>
      <c r="L143" s="432"/>
      <c r="M143" s="432"/>
      <c r="N143" s="432"/>
      <c r="O143" s="432"/>
      <c r="P143" s="432"/>
      <c r="Q143" s="432"/>
      <c r="R143" s="432"/>
      <c r="S143" s="432"/>
      <c r="T143" s="432"/>
      <c r="U143" s="432"/>
      <c r="V143" s="432"/>
      <c r="W143" s="432"/>
      <c r="X143" s="432"/>
      <c r="Y143" s="432"/>
      <c r="Z143" s="432"/>
      <c r="AA143" s="432"/>
      <c r="AB143" s="432"/>
      <c r="AC143" s="432"/>
    </row>
    <row r="144" ht="15.75" customHeight="1">
      <c r="A144" s="432"/>
      <c r="B144" s="432"/>
      <c r="C144" s="432"/>
      <c r="D144" s="438"/>
      <c r="E144" s="432"/>
      <c r="F144" s="432"/>
      <c r="G144" s="432"/>
      <c r="H144" s="432"/>
      <c r="I144" s="432"/>
      <c r="J144" s="432"/>
      <c r="K144" s="432"/>
      <c r="L144" s="432"/>
      <c r="M144" s="432"/>
      <c r="N144" s="432"/>
      <c r="O144" s="432"/>
      <c r="P144" s="432"/>
      <c r="Q144" s="432"/>
      <c r="R144" s="432"/>
      <c r="S144" s="432"/>
      <c r="T144" s="432"/>
      <c r="U144" s="432"/>
      <c r="V144" s="432"/>
      <c r="W144" s="432"/>
      <c r="X144" s="432"/>
      <c r="Y144" s="432"/>
      <c r="Z144" s="432"/>
      <c r="AA144" s="432"/>
      <c r="AB144" s="432"/>
      <c r="AC144" s="432"/>
    </row>
    <row r="145" ht="15.75" customHeight="1">
      <c r="A145" s="432"/>
      <c r="B145" s="432"/>
      <c r="C145" s="432"/>
      <c r="D145" s="438"/>
      <c r="E145" s="432"/>
      <c r="F145" s="432"/>
      <c r="G145" s="432"/>
      <c r="H145" s="432"/>
      <c r="I145" s="432"/>
      <c r="J145" s="432"/>
      <c r="K145" s="432"/>
      <c r="L145" s="432"/>
      <c r="M145" s="432"/>
      <c r="N145" s="432"/>
      <c r="O145" s="432"/>
      <c r="P145" s="432"/>
      <c r="Q145" s="432"/>
      <c r="R145" s="432"/>
      <c r="S145" s="432"/>
      <c r="T145" s="432"/>
      <c r="U145" s="432"/>
      <c r="V145" s="432"/>
      <c r="W145" s="432"/>
      <c r="X145" s="432"/>
      <c r="Y145" s="432"/>
      <c r="Z145" s="432"/>
      <c r="AA145" s="432"/>
      <c r="AB145" s="432"/>
      <c r="AC145" s="432"/>
    </row>
    <row r="146" ht="15.75" customHeight="1">
      <c r="A146" s="432"/>
      <c r="B146" s="432"/>
      <c r="C146" s="432"/>
      <c r="D146" s="438"/>
      <c r="E146" s="432"/>
      <c r="F146" s="432"/>
      <c r="G146" s="432"/>
      <c r="H146" s="432"/>
      <c r="I146" s="432"/>
      <c r="J146" s="432"/>
      <c r="K146" s="432"/>
      <c r="L146" s="432"/>
      <c r="M146" s="432"/>
      <c r="N146" s="432"/>
      <c r="O146" s="432"/>
      <c r="P146" s="432"/>
      <c r="Q146" s="432"/>
      <c r="R146" s="432"/>
      <c r="S146" s="432"/>
      <c r="T146" s="432"/>
      <c r="U146" s="432"/>
      <c r="V146" s="432"/>
      <c r="W146" s="432"/>
      <c r="X146" s="432"/>
      <c r="Y146" s="432"/>
      <c r="Z146" s="432"/>
      <c r="AA146" s="432"/>
      <c r="AB146" s="432"/>
      <c r="AC146" s="432"/>
    </row>
    <row r="147" ht="15.75" customHeight="1">
      <c r="A147" s="432"/>
      <c r="B147" s="432"/>
      <c r="C147" s="432"/>
      <c r="D147" s="438"/>
      <c r="E147" s="432"/>
      <c r="F147" s="432"/>
      <c r="G147" s="432"/>
      <c r="H147" s="432"/>
      <c r="I147" s="432"/>
      <c r="J147" s="432"/>
      <c r="K147" s="432"/>
      <c r="L147" s="432"/>
      <c r="M147" s="432"/>
      <c r="N147" s="432"/>
      <c r="O147" s="432"/>
      <c r="P147" s="432"/>
      <c r="Q147" s="432"/>
      <c r="R147" s="432"/>
      <c r="S147" s="432"/>
      <c r="T147" s="432"/>
      <c r="U147" s="432"/>
      <c r="V147" s="432"/>
      <c r="W147" s="432"/>
      <c r="X147" s="432"/>
      <c r="Y147" s="432"/>
      <c r="Z147" s="432"/>
      <c r="AA147" s="432"/>
      <c r="AB147" s="432"/>
      <c r="AC147" s="432"/>
    </row>
    <row r="148" ht="15.75" customHeight="1">
      <c r="A148" s="432"/>
      <c r="B148" s="432"/>
      <c r="C148" s="432"/>
      <c r="D148" s="438"/>
      <c r="E148" s="432"/>
      <c r="F148" s="432"/>
      <c r="G148" s="432"/>
      <c r="H148" s="432"/>
      <c r="I148" s="432"/>
      <c r="J148" s="432"/>
      <c r="K148" s="432"/>
      <c r="L148" s="432"/>
      <c r="M148" s="432"/>
      <c r="N148" s="432"/>
      <c r="O148" s="432"/>
      <c r="P148" s="432"/>
      <c r="Q148" s="432"/>
      <c r="R148" s="432"/>
      <c r="S148" s="432"/>
      <c r="T148" s="432"/>
      <c r="U148" s="432"/>
      <c r="V148" s="432"/>
      <c r="W148" s="432"/>
      <c r="X148" s="432"/>
      <c r="Y148" s="432"/>
      <c r="Z148" s="432"/>
      <c r="AA148" s="432"/>
      <c r="AB148" s="432"/>
      <c r="AC148" s="432"/>
    </row>
    <row r="149" ht="15.75" customHeight="1">
      <c r="A149" s="432"/>
      <c r="B149" s="432"/>
      <c r="C149" s="432"/>
      <c r="D149" s="438"/>
      <c r="E149" s="432"/>
      <c r="F149" s="432"/>
      <c r="G149" s="432"/>
      <c r="H149" s="432"/>
      <c r="I149" s="432"/>
      <c r="J149" s="432"/>
      <c r="K149" s="432"/>
      <c r="L149" s="432"/>
      <c r="M149" s="432"/>
      <c r="N149" s="432"/>
      <c r="O149" s="432"/>
      <c r="P149" s="432"/>
      <c r="Q149" s="432"/>
      <c r="R149" s="432"/>
      <c r="S149" s="432"/>
      <c r="T149" s="432"/>
      <c r="U149" s="432"/>
      <c r="V149" s="432"/>
      <c r="W149" s="432"/>
      <c r="X149" s="432"/>
      <c r="Y149" s="432"/>
      <c r="Z149" s="432"/>
      <c r="AA149" s="432"/>
      <c r="AB149" s="432"/>
      <c r="AC149" s="432"/>
    </row>
    <row r="150" ht="15.75" customHeight="1">
      <c r="A150" s="432"/>
      <c r="B150" s="432"/>
      <c r="C150" s="432"/>
      <c r="D150" s="438"/>
      <c r="E150" s="432"/>
      <c r="F150" s="432"/>
      <c r="G150" s="432"/>
      <c r="H150" s="432"/>
      <c r="I150" s="432"/>
      <c r="J150" s="432"/>
      <c r="K150" s="432"/>
      <c r="L150" s="432"/>
      <c r="M150" s="432"/>
      <c r="N150" s="432"/>
      <c r="O150" s="432"/>
      <c r="P150" s="432"/>
      <c r="Q150" s="432"/>
      <c r="R150" s="432"/>
      <c r="S150" s="432"/>
      <c r="T150" s="432"/>
      <c r="U150" s="432"/>
      <c r="V150" s="432"/>
      <c r="W150" s="432"/>
      <c r="X150" s="432"/>
      <c r="Y150" s="432"/>
      <c r="Z150" s="432"/>
      <c r="AA150" s="432"/>
      <c r="AB150" s="432"/>
      <c r="AC150" s="432"/>
    </row>
    <row r="151" ht="15.75" customHeight="1">
      <c r="A151" s="432"/>
      <c r="B151" s="432"/>
      <c r="C151" s="432"/>
      <c r="D151" s="438"/>
      <c r="E151" s="432"/>
      <c r="F151" s="432"/>
      <c r="G151" s="432"/>
      <c r="H151" s="432"/>
      <c r="I151" s="432"/>
      <c r="J151" s="432"/>
      <c r="K151" s="432"/>
      <c r="L151" s="432"/>
      <c r="M151" s="432"/>
      <c r="N151" s="432"/>
      <c r="O151" s="432"/>
      <c r="P151" s="432"/>
      <c r="Q151" s="432"/>
      <c r="R151" s="432"/>
      <c r="S151" s="432"/>
      <c r="T151" s="432"/>
      <c r="U151" s="432"/>
      <c r="V151" s="432"/>
      <c r="W151" s="432"/>
      <c r="X151" s="432"/>
      <c r="Y151" s="432"/>
      <c r="Z151" s="432"/>
      <c r="AA151" s="432"/>
      <c r="AB151" s="432"/>
      <c r="AC151" s="432"/>
    </row>
    <row r="152" ht="15.75" customHeight="1">
      <c r="A152" s="432"/>
      <c r="B152" s="432"/>
      <c r="C152" s="432"/>
      <c r="D152" s="438"/>
      <c r="E152" s="432"/>
      <c r="F152" s="432"/>
      <c r="G152" s="432"/>
      <c r="H152" s="432"/>
      <c r="I152" s="432"/>
      <c r="J152" s="432"/>
      <c r="K152" s="432"/>
      <c r="L152" s="432"/>
      <c r="M152" s="432"/>
      <c r="N152" s="432"/>
      <c r="O152" s="432"/>
      <c r="P152" s="432"/>
      <c r="Q152" s="432"/>
      <c r="R152" s="432"/>
      <c r="S152" s="432"/>
      <c r="T152" s="432"/>
      <c r="U152" s="432"/>
      <c r="V152" s="432"/>
      <c r="W152" s="432"/>
      <c r="X152" s="432"/>
      <c r="Y152" s="432"/>
      <c r="Z152" s="432"/>
      <c r="AA152" s="432"/>
      <c r="AB152" s="432"/>
      <c r="AC152" s="432"/>
    </row>
    <row r="153" ht="15.75" customHeight="1">
      <c r="A153" s="432"/>
      <c r="B153" s="432"/>
      <c r="C153" s="432"/>
      <c r="D153" s="438"/>
      <c r="E153" s="432"/>
      <c r="F153" s="432"/>
      <c r="G153" s="432"/>
      <c r="H153" s="432"/>
      <c r="I153" s="432"/>
      <c r="J153" s="432"/>
      <c r="K153" s="432"/>
      <c r="L153" s="432"/>
      <c r="M153" s="432"/>
      <c r="N153" s="432"/>
      <c r="O153" s="432"/>
      <c r="P153" s="432"/>
      <c r="Q153" s="432"/>
      <c r="R153" s="432"/>
      <c r="S153" s="432"/>
      <c r="T153" s="432"/>
      <c r="U153" s="432"/>
      <c r="V153" s="432"/>
      <c r="W153" s="432"/>
      <c r="X153" s="432"/>
      <c r="Y153" s="432"/>
      <c r="Z153" s="432"/>
      <c r="AA153" s="432"/>
      <c r="AB153" s="432"/>
      <c r="AC153" s="432"/>
    </row>
    <row r="154" ht="15.75" customHeight="1">
      <c r="A154" s="432"/>
      <c r="B154" s="432"/>
      <c r="C154" s="432"/>
      <c r="D154" s="438"/>
      <c r="E154" s="432"/>
      <c r="F154" s="432"/>
      <c r="G154" s="432"/>
      <c r="H154" s="432"/>
      <c r="I154" s="432"/>
      <c r="J154" s="432"/>
      <c r="K154" s="432"/>
      <c r="L154" s="432"/>
      <c r="M154" s="432"/>
      <c r="N154" s="432"/>
      <c r="O154" s="432"/>
      <c r="P154" s="432"/>
      <c r="Q154" s="432"/>
      <c r="R154" s="432"/>
      <c r="S154" s="432"/>
      <c r="T154" s="432"/>
      <c r="U154" s="432"/>
      <c r="V154" s="432"/>
      <c r="W154" s="432"/>
      <c r="X154" s="432"/>
      <c r="Y154" s="432"/>
      <c r="Z154" s="432"/>
      <c r="AA154" s="432"/>
      <c r="AB154" s="432"/>
      <c r="AC154" s="432"/>
    </row>
    <row r="155" ht="15.75" customHeight="1">
      <c r="A155" s="432"/>
      <c r="B155" s="432"/>
      <c r="C155" s="432"/>
      <c r="D155" s="438"/>
      <c r="E155" s="432"/>
      <c r="F155" s="432"/>
      <c r="G155" s="432"/>
      <c r="H155" s="432"/>
      <c r="I155" s="432"/>
      <c r="J155" s="432"/>
      <c r="K155" s="432"/>
      <c r="L155" s="432"/>
      <c r="M155" s="432"/>
      <c r="N155" s="432"/>
      <c r="O155" s="432"/>
      <c r="P155" s="432"/>
      <c r="Q155" s="432"/>
      <c r="R155" s="432"/>
      <c r="S155" s="432"/>
      <c r="T155" s="432"/>
      <c r="U155" s="432"/>
      <c r="V155" s="432"/>
      <c r="W155" s="432"/>
      <c r="X155" s="432"/>
      <c r="Y155" s="432"/>
      <c r="Z155" s="432"/>
      <c r="AA155" s="432"/>
      <c r="AB155" s="432"/>
      <c r="AC155" s="432"/>
    </row>
    <row r="156" ht="15.75" customHeight="1">
      <c r="A156" s="432"/>
      <c r="B156" s="432"/>
      <c r="C156" s="432"/>
      <c r="D156" s="438"/>
      <c r="E156" s="432"/>
      <c r="F156" s="432"/>
      <c r="G156" s="432"/>
      <c r="H156" s="432"/>
      <c r="I156" s="432"/>
      <c r="J156" s="432"/>
      <c r="K156" s="432"/>
      <c r="L156" s="432"/>
      <c r="M156" s="432"/>
      <c r="N156" s="432"/>
      <c r="O156" s="432"/>
      <c r="P156" s="432"/>
      <c r="Q156" s="432"/>
      <c r="R156" s="432"/>
      <c r="S156" s="432"/>
      <c r="T156" s="432"/>
      <c r="U156" s="432"/>
      <c r="V156" s="432"/>
      <c r="W156" s="432"/>
      <c r="X156" s="432"/>
      <c r="Y156" s="432"/>
      <c r="Z156" s="432"/>
      <c r="AA156" s="432"/>
      <c r="AB156" s="432"/>
      <c r="AC156" s="432"/>
    </row>
    <row r="157" ht="15.75" customHeight="1">
      <c r="A157" s="432"/>
      <c r="B157" s="432"/>
      <c r="C157" s="432"/>
      <c r="D157" s="438"/>
      <c r="E157" s="432"/>
      <c r="F157" s="432"/>
      <c r="G157" s="432"/>
      <c r="H157" s="432"/>
      <c r="I157" s="432"/>
      <c r="J157" s="432"/>
      <c r="K157" s="432"/>
      <c r="L157" s="432"/>
      <c r="M157" s="432"/>
      <c r="N157" s="432"/>
      <c r="O157" s="432"/>
      <c r="P157" s="432"/>
      <c r="Q157" s="432"/>
      <c r="R157" s="432"/>
      <c r="S157" s="432"/>
      <c r="T157" s="432"/>
      <c r="U157" s="432"/>
      <c r="V157" s="432"/>
      <c r="W157" s="432"/>
      <c r="X157" s="432"/>
      <c r="Y157" s="432"/>
      <c r="Z157" s="432"/>
      <c r="AA157" s="432"/>
      <c r="AB157" s="432"/>
      <c r="AC157" s="432"/>
    </row>
    <row r="158" ht="15.75" customHeight="1">
      <c r="A158" s="432"/>
      <c r="B158" s="432"/>
      <c r="C158" s="432"/>
      <c r="D158" s="438"/>
      <c r="E158" s="432"/>
      <c r="F158" s="432"/>
      <c r="G158" s="432"/>
      <c r="H158" s="432"/>
      <c r="I158" s="432"/>
      <c r="J158" s="432"/>
      <c r="K158" s="432"/>
      <c r="L158" s="432"/>
      <c r="M158" s="432"/>
      <c r="N158" s="432"/>
      <c r="O158" s="432"/>
      <c r="P158" s="432"/>
      <c r="Q158" s="432"/>
      <c r="R158" s="432"/>
      <c r="S158" s="432"/>
      <c r="T158" s="432"/>
      <c r="U158" s="432"/>
      <c r="V158" s="432"/>
      <c r="W158" s="432"/>
      <c r="X158" s="432"/>
      <c r="Y158" s="432"/>
      <c r="Z158" s="432"/>
      <c r="AA158" s="432"/>
      <c r="AB158" s="432"/>
      <c r="AC158" s="432"/>
    </row>
    <row r="159" ht="15.75" customHeight="1">
      <c r="A159" s="432"/>
      <c r="B159" s="432"/>
      <c r="C159" s="432"/>
      <c r="D159" s="438"/>
      <c r="E159" s="432"/>
      <c r="F159" s="432"/>
      <c r="G159" s="432"/>
      <c r="H159" s="432"/>
      <c r="I159" s="432"/>
      <c r="J159" s="432"/>
      <c r="K159" s="432"/>
      <c r="L159" s="432"/>
      <c r="M159" s="432"/>
      <c r="N159" s="432"/>
      <c r="O159" s="432"/>
      <c r="P159" s="432"/>
      <c r="Q159" s="432"/>
      <c r="R159" s="432"/>
      <c r="S159" s="432"/>
      <c r="T159" s="432"/>
      <c r="U159" s="432"/>
      <c r="V159" s="432"/>
      <c r="W159" s="432"/>
      <c r="X159" s="432"/>
      <c r="Y159" s="432"/>
      <c r="Z159" s="432"/>
      <c r="AA159" s="432"/>
      <c r="AB159" s="432"/>
      <c r="AC159" s="432"/>
    </row>
    <row r="160" ht="15.75" customHeight="1">
      <c r="A160" s="432"/>
      <c r="B160" s="432"/>
      <c r="C160" s="432"/>
      <c r="D160" s="438"/>
      <c r="E160" s="432"/>
      <c r="F160" s="432"/>
      <c r="G160" s="432"/>
      <c r="H160" s="432"/>
      <c r="I160" s="432"/>
      <c r="J160" s="432"/>
      <c r="K160" s="432"/>
      <c r="L160" s="432"/>
      <c r="M160" s="432"/>
      <c r="N160" s="432"/>
      <c r="O160" s="432"/>
      <c r="P160" s="432"/>
      <c r="Q160" s="432"/>
      <c r="R160" s="432"/>
      <c r="S160" s="432"/>
      <c r="T160" s="432"/>
      <c r="U160" s="432"/>
      <c r="V160" s="432"/>
      <c r="W160" s="432"/>
      <c r="X160" s="432"/>
      <c r="Y160" s="432"/>
      <c r="Z160" s="432"/>
      <c r="AA160" s="432"/>
      <c r="AB160" s="432"/>
      <c r="AC160" s="432"/>
    </row>
    <row r="161" ht="15.75" customHeight="1">
      <c r="A161" s="432"/>
      <c r="B161" s="432"/>
      <c r="C161" s="432"/>
      <c r="D161" s="438"/>
      <c r="E161" s="432"/>
      <c r="F161" s="432"/>
      <c r="G161" s="432"/>
      <c r="H161" s="432"/>
      <c r="I161" s="432"/>
      <c r="J161" s="432"/>
      <c r="K161" s="432"/>
      <c r="L161" s="432"/>
      <c r="M161" s="432"/>
      <c r="N161" s="432"/>
      <c r="O161" s="432"/>
      <c r="P161" s="432"/>
      <c r="Q161" s="432"/>
      <c r="R161" s="432"/>
      <c r="S161" s="432"/>
      <c r="T161" s="432"/>
      <c r="U161" s="432"/>
      <c r="V161" s="432"/>
      <c r="W161" s="432"/>
      <c r="X161" s="432"/>
      <c r="Y161" s="432"/>
      <c r="Z161" s="432"/>
      <c r="AA161" s="432"/>
      <c r="AB161" s="432"/>
      <c r="AC161" s="432"/>
    </row>
    <row r="162" ht="15.75" customHeight="1">
      <c r="A162" s="432"/>
      <c r="B162" s="432"/>
      <c r="C162" s="432"/>
      <c r="D162" s="438"/>
      <c r="E162" s="432"/>
      <c r="F162" s="432"/>
      <c r="G162" s="432"/>
      <c r="H162" s="432"/>
      <c r="I162" s="432"/>
      <c r="J162" s="432"/>
      <c r="K162" s="432"/>
      <c r="L162" s="432"/>
      <c r="M162" s="432"/>
      <c r="N162" s="432"/>
      <c r="O162" s="432"/>
      <c r="P162" s="432"/>
      <c r="Q162" s="432"/>
      <c r="R162" s="432"/>
      <c r="S162" s="432"/>
      <c r="T162" s="432"/>
      <c r="U162" s="432"/>
      <c r="V162" s="432"/>
      <c r="W162" s="432"/>
      <c r="X162" s="432"/>
      <c r="Y162" s="432"/>
      <c r="Z162" s="432"/>
      <c r="AA162" s="432"/>
      <c r="AB162" s="432"/>
      <c r="AC162" s="432"/>
    </row>
    <row r="163" ht="15.75" customHeight="1">
      <c r="A163" s="432"/>
      <c r="B163" s="432"/>
      <c r="C163" s="432"/>
      <c r="D163" s="438"/>
      <c r="E163" s="432"/>
      <c r="F163" s="432"/>
      <c r="G163" s="432"/>
      <c r="H163" s="432"/>
      <c r="I163" s="432"/>
      <c r="J163" s="432"/>
      <c r="K163" s="432"/>
      <c r="L163" s="432"/>
      <c r="M163" s="432"/>
      <c r="N163" s="432"/>
      <c r="O163" s="432"/>
      <c r="P163" s="432"/>
      <c r="Q163" s="432"/>
      <c r="R163" s="432"/>
      <c r="S163" s="432"/>
      <c r="T163" s="432"/>
      <c r="U163" s="432"/>
      <c r="V163" s="432"/>
      <c r="W163" s="432"/>
      <c r="X163" s="432"/>
      <c r="Y163" s="432"/>
      <c r="Z163" s="432"/>
      <c r="AA163" s="432"/>
      <c r="AB163" s="432"/>
      <c r="AC163" s="432"/>
    </row>
    <row r="164" ht="15.75" customHeight="1">
      <c r="A164" s="432"/>
      <c r="B164" s="432"/>
      <c r="C164" s="432"/>
      <c r="D164" s="438"/>
      <c r="E164" s="432"/>
      <c r="F164" s="432"/>
      <c r="G164" s="432"/>
      <c r="H164" s="432"/>
      <c r="I164" s="432"/>
      <c r="J164" s="432"/>
      <c r="K164" s="432"/>
      <c r="L164" s="432"/>
      <c r="M164" s="432"/>
      <c r="N164" s="432"/>
      <c r="O164" s="432"/>
      <c r="P164" s="432"/>
      <c r="Q164" s="432"/>
      <c r="R164" s="432"/>
      <c r="S164" s="432"/>
      <c r="T164" s="432"/>
      <c r="U164" s="432"/>
      <c r="V164" s="432"/>
      <c r="W164" s="432"/>
      <c r="X164" s="432"/>
      <c r="Y164" s="432"/>
      <c r="Z164" s="432"/>
      <c r="AA164" s="432"/>
      <c r="AB164" s="432"/>
      <c r="AC164" s="432"/>
    </row>
    <row r="165" ht="15.75" customHeight="1">
      <c r="A165" s="432"/>
      <c r="B165" s="432"/>
      <c r="C165" s="432"/>
      <c r="D165" s="438"/>
      <c r="E165" s="432"/>
      <c r="F165" s="432"/>
      <c r="G165" s="432"/>
      <c r="H165" s="432"/>
      <c r="I165" s="432"/>
      <c r="J165" s="432"/>
      <c r="K165" s="432"/>
      <c r="L165" s="432"/>
      <c r="M165" s="432"/>
      <c r="N165" s="432"/>
      <c r="O165" s="432"/>
      <c r="P165" s="432"/>
      <c r="Q165" s="432"/>
      <c r="R165" s="432"/>
      <c r="S165" s="432"/>
      <c r="T165" s="432"/>
      <c r="U165" s="432"/>
      <c r="V165" s="432"/>
      <c r="W165" s="432"/>
      <c r="X165" s="432"/>
      <c r="Y165" s="432"/>
      <c r="Z165" s="432"/>
      <c r="AA165" s="432"/>
      <c r="AB165" s="432"/>
      <c r="AC165" s="432"/>
    </row>
    <row r="166" ht="15.75" customHeight="1">
      <c r="A166" s="432"/>
      <c r="B166" s="432"/>
      <c r="C166" s="432"/>
      <c r="D166" s="438"/>
      <c r="E166" s="432"/>
      <c r="F166" s="432"/>
      <c r="G166" s="432"/>
      <c r="H166" s="432"/>
      <c r="I166" s="432"/>
      <c r="J166" s="432"/>
      <c r="K166" s="432"/>
      <c r="L166" s="432"/>
      <c r="M166" s="432"/>
      <c r="N166" s="432"/>
      <c r="O166" s="432"/>
      <c r="P166" s="432"/>
      <c r="Q166" s="432"/>
      <c r="R166" s="432"/>
      <c r="S166" s="432"/>
      <c r="T166" s="432"/>
      <c r="U166" s="432"/>
      <c r="V166" s="432"/>
      <c r="W166" s="432"/>
      <c r="X166" s="432"/>
      <c r="Y166" s="432"/>
      <c r="Z166" s="432"/>
      <c r="AA166" s="432"/>
      <c r="AB166" s="432"/>
      <c r="AC166" s="432"/>
    </row>
    <row r="167" ht="15.75" customHeight="1">
      <c r="A167" s="432"/>
      <c r="B167" s="432"/>
      <c r="C167" s="432"/>
      <c r="D167" s="438"/>
      <c r="E167" s="432"/>
      <c r="F167" s="432"/>
      <c r="G167" s="432"/>
      <c r="H167" s="432"/>
      <c r="I167" s="432"/>
      <c r="J167" s="432"/>
      <c r="K167" s="432"/>
      <c r="L167" s="432"/>
      <c r="M167" s="432"/>
      <c r="N167" s="432"/>
      <c r="O167" s="432"/>
      <c r="P167" s="432"/>
      <c r="Q167" s="432"/>
      <c r="R167" s="432"/>
      <c r="S167" s="432"/>
      <c r="T167" s="432"/>
      <c r="U167" s="432"/>
      <c r="V167" s="432"/>
      <c r="W167" s="432"/>
      <c r="X167" s="432"/>
      <c r="Y167" s="432"/>
      <c r="Z167" s="432"/>
      <c r="AA167" s="432"/>
      <c r="AB167" s="432"/>
      <c r="AC167" s="432"/>
    </row>
    <row r="168" ht="15.75" customHeight="1">
      <c r="A168" s="432"/>
      <c r="B168" s="432"/>
      <c r="C168" s="432"/>
      <c r="D168" s="438"/>
      <c r="E168" s="432"/>
      <c r="F168" s="432"/>
      <c r="G168" s="432"/>
      <c r="H168" s="432"/>
      <c r="I168" s="432"/>
      <c r="J168" s="432"/>
      <c r="K168" s="432"/>
      <c r="L168" s="432"/>
      <c r="M168" s="432"/>
      <c r="N168" s="432"/>
      <c r="O168" s="432"/>
      <c r="P168" s="432"/>
      <c r="Q168" s="432"/>
      <c r="R168" s="432"/>
      <c r="S168" s="432"/>
      <c r="T168" s="432"/>
      <c r="U168" s="432"/>
      <c r="V168" s="432"/>
      <c r="W168" s="432"/>
      <c r="X168" s="432"/>
      <c r="Y168" s="432"/>
      <c r="Z168" s="432"/>
      <c r="AA168" s="432"/>
      <c r="AB168" s="432"/>
      <c r="AC168" s="432"/>
    </row>
    <row r="169" ht="15.75" customHeight="1">
      <c r="A169" s="432"/>
      <c r="B169" s="432"/>
      <c r="C169" s="432"/>
      <c r="D169" s="438"/>
      <c r="E169" s="432"/>
      <c r="F169" s="432"/>
      <c r="G169" s="432"/>
      <c r="H169" s="432"/>
      <c r="I169" s="432"/>
      <c r="J169" s="432"/>
      <c r="K169" s="432"/>
      <c r="L169" s="432"/>
      <c r="M169" s="432"/>
      <c r="N169" s="432"/>
      <c r="O169" s="432"/>
      <c r="P169" s="432"/>
      <c r="Q169" s="432"/>
      <c r="R169" s="432"/>
      <c r="S169" s="432"/>
      <c r="T169" s="432"/>
      <c r="U169" s="432"/>
      <c r="V169" s="432"/>
      <c r="W169" s="432"/>
      <c r="X169" s="432"/>
      <c r="Y169" s="432"/>
      <c r="Z169" s="432"/>
      <c r="AA169" s="432"/>
      <c r="AB169" s="432"/>
      <c r="AC169" s="432"/>
    </row>
    <row r="170" ht="15.75" customHeight="1">
      <c r="A170" s="432"/>
      <c r="B170" s="432"/>
      <c r="C170" s="432"/>
      <c r="D170" s="438"/>
      <c r="E170" s="432"/>
      <c r="F170" s="432"/>
      <c r="G170" s="432"/>
      <c r="H170" s="432"/>
      <c r="I170" s="432"/>
      <c r="J170" s="432"/>
      <c r="K170" s="432"/>
      <c r="L170" s="432"/>
      <c r="M170" s="432"/>
      <c r="N170" s="432"/>
      <c r="O170" s="432"/>
      <c r="P170" s="432"/>
      <c r="Q170" s="432"/>
      <c r="R170" s="432"/>
      <c r="S170" s="432"/>
      <c r="T170" s="432"/>
      <c r="U170" s="432"/>
      <c r="V170" s="432"/>
      <c r="W170" s="432"/>
      <c r="X170" s="432"/>
      <c r="Y170" s="432"/>
      <c r="Z170" s="432"/>
      <c r="AA170" s="432"/>
      <c r="AB170" s="432"/>
      <c r="AC170" s="432"/>
    </row>
    <row r="171" ht="15.75" customHeight="1">
      <c r="A171" s="432"/>
      <c r="B171" s="432"/>
      <c r="C171" s="432"/>
      <c r="D171" s="438"/>
      <c r="E171" s="432"/>
      <c r="F171" s="432"/>
      <c r="G171" s="432"/>
      <c r="H171" s="432"/>
      <c r="I171" s="432"/>
      <c r="J171" s="432"/>
      <c r="K171" s="432"/>
      <c r="L171" s="432"/>
      <c r="M171" s="432"/>
      <c r="N171" s="432"/>
      <c r="O171" s="432"/>
      <c r="P171" s="432"/>
      <c r="Q171" s="432"/>
      <c r="R171" s="432"/>
      <c r="S171" s="432"/>
      <c r="T171" s="432"/>
      <c r="U171" s="432"/>
      <c r="V171" s="432"/>
      <c r="W171" s="432"/>
      <c r="X171" s="432"/>
      <c r="Y171" s="432"/>
      <c r="Z171" s="432"/>
      <c r="AA171" s="432"/>
      <c r="AB171" s="432"/>
      <c r="AC171" s="432"/>
    </row>
    <row r="172" ht="15.75" customHeight="1">
      <c r="A172" s="432"/>
      <c r="B172" s="432"/>
      <c r="C172" s="432"/>
      <c r="D172" s="438"/>
      <c r="E172" s="432"/>
      <c r="F172" s="432"/>
      <c r="G172" s="432"/>
      <c r="H172" s="432"/>
      <c r="I172" s="432"/>
      <c r="J172" s="432"/>
      <c r="K172" s="432"/>
      <c r="L172" s="432"/>
      <c r="M172" s="432"/>
      <c r="N172" s="432"/>
      <c r="O172" s="432"/>
      <c r="P172" s="432"/>
      <c r="Q172" s="432"/>
      <c r="R172" s="432"/>
      <c r="S172" s="432"/>
      <c r="T172" s="432"/>
      <c r="U172" s="432"/>
      <c r="V172" s="432"/>
      <c r="W172" s="432"/>
      <c r="X172" s="432"/>
      <c r="Y172" s="432"/>
      <c r="Z172" s="432"/>
      <c r="AA172" s="432"/>
      <c r="AB172" s="432"/>
      <c r="AC172" s="432"/>
    </row>
    <row r="173" ht="15.75" customHeight="1">
      <c r="A173" s="432"/>
      <c r="B173" s="432"/>
      <c r="C173" s="432"/>
      <c r="D173" s="438"/>
      <c r="E173" s="432"/>
      <c r="F173" s="432"/>
      <c r="G173" s="432"/>
      <c r="H173" s="432"/>
      <c r="I173" s="432"/>
      <c r="J173" s="432"/>
      <c r="K173" s="432"/>
      <c r="L173" s="432"/>
      <c r="M173" s="432"/>
      <c r="N173" s="432"/>
      <c r="O173" s="432"/>
      <c r="P173" s="432"/>
      <c r="Q173" s="432"/>
      <c r="R173" s="432"/>
      <c r="S173" s="432"/>
      <c r="T173" s="432"/>
      <c r="U173" s="432"/>
      <c r="V173" s="432"/>
      <c r="W173" s="432"/>
      <c r="X173" s="432"/>
      <c r="Y173" s="432"/>
      <c r="Z173" s="432"/>
      <c r="AA173" s="432"/>
      <c r="AB173" s="432"/>
      <c r="AC173" s="432"/>
    </row>
    <row r="174" ht="15.75" customHeight="1">
      <c r="A174" s="432"/>
      <c r="B174" s="432"/>
      <c r="C174" s="432"/>
      <c r="D174" s="438"/>
      <c r="E174" s="432"/>
      <c r="F174" s="432"/>
      <c r="G174" s="432"/>
      <c r="H174" s="432"/>
      <c r="I174" s="432"/>
      <c r="J174" s="432"/>
      <c r="K174" s="432"/>
      <c r="L174" s="432"/>
      <c r="M174" s="432"/>
      <c r="N174" s="432"/>
      <c r="O174" s="432"/>
      <c r="P174" s="432"/>
      <c r="Q174" s="432"/>
      <c r="R174" s="432"/>
      <c r="S174" s="432"/>
      <c r="T174" s="432"/>
      <c r="U174" s="432"/>
      <c r="V174" s="432"/>
      <c r="W174" s="432"/>
      <c r="X174" s="432"/>
      <c r="Y174" s="432"/>
      <c r="Z174" s="432"/>
      <c r="AA174" s="432"/>
      <c r="AB174" s="432"/>
      <c r="AC174" s="432"/>
    </row>
    <row r="175" ht="15.75" customHeight="1">
      <c r="A175" s="432"/>
      <c r="B175" s="432"/>
      <c r="C175" s="432"/>
      <c r="D175" s="438"/>
      <c r="E175" s="432"/>
      <c r="F175" s="432"/>
      <c r="G175" s="432"/>
      <c r="H175" s="432"/>
      <c r="I175" s="432"/>
      <c r="J175" s="432"/>
      <c r="K175" s="432"/>
      <c r="L175" s="432"/>
      <c r="M175" s="432"/>
      <c r="N175" s="432"/>
      <c r="O175" s="432"/>
      <c r="P175" s="432"/>
      <c r="Q175" s="432"/>
      <c r="R175" s="432"/>
      <c r="S175" s="432"/>
      <c r="T175" s="432"/>
      <c r="U175" s="432"/>
      <c r="V175" s="432"/>
      <c r="W175" s="432"/>
      <c r="X175" s="432"/>
      <c r="Y175" s="432"/>
      <c r="Z175" s="432"/>
      <c r="AA175" s="432"/>
      <c r="AB175" s="432"/>
      <c r="AC175" s="432"/>
    </row>
    <row r="176" ht="15.75" customHeight="1">
      <c r="A176" s="432"/>
      <c r="B176" s="432"/>
      <c r="C176" s="432"/>
      <c r="D176" s="438"/>
      <c r="E176" s="432"/>
      <c r="F176" s="432"/>
      <c r="G176" s="432"/>
      <c r="H176" s="432"/>
      <c r="I176" s="432"/>
      <c r="J176" s="432"/>
      <c r="K176" s="432"/>
      <c r="L176" s="432"/>
      <c r="M176" s="432"/>
      <c r="N176" s="432"/>
      <c r="O176" s="432"/>
      <c r="P176" s="432"/>
      <c r="Q176" s="432"/>
      <c r="R176" s="432"/>
      <c r="S176" s="432"/>
      <c r="T176" s="432"/>
      <c r="U176" s="432"/>
      <c r="V176" s="432"/>
      <c r="W176" s="432"/>
      <c r="X176" s="432"/>
      <c r="Y176" s="432"/>
      <c r="Z176" s="432"/>
      <c r="AA176" s="432"/>
      <c r="AB176" s="432"/>
      <c r="AC176" s="432"/>
    </row>
    <row r="177" ht="15.75" customHeight="1">
      <c r="A177" s="432"/>
      <c r="B177" s="432"/>
      <c r="C177" s="432"/>
      <c r="D177" s="438"/>
      <c r="E177" s="432"/>
      <c r="F177" s="432"/>
      <c r="G177" s="432"/>
      <c r="H177" s="432"/>
      <c r="I177" s="432"/>
      <c r="J177" s="432"/>
      <c r="K177" s="432"/>
      <c r="L177" s="432"/>
      <c r="M177" s="432"/>
      <c r="N177" s="432"/>
      <c r="O177" s="432"/>
      <c r="P177" s="432"/>
      <c r="Q177" s="432"/>
      <c r="R177" s="432"/>
      <c r="S177" s="432"/>
      <c r="T177" s="432"/>
      <c r="U177" s="432"/>
      <c r="V177" s="432"/>
      <c r="W177" s="432"/>
      <c r="X177" s="432"/>
      <c r="Y177" s="432"/>
      <c r="Z177" s="432"/>
      <c r="AA177" s="432"/>
      <c r="AB177" s="432"/>
      <c r="AC177" s="432"/>
    </row>
    <row r="178" ht="15.75" customHeight="1">
      <c r="A178" s="432"/>
      <c r="B178" s="432"/>
      <c r="C178" s="432"/>
      <c r="D178" s="438"/>
      <c r="E178" s="432"/>
      <c r="F178" s="432"/>
      <c r="G178" s="432"/>
      <c r="H178" s="432"/>
      <c r="I178" s="432"/>
      <c r="J178" s="432"/>
      <c r="K178" s="432"/>
      <c r="L178" s="432"/>
      <c r="M178" s="432"/>
      <c r="N178" s="432"/>
      <c r="O178" s="432"/>
      <c r="P178" s="432"/>
      <c r="Q178" s="432"/>
      <c r="R178" s="432"/>
      <c r="S178" s="432"/>
      <c r="T178" s="432"/>
      <c r="U178" s="432"/>
      <c r="V178" s="432"/>
      <c r="W178" s="432"/>
      <c r="X178" s="432"/>
      <c r="Y178" s="432"/>
      <c r="Z178" s="432"/>
      <c r="AA178" s="432"/>
      <c r="AB178" s="432"/>
      <c r="AC178" s="432"/>
    </row>
    <row r="179" ht="15.75" customHeight="1">
      <c r="A179" s="432"/>
      <c r="B179" s="432"/>
      <c r="C179" s="432"/>
      <c r="D179" s="438"/>
      <c r="E179" s="432"/>
      <c r="F179" s="432"/>
      <c r="G179" s="432"/>
      <c r="H179" s="432"/>
      <c r="I179" s="432"/>
      <c r="J179" s="432"/>
      <c r="K179" s="432"/>
      <c r="L179" s="432"/>
      <c r="M179" s="432"/>
      <c r="N179" s="432"/>
      <c r="O179" s="432"/>
      <c r="P179" s="432"/>
      <c r="Q179" s="432"/>
      <c r="R179" s="432"/>
      <c r="S179" s="432"/>
      <c r="T179" s="432"/>
      <c r="U179" s="432"/>
      <c r="V179" s="432"/>
      <c r="W179" s="432"/>
      <c r="X179" s="432"/>
      <c r="Y179" s="432"/>
      <c r="Z179" s="432"/>
      <c r="AA179" s="432"/>
      <c r="AB179" s="432"/>
      <c r="AC179" s="432"/>
    </row>
    <row r="180" ht="15.75" customHeight="1">
      <c r="A180" s="432"/>
      <c r="B180" s="432"/>
      <c r="C180" s="432"/>
      <c r="D180" s="438"/>
      <c r="E180" s="432"/>
      <c r="F180" s="432"/>
      <c r="G180" s="432"/>
      <c r="H180" s="432"/>
      <c r="I180" s="432"/>
      <c r="J180" s="432"/>
      <c r="K180" s="432"/>
      <c r="L180" s="432"/>
      <c r="M180" s="432"/>
      <c r="N180" s="432"/>
      <c r="O180" s="432"/>
      <c r="P180" s="432"/>
      <c r="Q180" s="432"/>
      <c r="R180" s="432"/>
      <c r="S180" s="432"/>
      <c r="T180" s="432"/>
      <c r="U180" s="432"/>
      <c r="V180" s="432"/>
      <c r="W180" s="432"/>
      <c r="X180" s="432"/>
      <c r="Y180" s="432"/>
      <c r="Z180" s="432"/>
      <c r="AA180" s="432"/>
      <c r="AB180" s="432"/>
      <c r="AC180" s="432"/>
    </row>
    <row r="181" ht="15.75" customHeight="1">
      <c r="A181" s="432"/>
      <c r="B181" s="432"/>
      <c r="C181" s="432"/>
      <c r="D181" s="438"/>
      <c r="E181" s="432"/>
      <c r="F181" s="432"/>
      <c r="G181" s="432"/>
      <c r="H181" s="432"/>
      <c r="I181" s="432"/>
      <c r="J181" s="432"/>
      <c r="K181" s="432"/>
      <c r="L181" s="432"/>
      <c r="M181" s="432"/>
      <c r="N181" s="432"/>
      <c r="O181" s="432"/>
      <c r="P181" s="432"/>
      <c r="Q181" s="432"/>
      <c r="R181" s="432"/>
      <c r="S181" s="432"/>
      <c r="T181" s="432"/>
      <c r="U181" s="432"/>
      <c r="V181" s="432"/>
      <c r="W181" s="432"/>
      <c r="X181" s="432"/>
      <c r="Y181" s="432"/>
      <c r="Z181" s="432"/>
      <c r="AA181" s="432"/>
      <c r="AB181" s="432"/>
      <c r="AC181" s="432"/>
    </row>
    <row r="182" ht="15.75" customHeight="1">
      <c r="A182" s="432"/>
      <c r="B182" s="432"/>
      <c r="C182" s="432"/>
      <c r="D182" s="438"/>
      <c r="E182" s="432"/>
      <c r="F182" s="432"/>
      <c r="G182" s="432"/>
      <c r="H182" s="432"/>
      <c r="I182" s="432"/>
      <c r="J182" s="432"/>
      <c r="K182" s="432"/>
      <c r="L182" s="432"/>
      <c r="M182" s="432"/>
      <c r="N182" s="432"/>
      <c r="O182" s="432"/>
      <c r="P182" s="432"/>
      <c r="Q182" s="432"/>
      <c r="R182" s="432"/>
      <c r="S182" s="432"/>
      <c r="T182" s="432"/>
      <c r="U182" s="432"/>
      <c r="V182" s="432"/>
      <c r="W182" s="432"/>
      <c r="X182" s="432"/>
      <c r="Y182" s="432"/>
      <c r="Z182" s="432"/>
      <c r="AA182" s="432"/>
      <c r="AB182" s="432"/>
      <c r="AC182" s="432"/>
    </row>
    <row r="183" ht="15.75" customHeight="1">
      <c r="A183" s="432"/>
      <c r="B183" s="432"/>
      <c r="C183" s="432"/>
      <c r="D183" s="438"/>
      <c r="E183" s="432"/>
      <c r="F183" s="432"/>
      <c r="G183" s="432"/>
      <c r="H183" s="432"/>
      <c r="I183" s="432"/>
      <c r="J183" s="432"/>
      <c r="K183" s="432"/>
      <c r="L183" s="432"/>
      <c r="M183" s="432"/>
      <c r="N183" s="432"/>
      <c r="O183" s="432"/>
      <c r="P183" s="432"/>
      <c r="Q183" s="432"/>
      <c r="R183" s="432"/>
      <c r="S183" s="432"/>
      <c r="T183" s="432"/>
      <c r="U183" s="432"/>
      <c r="V183" s="432"/>
      <c r="W183" s="432"/>
      <c r="X183" s="432"/>
      <c r="Y183" s="432"/>
      <c r="Z183" s="432"/>
      <c r="AA183" s="432"/>
      <c r="AB183" s="432"/>
      <c r="AC183" s="432"/>
    </row>
    <row r="184" ht="15.75" customHeight="1">
      <c r="A184" s="432"/>
      <c r="B184" s="432"/>
      <c r="C184" s="432"/>
      <c r="D184" s="438"/>
      <c r="E184" s="432"/>
      <c r="F184" s="432"/>
      <c r="G184" s="432"/>
      <c r="H184" s="432"/>
      <c r="I184" s="432"/>
      <c r="J184" s="432"/>
      <c r="K184" s="432"/>
      <c r="L184" s="432"/>
      <c r="M184" s="432"/>
      <c r="N184" s="432"/>
      <c r="O184" s="432"/>
      <c r="P184" s="432"/>
      <c r="Q184" s="432"/>
      <c r="R184" s="432"/>
      <c r="S184" s="432"/>
      <c r="T184" s="432"/>
      <c r="U184" s="432"/>
      <c r="V184" s="432"/>
      <c r="W184" s="432"/>
      <c r="X184" s="432"/>
      <c r="Y184" s="432"/>
      <c r="Z184" s="432"/>
      <c r="AA184" s="432"/>
      <c r="AB184" s="432"/>
      <c r="AC184" s="432"/>
    </row>
    <row r="185" ht="15.75" customHeight="1">
      <c r="A185" s="432"/>
      <c r="B185" s="432"/>
      <c r="C185" s="432"/>
      <c r="D185" s="438"/>
      <c r="E185" s="432"/>
      <c r="F185" s="432"/>
      <c r="G185" s="432"/>
      <c r="H185" s="432"/>
      <c r="I185" s="432"/>
      <c r="J185" s="432"/>
      <c r="K185" s="432"/>
      <c r="L185" s="432"/>
      <c r="M185" s="432"/>
      <c r="N185" s="432"/>
      <c r="O185" s="432"/>
      <c r="P185" s="432"/>
      <c r="Q185" s="432"/>
      <c r="R185" s="432"/>
      <c r="S185" s="432"/>
      <c r="T185" s="432"/>
      <c r="U185" s="432"/>
      <c r="V185" s="432"/>
      <c r="W185" s="432"/>
      <c r="X185" s="432"/>
      <c r="Y185" s="432"/>
      <c r="Z185" s="432"/>
      <c r="AA185" s="432"/>
      <c r="AB185" s="432"/>
      <c r="AC185" s="432"/>
    </row>
    <row r="186" ht="15.75" customHeight="1">
      <c r="A186" s="432"/>
      <c r="B186" s="432"/>
      <c r="C186" s="432"/>
      <c r="D186" s="438"/>
      <c r="E186" s="432"/>
      <c r="F186" s="432"/>
      <c r="G186" s="432"/>
      <c r="H186" s="432"/>
      <c r="I186" s="432"/>
      <c r="J186" s="432"/>
      <c r="K186" s="432"/>
      <c r="L186" s="432"/>
      <c r="M186" s="432"/>
      <c r="N186" s="432"/>
      <c r="O186" s="432"/>
      <c r="P186" s="432"/>
      <c r="Q186" s="432"/>
      <c r="R186" s="432"/>
      <c r="S186" s="432"/>
      <c r="T186" s="432"/>
      <c r="U186" s="432"/>
      <c r="V186" s="432"/>
      <c r="W186" s="432"/>
      <c r="X186" s="432"/>
      <c r="Y186" s="432"/>
      <c r="Z186" s="432"/>
      <c r="AA186" s="432"/>
      <c r="AB186" s="432"/>
      <c r="AC186" s="432"/>
    </row>
    <row r="187" ht="15.75" customHeight="1">
      <c r="A187" s="432"/>
      <c r="B187" s="432"/>
      <c r="C187" s="432"/>
      <c r="D187" s="438"/>
      <c r="E187" s="432"/>
      <c r="F187" s="432"/>
      <c r="G187" s="432"/>
      <c r="H187" s="432"/>
      <c r="I187" s="432"/>
      <c r="J187" s="432"/>
      <c r="K187" s="432"/>
      <c r="L187" s="432"/>
      <c r="M187" s="432"/>
      <c r="N187" s="432"/>
      <c r="O187" s="432"/>
      <c r="P187" s="432"/>
      <c r="Q187" s="432"/>
      <c r="R187" s="432"/>
      <c r="S187" s="432"/>
      <c r="T187" s="432"/>
      <c r="U187" s="432"/>
      <c r="V187" s="432"/>
      <c r="W187" s="432"/>
      <c r="X187" s="432"/>
      <c r="Y187" s="432"/>
      <c r="Z187" s="432"/>
      <c r="AA187" s="432"/>
      <c r="AB187" s="432"/>
      <c r="AC187" s="432"/>
    </row>
    <row r="188" ht="15.75" customHeight="1">
      <c r="A188" s="432"/>
      <c r="B188" s="432"/>
      <c r="C188" s="432"/>
      <c r="D188" s="438"/>
      <c r="E188" s="432"/>
      <c r="F188" s="432"/>
      <c r="G188" s="432"/>
      <c r="H188" s="432"/>
      <c r="I188" s="432"/>
      <c r="J188" s="432"/>
      <c r="K188" s="432"/>
      <c r="L188" s="432"/>
      <c r="M188" s="432"/>
      <c r="N188" s="432"/>
      <c r="O188" s="432"/>
      <c r="P188" s="432"/>
      <c r="Q188" s="432"/>
      <c r="R188" s="432"/>
      <c r="S188" s="432"/>
      <c r="T188" s="432"/>
      <c r="U188" s="432"/>
      <c r="V188" s="432"/>
      <c r="W188" s="432"/>
      <c r="X188" s="432"/>
      <c r="Y188" s="432"/>
      <c r="Z188" s="432"/>
      <c r="AA188" s="432"/>
      <c r="AB188" s="432"/>
      <c r="AC188" s="432"/>
    </row>
    <row r="189" ht="15.75" customHeight="1">
      <c r="A189" s="432"/>
      <c r="B189" s="432"/>
      <c r="C189" s="432"/>
      <c r="D189" s="438"/>
      <c r="E189" s="432"/>
      <c r="F189" s="432"/>
      <c r="G189" s="432"/>
      <c r="H189" s="432"/>
      <c r="I189" s="432"/>
      <c r="J189" s="432"/>
      <c r="K189" s="432"/>
      <c r="L189" s="432"/>
      <c r="M189" s="432"/>
      <c r="N189" s="432"/>
      <c r="O189" s="432"/>
      <c r="P189" s="432"/>
      <c r="Q189" s="432"/>
      <c r="R189" s="432"/>
      <c r="S189" s="432"/>
      <c r="T189" s="432"/>
      <c r="U189" s="432"/>
      <c r="V189" s="432"/>
      <c r="W189" s="432"/>
      <c r="X189" s="432"/>
      <c r="Y189" s="432"/>
      <c r="Z189" s="432"/>
      <c r="AA189" s="432"/>
      <c r="AB189" s="432"/>
      <c r="AC189" s="432"/>
    </row>
    <row r="190" ht="15.75" customHeight="1">
      <c r="A190" s="432"/>
      <c r="B190" s="432"/>
      <c r="C190" s="432"/>
      <c r="D190" s="438"/>
      <c r="E190" s="432"/>
      <c r="F190" s="432"/>
      <c r="G190" s="432"/>
      <c r="H190" s="432"/>
      <c r="I190" s="432"/>
      <c r="J190" s="432"/>
      <c r="K190" s="432"/>
      <c r="L190" s="432"/>
      <c r="M190" s="432"/>
      <c r="N190" s="432"/>
      <c r="O190" s="432"/>
      <c r="P190" s="432"/>
      <c r="Q190" s="432"/>
      <c r="R190" s="432"/>
      <c r="S190" s="432"/>
      <c r="T190" s="432"/>
      <c r="U190" s="432"/>
      <c r="V190" s="432"/>
      <c r="W190" s="432"/>
      <c r="X190" s="432"/>
      <c r="Y190" s="432"/>
      <c r="Z190" s="432"/>
      <c r="AA190" s="432"/>
      <c r="AB190" s="432"/>
      <c r="AC190" s="432"/>
    </row>
    <row r="191" ht="15.75" customHeight="1">
      <c r="A191" s="432"/>
      <c r="B191" s="432"/>
      <c r="C191" s="432"/>
      <c r="D191" s="438"/>
      <c r="E191" s="432"/>
      <c r="F191" s="432"/>
      <c r="G191" s="432"/>
      <c r="H191" s="432"/>
      <c r="I191" s="432"/>
      <c r="J191" s="432"/>
      <c r="K191" s="432"/>
      <c r="L191" s="432"/>
      <c r="M191" s="432"/>
      <c r="N191" s="432"/>
      <c r="O191" s="432"/>
      <c r="P191" s="432"/>
      <c r="Q191" s="432"/>
      <c r="R191" s="432"/>
      <c r="S191" s="432"/>
      <c r="T191" s="432"/>
      <c r="U191" s="432"/>
      <c r="V191" s="432"/>
      <c r="W191" s="432"/>
      <c r="X191" s="432"/>
      <c r="Y191" s="432"/>
      <c r="Z191" s="432"/>
      <c r="AA191" s="432"/>
      <c r="AB191" s="432"/>
      <c r="AC191" s="432"/>
    </row>
    <row r="192" ht="15.75" customHeight="1">
      <c r="A192" s="432"/>
      <c r="B192" s="432"/>
      <c r="C192" s="432"/>
      <c r="D192" s="438"/>
      <c r="E192" s="432"/>
      <c r="F192" s="432"/>
      <c r="G192" s="432"/>
      <c r="H192" s="432"/>
      <c r="I192" s="432"/>
      <c r="J192" s="432"/>
      <c r="K192" s="432"/>
      <c r="L192" s="432"/>
      <c r="M192" s="432"/>
      <c r="N192" s="432"/>
      <c r="O192" s="432"/>
      <c r="P192" s="432"/>
      <c r="Q192" s="432"/>
      <c r="R192" s="432"/>
      <c r="S192" s="432"/>
      <c r="T192" s="432"/>
      <c r="U192" s="432"/>
      <c r="V192" s="432"/>
      <c r="W192" s="432"/>
      <c r="X192" s="432"/>
      <c r="Y192" s="432"/>
      <c r="Z192" s="432"/>
      <c r="AA192" s="432"/>
      <c r="AB192" s="432"/>
      <c r="AC192" s="432"/>
    </row>
    <row r="193" ht="15.75" customHeight="1">
      <c r="A193" s="432"/>
      <c r="B193" s="432"/>
      <c r="C193" s="432"/>
      <c r="D193" s="438"/>
      <c r="E193" s="432"/>
      <c r="F193" s="432"/>
      <c r="G193" s="432"/>
      <c r="H193" s="432"/>
      <c r="I193" s="432"/>
      <c r="J193" s="432"/>
      <c r="K193" s="432"/>
      <c r="L193" s="432"/>
      <c r="M193" s="432"/>
      <c r="N193" s="432"/>
      <c r="O193" s="432"/>
      <c r="P193" s="432"/>
      <c r="Q193" s="432"/>
      <c r="R193" s="432"/>
      <c r="S193" s="432"/>
      <c r="T193" s="432"/>
      <c r="U193" s="432"/>
      <c r="V193" s="432"/>
      <c r="W193" s="432"/>
      <c r="X193" s="432"/>
      <c r="Y193" s="432"/>
      <c r="Z193" s="432"/>
      <c r="AA193" s="432"/>
      <c r="AB193" s="432"/>
      <c r="AC193" s="432"/>
    </row>
    <row r="194" ht="15.75" customHeight="1">
      <c r="A194" s="432"/>
      <c r="B194" s="432"/>
      <c r="C194" s="432"/>
      <c r="D194" s="438"/>
      <c r="E194" s="432"/>
      <c r="F194" s="432"/>
      <c r="G194" s="432"/>
      <c r="H194" s="432"/>
      <c r="I194" s="432"/>
      <c r="J194" s="432"/>
      <c r="K194" s="432"/>
      <c r="L194" s="432"/>
      <c r="M194" s="432"/>
      <c r="N194" s="432"/>
      <c r="O194" s="432"/>
      <c r="P194" s="432"/>
      <c r="Q194" s="432"/>
      <c r="R194" s="432"/>
      <c r="S194" s="432"/>
      <c r="T194" s="432"/>
      <c r="U194" s="432"/>
      <c r="V194" s="432"/>
      <c r="W194" s="432"/>
      <c r="X194" s="432"/>
      <c r="Y194" s="432"/>
      <c r="Z194" s="432"/>
      <c r="AA194" s="432"/>
      <c r="AB194" s="432"/>
      <c r="AC194" s="432"/>
    </row>
    <row r="195" ht="15.75" customHeight="1">
      <c r="A195" s="432"/>
      <c r="B195" s="432"/>
      <c r="C195" s="432"/>
      <c r="D195" s="438"/>
      <c r="E195" s="432"/>
      <c r="F195" s="432"/>
      <c r="G195" s="432"/>
      <c r="H195" s="432"/>
      <c r="I195" s="432"/>
      <c r="J195" s="432"/>
      <c r="K195" s="432"/>
      <c r="L195" s="432"/>
      <c r="M195" s="432"/>
      <c r="N195" s="432"/>
      <c r="O195" s="432"/>
      <c r="P195" s="432"/>
      <c r="Q195" s="432"/>
      <c r="R195" s="432"/>
      <c r="S195" s="432"/>
      <c r="T195" s="432"/>
      <c r="U195" s="432"/>
      <c r="V195" s="432"/>
      <c r="W195" s="432"/>
      <c r="X195" s="432"/>
      <c r="Y195" s="432"/>
      <c r="Z195" s="432"/>
      <c r="AA195" s="432"/>
      <c r="AB195" s="432"/>
      <c r="AC195" s="432"/>
    </row>
    <row r="196" ht="15.75" customHeight="1">
      <c r="A196" s="432"/>
      <c r="B196" s="432"/>
      <c r="C196" s="432"/>
      <c r="D196" s="438"/>
      <c r="E196" s="432"/>
      <c r="F196" s="432"/>
      <c r="G196" s="432"/>
      <c r="H196" s="432"/>
      <c r="I196" s="432"/>
      <c r="J196" s="432"/>
      <c r="K196" s="432"/>
      <c r="L196" s="432"/>
      <c r="M196" s="432"/>
      <c r="N196" s="432"/>
      <c r="O196" s="432"/>
      <c r="P196" s="432"/>
      <c r="Q196" s="432"/>
      <c r="R196" s="432"/>
      <c r="S196" s="432"/>
      <c r="T196" s="432"/>
      <c r="U196" s="432"/>
      <c r="V196" s="432"/>
      <c r="W196" s="432"/>
      <c r="X196" s="432"/>
      <c r="Y196" s="432"/>
      <c r="Z196" s="432"/>
      <c r="AA196" s="432"/>
      <c r="AB196" s="432"/>
      <c r="AC196" s="432"/>
    </row>
    <row r="197" ht="15.75" customHeight="1">
      <c r="A197" s="432"/>
      <c r="B197" s="432"/>
      <c r="C197" s="432"/>
      <c r="D197" s="438"/>
      <c r="E197" s="432"/>
      <c r="F197" s="432"/>
      <c r="G197" s="432"/>
      <c r="H197" s="432"/>
      <c r="I197" s="432"/>
      <c r="J197" s="432"/>
      <c r="K197" s="432"/>
      <c r="L197" s="432"/>
      <c r="M197" s="432"/>
      <c r="N197" s="432"/>
      <c r="O197" s="432"/>
      <c r="P197" s="432"/>
      <c r="Q197" s="432"/>
      <c r="R197" s="432"/>
      <c r="S197" s="432"/>
      <c r="T197" s="432"/>
      <c r="U197" s="432"/>
      <c r="V197" s="432"/>
      <c r="W197" s="432"/>
      <c r="X197" s="432"/>
      <c r="Y197" s="432"/>
      <c r="Z197" s="432"/>
      <c r="AA197" s="432"/>
      <c r="AB197" s="432"/>
      <c r="AC197" s="432"/>
    </row>
    <row r="198" ht="15.75" customHeight="1">
      <c r="A198" s="432"/>
      <c r="B198" s="432"/>
      <c r="C198" s="432"/>
      <c r="D198" s="438"/>
      <c r="E198" s="432"/>
      <c r="F198" s="432"/>
      <c r="G198" s="432"/>
      <c r="H198" s="432"/>
      <c r="I198" s="432"/>
      <c r="J198" s="432"/>
      <c r="K198" s="432"/>
      <c r="L198" s="432"/>
      <c r="M198" s="432"/>
      <c r="N198" s="432"/>
      <c r="O198" s="432"/>
      <c r="P198" s="432"/>
      <c r="Q198" s="432"/>
      <c r="R198" s="432"/>
      <c r="S198" s="432"/>
      <c r="T198" s="432"/>
      <c r="U198" s="432"/>
      <c r="V198" s="432"/>
      <c r="W198" s="432"/>
      <c r="X198" s="432"/>
      <c r="Y198" s="432"/>
      <c r="Z198" s="432"/>
      <c r="AA198" s="432"/>
      <c r="AB198" s="432"/>
      <c r="AC198" s="432"/>
    </row>
    <row r="199" ht="15.75" customHeight="1">
      <c r="A199" s="432"/>
      <c r="B199" s="432"/>
      <c r="C199" s="432"/>
      <c r="D199" s="438"/>
      <c r="E199" s="432"/>
      <c r="F199" s="432"/>
      <c r="G199" s="432"/>
      <c r="H199" s="432"/>
      <c r="I199" s="432"/>
      <c r="J199" s="432"/>
      <c r="K199" s="432"/>
      <c r="L199" s="432"/>
      <c r="M199" s="432"/>
      <c r="N199" s="432"/>
      <c r="O199" s="432"/>
      <c r="P199" s="432"/>
      <c r="Q199" s="432"/>
      <c r="R199" s="432"/>
      <c r="S199" s="432"/>
      <c r="T199" s="432"/>
      <c r="U199" s="432"/>
      <c r="V199" s="432"/>
      <c r="W199" s="432"/>
      <c r="X199" s="432"/>
      <c r="Y199" s="432"/>
      <c r="Z199" s="432"/>
      <c r="AA199" s="432"/>
      <c r="AB199" s="432"/>
      <c r="AC199" s="432"/>
    </row>
    <row r="200" ht="15.75" customHeight="1">
      <c r="A200" s="432"/>
      <c r="B200" s="432"/>
      <c r="C200" s="432"/>
      <c r="D200" s="438"/>
      <c r="E200" s="432"/>
      <c r="F200" s="432"/>
      <c r="G200" s="432"/>
      <c r="H200" s="432"/>
      <c r="I200" s="432"/>
      <c r="J200" s="432"/>
      <c r="K200" s="432"/>
      <c r="L200" s="432"/>
      <c r="M200" s="432"/>
      <c r="N200" s="432"/>
      <c r="O200" s="432"/>
      <c r="P200" s="432"/>
      <c r="Q200" s="432"/>
      <c r="R200" s="432"/>
      <c r="S200" s="432"/>
      <c r="T200" s="432"/>
      <c r="U200" s="432"/>
      <c r="V200" s="432"/>
      <c r="W200" s="432"/>
      <c r="X200" s="432"/>
      <c r="Y200" s="432"/>
      <c r="Z200" s="432"/>
      <c r="AA200" s="432"/>
      <c r="AB200" s="432"/>
      <c r="AC200" s="432"/>
    </row>
    <row r="201" ht="15.75" customHeight="1">
      <c r="A201" s="432"/>
      <c r="B201" s="432"/>
      <c r="C201" s="432"/>
      <c r="D201" s="438"/>
      <c r="E201" s="432"/>
      <c r="F201" s="432"/>
      <c r="G201" s="432"/>
      <c r="H201" s="432"/>
      <c r="I201" s="432"/>
      <c r="J201" s="432"/>
      <c r="K201" s="432"/>
      <c r="L201" s="432"/>
      <c r="M201" s="432"/>
      <c r="N201" s="432"/>
      <c r="O201" s="432"/>
      <c r="P201" s="432"/>
      <c r="Q201" s="432"/>
      <c r="R201" s="432"/>
      <c r="S201" s="432"/>
      <c r="T201" s="432"/>
      <c r="U201" s="432"/>
      <c r="V201" s="432"/>
      <c r="W201" s="432"/>
      <c r="X201" s="432"/>
      <c r="Y201" s="432"/>
      <c r="Z201" s="432"/>
      <c r="AA201" s="432"/>
      <c r="AB201" s="432"/>
      <c r="AC201" s="432"/>
    </row>
    <row r="202" ht="15.75" customHeight="1">
      <c r="A202" s="432"/>
      <c r="B202" s="432"/>
      <c r="C202" s="432"/>
      <c r="D202" s="438"/>
      <c r="E202" s="432"/>
      <c r="F202" s="432"/>
      <c r="G202" s="432"/>
      <c r="H202" s="432"/>
      <c r="I202" s="432"/>
      <c r="J202" s="432"/>
      <c r="K202" s="432"/>
      <c r="L202" s="432"/>
      <c r="M202" s="432"/>
      <c r="N202" s="432"/>
      <c r="O202" s="432"/>
      <c r="P202" s="432"/>
      <c r="Q202" s="432"/>
      <c r="R202" s="432"/>
      <c r="S202" s="432"/>
      <c r="T202" s="432"/>
      <c r="U202" s="432"/>
      <c r="V202" s="432"/>
      <c r="W202" s="432"/>
      <c r="X202" s="432"/>
      <c r="Y202" s="432"/>
      <c r="Z202" s="432"/>
      <c r="AA202" s="432"/>
      <c r="AB202" s="432"/>
      <c r="AC202" s="432"/>
    </row>
    <row r="203" ht="15.75" customHeight="1">
      <c r="A203" s="432"/>
      <c r="B203" s="432"/>
      <c r="C203" s="432"/>
      <c r="D203" s="438"/>
      <c r="E203" s="432"/>
      <c r="F203" s="432"/>
      <c r="G203" s="432"/>
      <c r="H203" s="432"/>
      <c r="I203" s="432"/>
      <c r="J203" s="432"/>
      <c r="K203" s="432"/>
      <c r="L203" s="432"/>
      <c r="M203" s="432"/>
      <c r="N203" s="432"/>
      <c r="O203" s="432"/>
      <c r="P203" s="432"/>
      <c r="Q203" s="432"/>
      <c r="R203" s="432"/>
      <c r="S203" s="432"/>
      <c r="T203" s="432"/>
      <c r="U203" s="432"/>
      <c r="V203" s="432"/>
      <c r="W203" s="432"/>
      <c r="X203" s="432"/>
      <c r="Y203" s="432"/>
      <c r="Z203" s="432"/>
      <c r="AA203" s="432"/>
      <c r="AB203" s="432"/>
      <c r="AC203" s="432"/>
    </row>
    <row r="204" ht="15.75" customHeight="1">
      <c r="A204" s="432"/>
      <c r="B204" s="432"/>
      <c r="C204" s="432"/>
      <c r="D204" s="438"/>
      <c r="E204" s="432"/>
      <c r="F204" s="432"/>
      <c r="G204" s="432"/>
      <c r="H204" s="432"/>
      <c r="I204" s="432"/>
      <c r="J204" s="432"/>
      <c r="K204" s="432"/>
      <c r="L204" s="432"/>
      <c r="M204" s="432"/>
      <c r="N204" s="432"/>
      <c r="O204" s="432"/>
      <c r="P204" s="432"/>
      <c r="Q204" s="432"/>
      <c r="R204" s="432"/>
      <c r="S204" s="432"/>
      <c r="T204" s="432"/>
      <c r="U204" s="432"/>
      <c r="V204" s="432"/>
      <c r="W204" s="432"/>
      <c r="X204" s="432"/>
      <c r="Y204" s="432"/>
      <c r="Z204" s="432"/>
      <c r="AA204" s="432"/>
      <c r="AB204" s="432"/>
      <c r="AC204" s="432"/>
    </row>
    <row r="205" ht="15.75" customHeight="1">
      <c r="A205" s="432"/>
      <c r="B205" s="432"/>
      <c r="C205" s="432"/>
      <c r="D205" s="438"/>
      <c r="E205" s="432"/>
      <c r="F205" s="432"/>
      <c r="G205" s="432"/>
      <c r="H205" s="432"/>
      <c r="I205" s="432"/>
      <c r="J205" s="432"/>
      <c r="K205" s="432"/>
      <c r="L205" s="432"/>
      <c r="M205" s="432"/>
      <c r="N205" s="432"/>
      <c r="O205" s="432"/>
      <c r="P205" s="432"/>
      <c r="Q205" s="432"/>
      <c r="R205" s="432"/>
      <c r="S205" s="432"/>
      <c r="T205" s="432"/>
      <c r="U205" s="432"/>
      <c r="V205" s="432"/>
      <c r="W205" s="432"/>
      <c r="X205" s="432"/>
      <c r="Y205" s="432"/>
      <c r="Z205" s="432"/>
      <c r="AA205" s="432"/>
      <c r="AB205" s="432"/>
      <c r="AC205" s="432"/>
    </row>
    <row r="206" ht="15.75" customHeight="1">
      <c r="A206" s="432"/>
      <c r="B206" s="432"/>
      <c r="C206" s="432"/>
      <c r="D206" s="438"/>
      <c r="E206" s="432"/>
      <c r="F206" s="432"/>
      <c r="G206" s="432"/>
      <c r="H206" s="432"/>
      <c r="I206" s="432"/>
      <c r="J206" s="432"/>
      <c r="K206" s="432"/>
      <c r="L206" s="432"/>
      <c r="M206" s="432"/>
      <c r="N206" s="432"/>
      <c r="O206" s="432"/>
      <c r="P206" s="432"/>
      <c r="Q206" s="432"/>
      <c r="R206" s="432"/>
      <c r="S206" s="432"/>
      <c r="T206" s="432"/>
      <c r="U206" s="432"/>
      <c r="V206" s="432"/>
      <c r="W206" s="432"/>
      <c r="X206" s="432"/>
      <c r="Y206" s="432"/>
      <c r="Z206" s="432"/>
      <c r="AA206" s="432"/>
      <c r="AB206" s="432"/>
      <c r="AC206" s="432"/>
    </row>
    <row r="207" ht="15.75" customHeight="1">
      <c r="A207" s="432"/>
      <c r="B207" s="432"/>
      <c r="C207" s="432"/>
      <c r="D207" s="438"/>
      <c r="E207" s="432"/>
      <c r="F207" s="432"/>
      <c r="G207" s="432"/>
      <c r="H207" s="432"/>
      <c r="I207" s="432"/>
      <c r="J207" s="432"/>
      <c r="K207" s="432"/>
      <c r="L207" s="432"/>
      <c r="M207" s="432"/>
      <c r="N207" s="432"/>
      <c r="O207" s="432"/>
      <c r="P207" s="432"/>
      <c r="Q207" s="432"/>
      <c r="R207" s="432"/>
      <c r="S207" s="432"/>
      <c r="T207" s="432"/>
      <c r="U207" s="432"/>
      <c r="V207" s="432"/>
      <c r="W207" s="432"/>
      <c r="X207" s="432"/>
      <c r="Y207" s="432"/>
      <c r="Z207" s="432"/>
      <c r="AA207" s="432"/>
      <c r="AB207" s="432"/>
      <c r="AC207" s="432"/>
    </row>
    <row r="208" ht="15.75" customHeight="1">
      <c r="A208" s="432"/>
      <c r="B208" s="432"/>
      <c r="C208" s="432"/>
      <c r="D208" s="438"/>
      <c r="E208" s="432"/>
      <c r="F208" s="432"/>
      <c r="G208" s="432"/>
      <c r="H208" s="432"/>
      <c r="I208" s="432"/>
      <c r="J208" s="432"/>
      <c r="K208" s="432"/>
      <c r="L208" s="432"/>
      <c r="M208" s="432"/>
      <c r="N208" s="432"/>
      <c r="O208" s="432"/>
      <c r="P208" s="432"/>
      <c r="Q208" s="432"/>
      <c r="R208" s="432"/>
      <c r="S208" s="432"/>
      <c r="T208" s="432"/>
      <c r="U208" s="432"/>
      <c r="V208" s="432"/>
      <c r="W208" s="432"/>
      <c r="X208" s="432"/>
      <c r="Y208" s="432"/>
      <c r="Z208" s="432"/>
      <c r="AA208" s="432"/>
      <c r="AB208" s="432"/>
      <c r="AC208" s="432"/>
    </row>
    <row r="209" ht="15.75" customHeight="1">
      <c r="A209" s="432"/>
      <c r="B209" s="432"/>
      <c r="C209" s="432"/>
      <c r="D209" s="438"/>
      <c r="E209" s="432"/>
      <c r="F209" s="432"/>
      <c r="G209" s="432"/>
      <c r="H209" s="432"/>
      <c r="I209" s="432"/>
      <c r="J209" s="432"/>
      <c r="K209" s="432"/>
      <c r="L209" s="432"/>
      <c r="M209" s="432"/>
      <c r="N209" s="432"/>
      <c r="O209" s="432"/>
      <c r="P209" s="432"/>
      <c r="Q209" s="432"/>
      <c r="R209" s="432"/>
      <c r="S209" s="432"/>
      <c r="T209" s="432"/>
      <c r="U209" s="432"/>
      <c r="V209" s="432"/>
      <c r="W209" s="432"/>
      <c r="X209" s="432"/>
      <c r="Y209" s="432"/>
      <c r="Z209" s="432"/>
      <c r="AA209" s="432"/>
      <c r="AB209" s="432"/>
      <c r="AC209" s="432"/>
    </row>
    <row r="210" ht="15.75" customHeight="1">
      <c r="A210" s="432"/>
      <c r="B210" s="432"/>
      <c r="C210" s="432"/>
      <c r="D210" s="438"/>
      <c r="E210" s="432"/>
      <c r="F210" s="432"/>
      <c r="G210" s="432"/>
      <c r="H210" s="432"/>
      <c r="I210" s="432"/>
      <c r="J210" s="432"/>
      <c r="K210" s="432"/>
      <c r="L210" s="432"/>
      <c r="M210" s="432"/>
      <c r="N210" s="432"/>
      <c r="O210" s="432"/>
      <c r="P210" s="432"/>
      <c r="Q210" s="432"/>
      <c r="R210" s="432"/>
      <c r="S210" s="432"/>
      <c r="T210" s="432"/>
      <c r="U210" s="432"/>
      <c r="V210" s="432"/>
      <c r="W210" s="432"/>
      <c r="X210" s="432"/>
      <c r="Y210" s="432"/>
      <c r="Z210" s="432"/>
      <c r="AA210" s="432"/>
      <c r="AB210" s="432"/>
      <c r="AC210" s="432"/>
    </row>
    <row r="211" ht="15.75" customHeight="1">
      <c r="A211" s="432"/>
      <c r="B211" s="432"/>
      <c r="C211" s="432"/>
      <c r="D211" s="438"/>
      <c r="E211" s="432"/>
      <c r="F211" s="432"/>
      <c r="G211" s="432"/>
      <c r="H211" s="432"/>
      <c r="I211" s="432"/>
      <c r="J211" s="432"/>
      <c r="K211" s="432"/>
      <c r="L211" s="432"/>
      <c r="M211" s="432"/>
      <c r="N211" s="432"/>
      <c r="O211" s="432"/>
      <c r="P211" s="432"/>
      <c r="Q211" s="432"/>
      <c r="R211" s="432"/>
      <c r="S211" s="432"/>
      <c r="T211" s="432"/>
      <c r="U211" s="432"/>
      <c r="V211" s="432"/>
      <c r="W211" s="432"/>
      <c r="X211" s="432"/>
      <c r="Y211" s="432"/>
      <c r="Z211" s="432"/>
      <c r="AA211" s="432"/>
      <c r="AB211" s="432"/>
      <c r="AC211" s="432"/>
    </row>
    <row r="212" ht="15.75" customHeight="1">
      <c r="A212" s="432"/>
      <c r="B212" s="432"/>
      <c r="C212" s="432"/>
      <c r="D212" s="438"/>
      <c r="E212" s="432"/>
      <c r="F212" s="432"/>
      <c r="G212" s="432"/>
      <c r="H212" s="432"/>
      <c r="I212" s="432"/>
      <c r="J212" s="432"/>
      <c r="K212" s="432"/>
      <c r="L212" s="432"/>
      <c r="M212" s="432"/>
      <c r="N212" s="432"/>
      <c r="O212" s="432"/>
      <c r="P212" s="432"/>
      <c r="Q212" s="432"/>
      <c r="R212" s="432"/>
      <c r="S212" s="432"/>
      <c r="T212" s="432"/>
      <c r="U212" s="432"/>
      <c r="V212" s="432"/>
      <c r="W212" s="432"/>
      <c r="X212" s="432"/>
      <c r="Y212" s="432"/>
      <c r="Z212" s="432"/>
      <c r="AA212" s="432"/>
      <c r="AB212" s="432"/>
      <c r="AC212" s="432"/>
    </row>
    <row r="213" ht="15.75" customHeight="1">
      <c r="A213" s="432"/>
      <c r="B213" s="432"/>
      <c r="C213" s="432"/>
      <c r="D213" s="438"/>
      <c r="E213" s="432"/>
      <c r="F213" s="432"/>
      <c r="G213" s="432"/>
      <c r="H213" s="432"/>
      <c r="I213" s="432"/>
      <c r="J213" s="432"/>
      <c r="K213" s="432"/>
      <c r="L213" s="432"/>
      <c r="M213" s="432"/>
      <c r="N213" s="432"/>
      <c r="O213" s="432"/>
      <c r="P213" s="432"/>
      <c r="Q213" s="432"/>
      <c r="R213" s="432"/>
      <c r="S213" s="432"/>
      <c r="T213" s="432"/>
      <c r="U213" s="432"/>
      <c r="V213" s="432"/>
      <c r="W213" s="432"/>
      <c r="X213" s="432"/>
      <c r="Y213" s="432"/>
      <c r="Z213" s="432"/>
      <c r="AA213" s="432"/>
      <c r="AB213" s="432"/>
      <c r="AC213" s="432"/>
    </row>
    <row r="214" ht="15.75" customHeight="1">
      <c r="A214" s="432"/>
      <c r="B214" s="432"/>
      <c r="C214" s="432"/>
      <c r="D214" s="438"/>
      <c r="E214" s="432"/>
      <c r="F214" s="432"/>
      <c r="G214" s="432"/>
      <c r="H214" s="432"/>
      <c r="I214" s="432"/>
      <c r="J214" s="432"/>
      <c r="K214" s="432"/>
      <c r="L214" s="432"/>
      <c r="M214" s="432"/>
      <c r="N214" s="432"/>
      <c r="O214" s="432"/>
      <c r="P214" s="432"/>
      <c r="Q214" s="432"/>
      <c r="R214" s="432"/>
      <c r="S214" s="432"/>
      <c r="T214" s="432"/>
      <c r="U214" s="432"/>
      <c r="V214" s="432"/>
      <c r="W214" s="432"/>
      <c r="X214" s="432"/>
      <c r="Y214" s="432"/>
      <c r="Z214" s="432"/>
      <c r="AA214" s="432"/>
      <c r="AB214" s="432"/>
      <c r="AC214" s="432"/>
    </row>
    <row r="215" ht="15.75" customHeight="1">
      <c r="A215" s="432"/>
      <c r="B215" s="432"/>
      <c r="C215" s="432"/>
      <c r="D215" s="438"/>
      <c r="E215" s="432"/>
      <c r="F215" s="432"/>
      <c r="G215" s="432"/>
      <c r="H215" s="432"/>
      <c r="I215" s="432"/>
      <c r="J215" s="432"/>
      <c r="K215" s="432"/>
      <c r="L215" s="432"/>
      <c r="M215" s="432"/>
      <c r="N215" s="432"/>
      <c r="O215" s="432"/>
      <c r="P215" s="432"/>
      <c r="Q215" s="432"/>
      <c r="R215" s="432"/>
      <c r="S215" s="432"/>
      <c r="T215" s="432"/>
      <c r="U215" s="432"/>
      <c r="V215" s="432"/>
      <c r="W215" s="432"/>
      <c r="X215" s="432"/>
      <c r="Y215" s="432"/>
      <c r="Z215" s="432"/>
      <c r="AA215" s="432"/>
      <c r="AB215" s="432"/>
      <c r="AC215" s="432"/>
    </row>
    <row r="216" ht="15.75" customHeight="1">
      <c r="A216" s="432"/>
      <c r="B216" s="432"/>
      <c r="C216" s="432"/>
      <c r="D216" s="438"/>
      <c r="E216" s="432"/>
      <c r="F216" s="432"/>
      <c r="G216" s="432"/>
      <c r="H216" s="432"/>
      <c r="I216" s="432"/>
      <c r="J216" s="432"/>
      <c r="K216" s="432"/>
      <c r="L216" s="432"/>
      <c r="M216" s="432"/>
      <c r="N216" s="432"/>
      <c r="O216" s="432"/>
      <c r="P216" s="432"/>
      <c r="Q216" s="432"/>
      <c r="R216" s="432"/>
      <c r="S216" s="432"/>
      <c r="T216" s="432"/>
      <c r="U216" s="432"/>
      <c r="V216" s="432"/>
      <c r="W216" s="432"/>
      <c r="X216" s="432"/>
      <c r="Y216" s="432"/>
      <c r="Z216" s="432"/>
      <c r="AA216" s="432"/>
      <c r="AB216" s="432"/>
      <c r="AC216" s="432"/>
    </row>
    <row r="217" ht="15.75" customHeight="1">
      <c r="A217" s="432"/>
      <c r="B217" s="432"/>
      <c r="C217" s="432"/>
      <c r="D217" s="438"/>
      <c r="E217" s="432"/>
      <c r="F217" s="432"/>
      <c r="G217" s="432"/>
      <c r="H217" s="432"/>
      <c r="I217" s="432"/>
      <c r="J217" s="432"/>
      <c r="K217" s="432"/>
      <c r="L217" s="432"/>
      <c r="M217" s="432"/>
      <c r="N217" s="432"/>
      <c r="O217" s="432"/>
      <c r="P217" s="432"/>
      <c r="Q217" s="432"/>
      <c r="R217" s="432"/>
      <c r="S217" s="432"/>
      <c r="T217" s="432"/>
      <c r="U217" s="432"/>
      <c r="V217" s="432"/>
      <c r="W217" s="432"/>
      <c r="X217" s="432"/>
      <c r="Y217" s="432"/>
      <c r="Z217" s="432"/>
      <c r="AA217" s="432"/>
      <c r="AB217" s="432"/>
      <c r="AC217" s="432"/>
    </row>
    <row r="218" ht="15.75" customHeight="1">
      <c r="A218" s="432"/>
      <c r="B218" s="432"/>
      <c r="C218" s="432"/>
      <c r="D218" s="438"/>
      <c r="E218" s="432"/>
      <c r="F218" s="432"/>
      <c r="G218" s="432"/>
      <c r="H218" s="432"/>
      <c r="I218" s="432"/>
      <c r="J218" s="432"/>
      <c r="K218" s="432"/>
      <c r="L218" s="432"/>
      <c r="M218" s="432"/>
      <c r="N218" s="432"/>
      <c r="O218" s="432"/>
      <c r="P218" s="432"/>
      <c r="Q218" s="432"/>
      <c r="R218" s="432"/>
      <c r="S218" s="432"/>
      <c r="T218" s="432"/>
      <c r="U218" s="432"/>
      <c r="V218" s="432"/>
      <c r="W218" s="432"/>
      <c r="X218" s="432"/>
      <c r="Y218" s="432"/>
      <c r="Z218" s="432"/>
      <c r="AA218" s="432"/>
      <c r="AB218" s="432"/>
      <c r="AC218" s="432"/>
    </row>
    <row r="219" ht="15.75" customHeight="1">
      <c r="A219" s="432"/>
      <c r="B219" s="432"/>
      <c r="C219" s="432"/>
      <c r="D219" s="438"/>
      <c r="E219" s="432"/>
      <c r="F219" s="432"/>
      <c r="G219" s="432"/>
      <c r="H219" s="432"/>
      <c r="I219" s="432"/>
      <c r="J219" s="432"/>
      <c r="K219" s="432"/>
      <c r="L219" s="432"/>
      <c r="M219" s="432"/>
      <c r="N219" s="432"/>
      <c r="O219" s="432"/>
      <c r="P219" s="432"/>
      <c r="Q219" s="432"/>
      <c r="R219" s="432"/>
      <c r="S219" s="432"/>
      <c r="T219" s="432"/>
      <c r="U219" s="432"/>
      <c r="V219" s="432"/>
      <c r="W219" s="432"/>
      <c r="X219" s="432"/>
      <c r="Y219" s="432"/>
      <c r="Z219" s="432"/>
      <c r="AA219" s="432"/>
      <c r="AB219" s="432"/>
      <c r="AC219" s="432"/>
    </row>
    <row r="220" ht="15.75" customHeight="1">
      <c r="A220" s="432"/>
      <c r="B220" s="432"/>
      <c r="C220" s="432"/>
      <c r="D220" s="438"/>
      <c r="E220" s="432"/>
      <c r="F220" s="432"/>
      <c r="G220" s="432"/>
      <c r="H220" s="432"/>
      <c r="I220" s="432"/>
      <c r="J220" s="432"/>
      <c r="K220" s="432"/>
      <c r="L220" s="432"/>
      <c r="M220" s="432"/>
      <c r="N220" s="432"/>
      <c r="O220" s="432"/>
      <c r="P220" s="432"/>
      <c r="Q220" s="432"/>
      <c r="R220" s="432"/>
      <c r="S220" s="432"/>
      <c r="T220" s="432"/>
      <c r="U220" s="432"/>
      <c r="V220" s="432"/>
      <c r="W220" s="432"/>
      <c r="X220" s="432"/>
      <c r="Y220" s="432"/>
      <c r="Z220" s="432"/>
      <c r="AA220" s="432"/>
      <c r="AB220" s="432"/>
      <c r="AC220" s="432"/>
    </row>
    <row r="221" ht="15.75" customHeight="1">
      <c r="A221" s="432"/>
      <c r="B221" s="432"/>
      <c r="C221" s="432"/>
      <c r="D221" s="438"/>
      <c r="E221" s="432"/>
      <c r="F221" s="432"/>
      <c r="G221" s="432"/>
      <c r="H221" s="432"/>
      <c r="I221" s="432"/>
      <c r="J221" s="432"/>
      <c r="K221" s="432"/>
      <c r="L221" s="432"/>
      <c r="M221" s="432"/>
      <c r="N221" s="432"/>
      <c r="O221" s="432"/>
      <c r="P221" s="432"/>
      <c r="Q221" s="432"/>
      <c r="R221" s="432"/>
      <c r="S221" s="432"/>
      <c r="T221" s="432"/>
      <c r="U221" s="432"/>
      <c r="V221" s="432"/>
      <c r="W221" s="432"/>
      <c r="X221" s="432"/>
      <c r="Y221" s="432"/>
      <c r="Z221" s="432"/>
      <c r="AA221" s="432"/>
      <c r="AB221" s="432"/>
      <c r="AC221" s="432"/>
    </row>
    <row r="222" ht="15.75" customHeight="1">
      <c r="A222" s="432"/>
      <c r="B222" s="432"/>
      <c r="C222" s="432"/>
      <c r="D222" s="438"/>
      <c r="E222" s="432"/>
      <c r="F222" s="432"/>
      <c r="G222" s="432"/>
      <c r="H222" s="432"/>
      <c r="I222" s="432"/>
      <c r="J222" s="432"/>
      <c r="K222" s="432"/>
      <c r="L222" s="432"/>
      <c r="M222" s="432"/>
      <c r="N222" s="432"/>
      <c r="O222" s="432"/>
      <c r="P222" s="432"/>
      <c r="Q222" s="432"/>
      <c r="R222" s="432"/>
      <c r="S222" s="432"/>
      <c r="T222" s="432"/>
      <c r="U222" s="432"/>
      <c r="V222" s="432"/>
      <c r="W222" s="432"/>
      <c r="X222" s="432"/>
      <c r="Y222" s="432"/>
      <c r="Z222" s="432"/>
      <c r="AA222" s="432"/>
      <c r="AB222" s="432"/>
      <c r="AC222" s="432"/>
    </row>
    <row r="223" ht="15.75" customHeight="1">
      <c r="A223" s="432"/>
      <c r="B223" s="432"/>
      <c r="C223" s="432"/>
      <c r="D223" s="438"/>
      <c r="E223" s="432"/>
      <c r="F223" s="432"/>
      <c r="G223" s="432"/>
      <c r="H223" s="432"/>
      <c r="I223" s="432"/>
      <c r="J223" s="432"/>
      <c r="K223" s="432"/>
      <c r="L223" s="432"/>
      <c r="M223" s="432"/>
      <c r="N223" s="432"/>
      <c r="O223" s="432"/>
      <c r="P223" s="432"/>
      <c r="Q223" s="432"/>
      <c r="R223" s="432"/>
      <c r="S223" s="432"/>
      <c r="T223" s="432"/>
      <c r="U223" s="432"/>
      <c r="V223" s="432"/>
      <c r="W223" s="432"/>
      <c r="X223" s="432"/>
      <c r="Y223" s="432"/>
      <c r="Z223" s="432"/>
      <c r="AA223" s="432"/>
      <c r="AB223" s="432"/>
      <c r="AC223" s="432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Q1:S1"/>
    <mergeCell ref="T1:V1"/>
    <mergeCell ref="W1:W2"/>
    <mergeCell ref="X1:X2"/>
    <mergeCell ref="Y1:Y2"/>
    <mergeCell ref="A1:A2"/>
    <mergeCell ref="B1:B2"/>
    <mergeCell ref="C1:C2"/>
    <mergeCell ref="D1:D2"/>
    <mergeCell ref="E1:H1"/>
    <mergeCell ref="I1:L1"/>
    <mergeCell ref="M1:P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3.57"/>
    <col customWidth="1" min="2" max="2" width="35.71"/>
    <col customWidth="1" min="3" max="6" width="14.43"/>
  </cols>
  <sheetData>
    <row r="1">
      <c r="A1" s="444" t="s">
        <v>1</v>
      </c>
      <c r="B1" s="445"/>
      <c r="C1" s="445"/>
      <c r="D1" s="446" t="s">
        <v>745</v>
      </c>
      <c r="E1" s="447" t="s">
        <v>746</v>
      </c>
      <c r="F1" s="447" t="s">
        <v>747</v>
      </c>
      <c r="G1" s="447" t="s">
        <v>748</v>
      </c>
      <c r="H1" s="447" t="s">
        <v>749</v>
      </c>
    </row>
    <row r="2">
      <c r="A2" s="448" t="s">
        <v>750</v>
      </c>
      <c r="B2" s="448" t="s">
        <v>2</v>
      </c>
      <c r="C2" s="448" t="s">
        <v>9</v>
      </c>
      <c r="D2" s="25"/>
      <c r="E2" s="25"/>
      <c r="F2" s="25"/>
      <c r="G2" s="25"/>
      <c r="H2" s="25"/>
    </row>
    <row r="3">
      <c r="A3" s="448" t="s">
        <v>54</v>
      </c>
      <c r="B3" s="449" t="s">
        <v>751</v>
      </c>
      <c r="C3" s="450">
        <v>46268.0</v>
      </c>
      <c r="D3" s="451">
        <v>0.0</v>
      </c>
      <c r="E3" s="452">
        <v>0.0</v>
      </c>
      <c r="F3" s="453">
        <v>0.0</v>
      </c>
      <c r="G3" s="454">
        <v>0.0</v>
      </c>
      <c r="H3" s="454">
        <f>G3</f>
        <v>0</v>
      </c>
      <c r="K3" s="448" t="s">
        <v>54</v>
      </c>
      <c r="L3" s="449" t="s">
        <v>751</v>
      </c>
      <c r="M3" s="450">
        <v>46268.0</v>
      </c>
    </row>
    <row r="4">
      <c r="A4" s="448" t="s">
        <v>109</v>
      </c>
      <c r="B4" s="449" t="s">
        <v>752</v>
      </c>
      <c r="C4" s="455">
        <v>46275.0</v>
      </c>
      <c r="D4" s="451">
        <f>'PL Cronograma detallado'!H29</f>
        <v>0.04995693368</v>
      </c>
      <c r="E4" s="456">
        <f>'PL Cronograma detallado'!M29</f>
        <v>54.39</v>
      </c>
      <c r="F4" s="453">
        <f>EVM!N16</f>
        <v>90.37</v>
      </c>
      <c r="G4" s="454">
        <f>EVM!J16</f>
        <v>40.04</v>
      </c>
      <c r="H4" s="454">
        <f t="shared" ref="H4:H9" si="1">H3+G4</f>
        <v>40.04</v>
      </c>
      <c r="K4" s="448" t="s">
        <v>109</v>
      </c>
      <c r="L4" s="449" t="s">
        <v>752</v>
      </c>
      <c r="M4" s="455">
        <v>46275.0</v>
      </c>
    </row>
    <row r="5">
      <c r="A5" s="448" t="s">
        <v>182</v>
      </c>
      <c r="B5" s="449" t="s">
        <v>753</v>
      </c>
      <c r="C5" s="455">
        <v>46289.0</v>
      </c>
      <c r="D5" s="451">
        <f>'PL Cronograma detallado'!H79</f>
        <v>0.2592592593</v>
      </c>
      <c r="E5" s="456">
        <f>'PL Cronograma detallado'!M79</f>
        <v>237.07</v>
      </c>
      <c r="F5" s="453">
        <f>EVM!N34</f>
        <v>800.93</v>
      </c>
      <c r="G5" s="454">
        <f>EVM!J34</f>
        <v>76.06</v>
      </c>
      <c r="H5" s="454">
        <f t="shared" si="1"/>
        <v>116.1</v>
      </c>
      <c r="K5" s="448" t="s">
        <v>182</v>
      </c>
      <c r="L5" s="449" t="s">
        <v>753</v>
      </c>
      <c r="M5" s="455">
        <v>46289.0</v>
      </c>
    </row>
    <row r="6">
      <c r="A6" s="448" t="s">
        <v>211</v>
      </c>
      <c r="B6" s="449" t="s">
        <v>754</v>
      </c>
      <c r="C6" s="455">
        <v>46310.0</v>
      </c>
      <c r="D6" s="451">
        <f>'PL Cronograma detallado'!H145</f>
        <v>0.5288544358</v>
      </c>
      <c r="E6" s="456">
        <f>'PL Cronograma detallado'!M145</f>
        <v>399.15</v>
      </c>
      <c r="F6" s="453">
        <f>EVM!N45</f>
        <v>1133.92</v>
      </c>
      <c r="G6" s="453">
        <f>EVM!J45</f>
        <v>131.85</v>
      </c>
      <c r="H6" s="454">
        <f t="shared" si="1"/>
        <v>247.95</v>
      </c>
      <c r="K6" s="448" t="s">
        <v>211</v>
      </c>
      <c r="L6" s="449" t="s">
        <v>754</v>
      </c>
      <c r="M6" s="455">
        <v>46310.0</v>
      </c>
    </row>
    <row r="7">
      <c r="A7" s="448" t="s">
        <v>276</v>
      </c>
      <c r="B7" s="449" t="s">
        <v>755</v>
      </c>
      <c r="C7" s="455">
        <v>46331.0</v>
      </c>
      <c r="D7" s="451">
        <f>'PL Cronograma detallado'!H185</f>
        <v>0.7174849268</v>
      </c>
      <c r="E7" s="456">
        <f>'PL Cronograma detallado'!M185</f>
        <v>474.25</v>
      </c>
      <c r="F7" s="453">
        <f>EVM!N57</f>
        <v>1727.59</v>
      </c>
      <c r="G7" s="453">
        <f>EVM!J57</f>
        <v>174.76</v>
      </c>
      <c r="H7" s="454">
        <f t="shared" si="1"/>
        <v>422.71</v>
      </c>
      <c r="K7" s="448" t="s">
        <v>276</v>
      </c>
      <c r="L7" s="449" t="s">
        <v>755</v>
      </c>
      <c r="M7" s="455">
        <v>46331.0</v>
      </c>
    </row>
    <row r="8">
      <c r="A8" s="448" t="s">
        <v>281</v>
      </c>
      <c r="B8" s="449" t="s">
        <v>756</v>
      </c>
      <c r="C8" s="455">
        <v>46352.0</v>
      </c>
      <c r="D8" s="451">
        <f>'PL Cronograma detallado'!H212</f>
        <v>0.8975021533</v>
      </c>
      <c r="E8" s="456">
        <f>'PL Cronograma detallado'!M212</f>
        <v>537.84</v>
      </c>
      <c r="F8" s="453">
        <f>EVM!N69</f>
        <v>1865.25</v>
      </c>
      <c r="G8" s="453">
        <f>EVM!J69</f>
        <v>208.22</v>
      </c>
      <c r="H8" s="454">
        <f t="shared" si="1"/>
        <v>630.93</v>
      </c>
      <c r="K8" s="448" t="s">
        <v>281</v>
      </c>
      <c r="L8" s="449" t="s">
        <v>756</v>
      </c>
      <c r="M8" s="455">
        <v>46352.0</v>
      </c>
    </row>
    <row r="9">
      <c r="A9" s="448" t="s">
        <v>283</v>
      </c>
      <c r="B9" s="449" t="s">
        <v>757</v>
      </c>
      <c r="C9" s="455">
        <v>46367.0</v>
      </c>
      <c r="D9" s="451">
        <f>'PL Cronograma detallado'!H238</f>
        <v>1</v>
      </c>
      <c r="E9" s="456">
        <f>'PL Cronograma detallado'!M238</f>
        <v>589.52</v>
      </c>
      <c r="F9" s="453">
        <f>EVM!N80</f>
        <v>2000.27</v>
      </c>
      <c r="G9" s="453">
        <f>EVM!J80</f>
        <v>248.17</v>
      </c>
      <c r="H9" s="454">
        <f t="shared" si="1"/>
        <v>879.1</v>
      </c>
      <c r="K9" s="448" t="s">
        <v>283</v>
      </c>
      <c r="L9" s="449" t="s">
        <v>757</v>
      </c>
      <c r="M9" s="455">
        <v>46367.0</v>
      </c>
    </row>
    <row r="10">
      <c r="A10" s="457"/>
      <c r="B10" s="458"/>
      <c r="C10" s="459"/>
      <c r="D10" s="7"/>
      <c r="E10" s="7"/>
      <c r="F10" s="460"/>
      <c r="G10" s="460"/>
      <c r="H10" s="460"/>
    </row>
    <row r="11">
      <c r="A11" s="7"/>
      <c r="B11" s="7"/>
      <c r="C11" s="7"/>
      <c r="D11" s="7"/>
      <c r="E11" s="7"/>
      <c r="F11" s="460"/>
      <c r="G11" s="460"/>
      <c r="H11" s="460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/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 ht="15.75" customHeight="1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444" t="s">
        <v>1</v>
      </c>
      <c r="B43" s="445"/>
      <c r="C43" s="445"/>
      <c r="D43" s="446" t="s">
        <v>745</v>
      </c>
      <c r="E43" s="447" t="s">
        <v>746</v>
      </c>
      <c r="F43" s="447" t="s">
        <v>747</v>
      </c>
      <c r="G43" s="447" t="s">
        <v>748</v>
      </c>
      <c r="H43" s="447" t="s">
        <v>749</v>
      </c>
      <c r="J43" s="461" t="s">
        <v>0</v>
      </c>
      <c r="K43" s="461" t="s">
        <v>2</v>
      </c>
      <c r="L43" s="462" t="s">
        <v>4</v>
      </c>
      <c r="M43" s="462" t="s">
        <v>5</v>
      </c>
      <c r="N43" s="462" t="s">
        <v>6</v>
      </c>
      <c r="O43" s="462" t="s">
        <v>7</v>
      </c>
      <c r="P43" s="463" t="s">
        <v>8</v>
      </c>
      <c r="Q43" s="464" t="s">
        <v>10</v>
      </c>
      <c r="R43" s="463" t="s">
        <v>13</v>
      </c>
      <c r="S43" s="464" t="s">
        <v>14</v>
      </c>
      <c r="T43" s="461" t="s">
        <v>37</v>
      </c>
    </row>
    <row r="44" ht="15.75" customHeight="1">
      <c r="A44" s="448" t="s">
        <v>750</v>
      </c>
      <c r="B44" s="448" t="s">
        <v>2</v>
      </c>
      <c r="C44" s="448" t="s">
        <v>9</v>
      </c>
      <c r="D44" s="25"/>
      <c r="E44" s="25"/>
      <c r="F44" s="25"/>
      <c r="G44" s="25"/>
      <c r="H44" s="25"/>
      <c r="J44" s="21" t="s">
        <v>54</v>
      </c>
      <c r="K44" s="26" t="s">
        <v>55</v>
      </c>
      <c r="L44" s="34">
        <v>46268.0</v>
      </c>
      <c r="M44" s="34">
        <v>46268.0</v>
      </c>
      <c r="N44" s="37">
        <v>1.0</v>
      </c>
      <c r="O44" s="41">
        <v>0.0</v>
      </c>
      <c r="P44" s="42">
        <v>0.0</v>
      </c>
      <c r="Q44" s="42">
        <v>0.0</v>
      </c>
      <c r="R44" s="44">
        <v>0.0</v>
      </c>
      <c r="S44" s="44">
        <v>0.0</v>
      </c>
      <c r="T44" s="46">
        <v>0.0</v>
      </c>
    </row>
    <row r="45" ht="15.75" customHeight="1">
      <c r="A45" s="448" t="s">
        <v>54</v>
      </c>
      <c r="B45" s="449" t="s">
        <v>751</v>
      </c>
      <c r="C45" s="450">
        <v>46268.0</v>
      </c>
      <c r="D45" s="451">
        <v>0.0</v>
      </c>
      <c r="E45" s="452">
        <v>0.0</v>
      </c>
      <c r="F45" s="453">
        <v>0.0</v>
      </c>
      <c r="G45" s="454">
        <v>0.0</v>
      </c>
      <c r="H45" s="454">
        <v>0.0</v>
      </c>
      <c r="J45" s="53" t="s">
        <v>57</v>
      </c>
      <c r="K45" s="56" t="s">
        <v>59</v>
      </c>
      <c r="L45" s="60">
        <v>46268.0</v>
      </c>
      <c r="M45" s="60">
        <v>46268.0</v>
      </c>
      <c r="N45" s="67">
        <v>1.0</v>
      </c>
      <c r="O45" s="56">
        <v>34.0</v>
      </c>
      <c r="P45" s="74">
        <v>76.5</v>
      </c>
      <c r="Q45" s="74">
        <v>76.5</v>
      </c>
      <c r="R45" s="74">
        <v>36.339999999999996</v>
      </c>
      <c r="S45" s="74">
        <v>36.34</v>
      </c>
      <c r="T45" s="92">
        <v>0.05565660240087304</v>
      </c>
    </row>
    <row r="46" ht="15.75" customHeight="1">
      <c r="A46" s="448" t="s">
        <v>109</v>
      </c>
      <c r="B46" s="449" t="s">
        <v>752</v>
      </c>
      <c r="C46" s="455">
        <v>46275.0</v>
      </c>
      <c r="D46" s="451">
        <v>0.04298356510745892</v>
      </c>
      <c r="E46" s="456">
        <v>36.34</v>
      </c>
      <c r="F46" s="453">
        <v>36.34</v>
      </c>
      <c r="G46" s="454">
        <v>36.34</v>
      </c>
      <c r="H46" s="454">
        <v>36.34</v>
      </c>
      <c r="J46" s="98" t="s">
        <v>109</v>
      </c>
      <c r="K46" s="103" t="s">
        <v>110</v>
      </c>
      <c r="L46" s="107">
        <v>46275.0</v>
      </c>
      <c r="M46" s="107">
        <v>46275.0</v>
      </c>
      <c r="N46" s="109">
        <v>1.0</v>
      </c>
      <c r="O46" s="112">
        <v>0.0</v>
      </c>
      <c r="P46" s="113">
        <v>0.0</v>
      </c>
      <c r="Q46" s="113">
        <v>76.5</v>
      </c>
      <c r="R46" s="113">
        <v>0.0</v>
      </c>
      <c r="S46" s="113">
        <v>36.34</v>
      </c>
      <c r="T46" s="120">
        <v>0.05565660240087304</v>
      </c>
    </row>
    <row r="47" ht="15.75" customHeight="1">
      <c r="A47" s="448" t="s">
        <v>182</v>
      </c>
      <c r="B47" s="449" t="s">
        <v>753</v>
      </c>
      <c r="C47" s="455">
        <v>46289.0</v>
      </c>
      <c r="D47" s="451">
        <v>0.2541087231352718</v>
      </c>
      <c r="E47" s="456">
        <v>129.22000000000006</v>
      </c>
      <c r="F47" s="453">
        <v>129.22000000000006</v>
      </c>
      <c r="G47" s="454">
        <v>125.89100000000005</v>
      </c>
      <c r="H47" s="454">
        <v>162.23100000000005</v>
      </c>
      <c r="J47" s="53" t="s">
        <v>111</v>
      </c>
      <c r="K47" s="129" t="s">
        <v>112</v>
      </c>
      <c r="L47" s="60">
        <v>46275.0</v>
      </c>
      <c r="M47" s="60">
        <v>46289.0</v>
      </c>
      <c r="N47" s="67">
        <v>15.0</v>
      </c>
      <c r="O47" s="56">
        <v>167.0</v>
      </c>
      <c r="P47" s="74">
        <v>573.0</v>
      </c>
      <c r="Q47" s="74">
        <v>649.5</v>
      </c>
      <c r="R47" s="74">
        <v>92.88</v>
      </c>
      <c r="S47" s="74">
        <v>129.22000000000006</v>
      </c>
      <c r="T47" s="92">
        <v>0.4725354674427064</v>
      </c>
    </row>
    <row r="48" ht="15.75" customHeight="1">
      <c r="A48" s="448" t="s">
        <v>211</v>
      </c>
      <c r="B48" s="449" t="s">
        <v>754</v>
      </c>
      <c r="C48" s="455">
        <v>46310.0</v>
      </c>
      <c r="D48" s="451">
        <v>0.4525916561314791</v>
      </c>
      <c r="E48" s="456">
        <v>160.59000000000006</v>
      </c>
      <c r="F48" s="453"/>
      <c r="G48" s="453"/>
      <c r="H48" s="454"/>
      <c r="J48" s="141" t="s">
        <v>182</v>
      </c>
      <c r="K48" s="103" t="s">
        <v>183</v>
      </c>
      <c r="L48" s="107">
        <v>46289.0</v>
      </c>
      <c r="M48" s="107">
        <v>46289.0</v>
      </c>
      <c r="N48" s="109">
        <v>1.0</v>
      </c>
      <c r="O48" s="112">
        <v>0.0</v>
      </c>
      <c r="P48" s="113">
        <v>0.0</v>
      </c>
      <c r="Q48" s="113">
        <v>649.5</v>
      </c>
      <c r="R48" s="113">
        <v>0.0</v>
      </c>
      <c r="S48" s="113">
        <v>129.22000000000006</v>
      </c>
      <c r="T48" s="120">
        <v>0.4725354674427064</v>
      </c>
    </row>
    <row r="49" ht="15.75" customHeight="1">
      <c r="A49" s="448" t="s">
        <v>276</v>
      </c>
      <c r="B49" s="449" t="s">
        <v>755</v>
      </c>
      <c r="C49" s="455">
        <v>46331.0</v>
      </c>
      <c r="D49" s="451">
        <v>0.6523388116308473</v>
      </c>
      <c r="E49" s="456">
        <v>196.93000000000006</v>
      </c>
      <c r="F49" s="453"/>
      <c r="G49" s="453"/>
      <c r="H49" s="454"/>
      <c r="J49" s="157">
        <v>3.0</v>
      </c>
      <c r="K49" s="164" t="s">
        <v>184</v>
      </c>
      <c r="L49" s="166">
        <v>46290.0</v>
      </c>
      <c r="M49" s="166">
        <v>46310.0</v>
      </c>
      <c r="N49" s="168">
        <v>21.0</v>
      </c>
      <c r="O49" s="80">
        <v>157.0</v>
      </c>
      <c r="P49" s="172">
        <v>182.0</v>
      </c>
      <c r="Q49" s="172">
        <v>831.5</v>
      </c>
      <c r="R49" s="172">
        <v>31.370000000000005</v>
      </c>
      <c r="S49" s="172">
        <v>160.59000000000006</v>
      </c>
      <c r="T49" s="47">
        <v>0.6049472535467443</v>
      </c>
    </row>
    <row r="50" ht="15.75" customHeight="1">
      <c r="A50" s="448" t="s">
        <v>281</v>
      </c>
      <c r="B50" s="449" t="s">
        <v>756</v>
      </c>
      <c r="C50" s="455">
        <v>46352.0</v>
      </c>
      <c r="D50" s="451">
        <v>0.8836915297092294</v>
      </c>
      <c r="E50" s="456">
        <v>240.69000000000003</v>
      </c>
      <c r="F50" s="453"/>
      <c r="G50" s="453"/>
      <c r="H50" s="454"/>
      <c r="J50" s="141" t="s">
        <v>211</v>
      </c>
      <c r="K50" s="103" t="s">
        <v>212</v>
      </c>
      <c r="L50" s="107">
        <v>46310.0</v>
      </c>
      <c r="M50" s="107">
        <v>46310.0</v>
      </c>
      <c r="N50" s="109">
        <v>1.0</v>
      </c>
      <c r="O50" s="112">
        <v>0.0</v>
      </c>
      <c r="P50" s="113">
        <v>0.0</v>
      </c>
      <c r="Q50" s="113">
        <v>831.5</v>
      </c>
      <c r="R50" s="113">
        <v>0.0</v>
      </c>
      <c r="S50" s="113">
        <v>160.59000000000006</v>
      </c>
      <c r="T50" s="120">
        <v>0.6049472535467443</v>
      </c>
    </row>
    <row r="51" ht="15.75" customHeight="1">
      <c r="A51" s="448" t="s">
        <v>283</v>
      </c>
      <c r="B51" s="449" t="s">
        <v>757</v>
      </c>
      <c r="C51" s="455">
        <v>46367.0</v>
      </c>
      <c r="D51" s="451">
        <v>1.0000000000000007</v>
      </c>
      <c r="E51" s="456">
        <v>260.81000000000006</v>
      </c>
      <c r="F51" s="453"/>
      <c r="G51" s="453"/>
      <c r="H51" s="454"/>
      <c r="J51" s="157">
        <v>4.0</v>
      </c>
      <c r="K51" s="164" t="s">
        <v>275</v>
      </c>
      <c r="L51" s="166">
        <v>46311.0</v>
      </c>
      <c r="M51" s="166">
        <v>46331.0</v>
      </c>
      <c r="N51" s="168">
        <v>21.0</v>
      </c>
      <c r="O51" s="80">
        <v>158.0</v>
      </c>
      <c r="P51" s="172">
        <v>201.0</v>
      </c>
      <c r="Q51" s="172">
        <v>1032.5</v>
      </c>
      <c r="R51" s="172">
        <v>36.34</v>
      </c>
      <c r="S51" s="172">
        <v>196.93000000000006</v>
      </c>
      <c r="T51" s="47">
        <v>0.7511822480902146</v>
      </c>
    </row>
    <row r="52" ht="15.75" customHeight="1">
      <c r="A52" s="7"/>
      <c r="B52" s="7"/>
      <c r="C52" s="7"/>
      <c r="D52" s="7"/>
      <c r="E52" s="7"/>
      <c r="F52" s="7"/>
      <c r="J52" s="141" t="s">
        <v>276</v>
      </c>
      <c r="K52" s="103" t="s">
        <v>277</v>
      </c>
      <c r="L52" s="107">
        <v>46331.0</v>
      </c>
      <c r="M52" s="107">
        <v>46331.0</v>
      </c>
      <c r="N52" s="109">
        <v>1.0</v>
      </c>
      <c r="O52" s="112">
        <v>0.0</v>
      </c>
      <c r="P52" s="113">
        <v>0.0</v>
      </c>
      <c r="Q52" s="113">
        <v>1032.5</v>
      </c>
      <c r="R52" s="113">
        <v>0.0</v>
      </c>
      <c r="S52" s="113">
        <v>196.93000000000006</v>
      </c>
      <c r="T52" s="120">
        <v>0.7511822480902146</v>
      </c>
    </row>
    <row r="53" ht="15.75" customHeight="1">
      <c r="A53" s="7"/>
      <c r="B53" s="7"/>
      <c r="C53" s="7"/>
      <c r="D53" s="7"/>
      <c r="E53" s="7"/>
      <c r="F53" s="7"/>
      <c r="J53" s="157">
        <v>5.0</v>
      </c>
      <c r="K53" s="164" t="s">
        <v>280</v>
      </c>
      <c r="L53" s="166">
        <v>46332.0</v>
      </c>
      <c r="M53" s="166">
        <v>46352.0</v>
      </c>
      <c r="N53" s="168">
        <v>21.0</v>
      </c>
      <c r="O53" s="80">
        <v>183.0</v>
      </c>
      <c r="P53" s="172">
        <v>249.0</v>
      </c>
      <c r="Q53" s="172">
        <v>1281.5</v>
      </c>
      <c r="R53" s="172">
        <v>43.760000000000005</v>
      </c>
      <c r="S53" s="172">
        <v>240.69000000000003</v>
      </c>
      <c r="T53" s="47">
        <v>0.9323390323754093</v>
      </c>
    </row>
    <row r="54" ht="15.75" customHeight="1">
      <c r="A54" s="7"/>
      <c r="B54" s="7"/>
      <c r="C54" s="7"/>
      <c r="D54" s="7"/>
      <c r="E54" s="7"/>
      <c r="F54" s="7"/>
      <c r="J54" s="141" t="s">
        <v>281</v>
      </c>
      <c r="K54" s="103" t="s">
        <v>53</v>
      </c>
      <c r="L54" s="107">
        <v>46352.0</v>
      </c>
      <c r="M54" s="107">
        <v>46352.0</v>
      </c>
      <c r="N54" s="109">
        <v>1.0</v>
      </c>
      <c r="O54" s="112">
        <v>0.0</v>
      </c>
      <c r="P54" s="113">
        <v>0.0</v>
      </c>
      <c r="Q54" s="113">
        <v>1281.5</v>
      </c>
      <c r="R54" s="113">
        <v>0.0</v>
      </c>
      <c r="S54" s="113">
        <v>240.69000000000003</v>
      </c>
      <c r="T54" s="120">
        <v>0.9323390323754093</v>
      </c>
    </row>
    <row r="55" ht="15.75" customHeight="1">
      <c r="A55" s="7"/>
      <c r="B55" s="7"/>
      <c r="C55" s="7"/>
      <c r="D55" s="7"/>
      <c r="E55" s="7"/>
      <c r="F55" s="7"/>
      <c r="J55" s="157">
        <v>6.0</v>
      </c>
      <c r="K55" s="164" t="s">
        <v>282</v>
      </c>
      <c r="L55" s="166">
        <v>46353.0</v>
      </c>
      <c r="M55" s="166">
        <v>46367.0</v>
      </c>
      <c r="N55" s="168">
        <v>15.0</v>
      </c>
      <c r="O55" s="80">
        <v>92.0</v>
      </c>
      <c r="P55" s="172">
        <v>93.0</v>
      </c>
      <c r="Q55" s="172">
        <v>1374.5</v>
      </c>
      <c r="R55" s="172">
        <v>20.12</v>
      </c>
      <c r="S55" s="172">
        <v>260.81000000000006</v>
      </c>
      <c r="T55" s="47">
        <v>1.0</v>
      </c>
    </row>
    <row r="56" ht="15.75" customHeight="1">
      <c r="A56" s="7"/>
      <c r="B56" s="7"/>
      <c r="C56" s="7"/>
      <c r="D56" s="7"/>
      <c r="E56" s="7"/>
      <c r="F56" s="7"/>
      <c r="J56" s="141" t="s">
        <v>283</v>
      </c>
      <c r="K56" s="103" t="s">
        <v>56</v>
      </c>
      <c r="L56" s="107">
        <v>46367.0</v>
      </c>
      <c r="M56" s="107">
        <v>46367.0</v>
      </c>
      <c r="N56" s="109">
        <v>1.0</v>
      </c>
      <c r="O56" s="112">
        <v>0.0</v>
      </c>
      <c r="P56" s="113">
        <v>0.0</v>
      </c>
      <c r="Q56" s="113">
        <v>1374.5</v>
      </c>
      <c r="R56" s="113">
        <v>0.0</v>
      </c>
      <c r="S56" s="113">
        <v>260.81000000000006</v>
      </c>
      <c r="T56" s="120">
        <v>1.0</v>
      </c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465" t="s">
        <v>758</v>
      </c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43:D44"/>
    <mergeCell ref="E43:E44"/>
    <mergeCell ref="F43:F44"/>
    <mergeCell ref="G43:G44"/>
    <mergeCell ref="H43:H44"/>
    <mergeCell ref="A1:C1"/>
    <mergeCell ref="D1:D2"/>
    <mergeCell ref="E1:E2"/>
    <mergeCell ref="F1:F2"/>
    <mergeCell ref="G1:G2"/>
    <mergeCell ref="H1:H2"/>
    <mergeCell ref="A43:C4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24.0"/>
    <col customWidth="1" min="2" max="2" width="16.14"/>
    <col customWidth="1" min="3" max="6" width="14.43"/>
  </cols>
  <sheetData>
    <row r="1">
      <c r="A1" s="467" t="s">
        <v>49</v>
      </c>
      <c r="B1" s="467" t="s">
        <v>759</v>
      </c>
      <c r="C1" s="467" t="s">
        <v>760</v>
      </c>
      <c r="D1" s="467" t="s">
        <v>50</v>
      </c>
      <c r="E1" s="467" t="s">
        <v>761</v>
      </c>
      <c r="F1" s="7" t="s">
        <v>762</v>
      </c>
      <c r="H1" s="468" t="s">
        <v>763</v>
      </c>
    </row>
    <row r="2">
      <c r="A2" s="469" t="s">
        <v>40</v>
      </c>
      <c r="B2" s="470" t="s">
        <v>64</v>
      </c>
      <c r="C2" s="471">
        <v>25309.0</v>
      </c>
      <c r="D2" s="472">
        <f>TRUNC(C2/E2,2)</f>
        <v>0.61</v>
      </c>
      <c r="E2" s="473">
        <v>40885.63</v>
      </c>
      <c r="F2" s="474" t="s">
        <v>764</v>
      </c>
    </row>
    <row r="3">
      <c r="A3" s="469" t="s">
        <v>765</v>
      </c>
      <c r="B3" s="470" t="s">
        <v>766</v>
      </c>
      <c r="C3" s="471">
        <v>18169.0</v>
      </c>
      <c r="D3" s="472">
        <f>TRUNC(C3/E2,2)</f>
        <v>0.44</v>
      </c>
      <c r="E3" s="7"/>
      <c r="F3" s="475" t="s">
        <v>767</v>
      </c>
      <c r="J3" s="476"/>
      <c r="K3" s="476"/>
      <c r="L3" s="477" t="s">
        <v>768</v>
      </c>
      <c r="M3" s="477" t="s">
        <v>769</v>
      </c>
      <c r="N3" s="477" t="s">
        <v>770</v>
      </c>
    </row>
    <row r="4">
      <c r="A4" s="469" t="s">
        <v>771</v>
      </c>
      <c r="B4" s="470" t="s">
        <v>772</v>
      </c>
      <c r="C4" s="471">
        <v>18169.0</v>
      </c>
      <c r="D4" s="472">
        <f>TRUNC(C4/E2,2)</f>
        <v>0.44</v>
      </c>
      <c r="E4" s="7"/>
      <c r="F4" s="475" t="s">
        <v>767</v>
      </c>
      <c r="J4" s="476"/>
      <c r="K4" s="476"/>
      <c r="L4" s="478">
        <f>'PL Cronograma detallado'!F239</f>
        <v>1161</v>
      </c>
      <c r="M4" s="479">
        <f>'PL Cronograma detallado'!L239</f>
        <v>589.52</v>
      </c>
      <c r="N4" s="478">
        <f>TRUNC('PL Cronograma detallado'!L239*E2,0)</f>
        <v>24102896</v>
      </c>
    </row>
    <row r="5">
      <c r="A5" s="469" t="s">
        <v>773</v>
      </c>
      <c r="B5" s="470" t="s">
        <v>774</v>
      </c>
      <c r="C5" s="471">
        <v>18169.0</v>
      </c>
      <c r="D5" s="472">
        <f>TRUNC(C5/E2,2)</f>
        <v>0.44</v>
      </c>
      <c r="E5" s="7"/>
      <c r="F5" s="475" t="s">
        <v>767</v>
      </c>
      <c r="J5" s="476"/>
      <c r="K5" s="476"/>
    </row>
    <row r="6">
      <c r="A6" s="469" t="s">
        <v>775</v>
      </c>
      <c r="B6" s="470" t="s">
        <v>776</v>
      </c>
      <c r="C6" s="471">
        <v>4431.0</v>
      </c>
      <c r="D6" s="472">
        <f>TRUNC(C6/E2,2)</f>
        <v>0.1</v>
      </c>
      <c r="E6" s="7"/>
      <c r="F6" s="474" t="s">
        <v>777</v>
      </c>
      <c r="J6" s="476"/>
      <c r="K6" s="476"/>
    </row>
    <row r="7">
      <c r="A7" s="469" t="s">
        <v>778</v>
      </c>
      <c r="B7" s="470" t="s">
        <v>779</v>
      </c>
      <c r="C7" s="471">
        <v>5231.0</v>
      </c>
      <c r="D7" s="472">
        <f>TRUNC(C7/E2,2)</f>
        <v>0.12</v>
      </c>
      <c r="E7" s="7"/>
      <c r="F7" s="474" t="s">
        <v>780</v>
      </c>
      <c r="J7" s="476"/>
      <c r="K7" s="476"/>
    </row>
    <row r="8">
      <c r="A8" s="469" t="s">
        <v>781</v>
      </c>
      <c r="B8" s="470" t="s">
        <v>782</v>
      </c>
      <c r="C8" s="471">
        <v>4082.0</v>
      </c>
      <c r="D8" s="472">
        <f>TRUNC(C8/E2,2)</f>
        <v>0.09</v>
      </c>
      <c r="E8" s="7"/>
      <c r="F8" s="475" t="s">
        <v>783</v>
      </c>
      <c r="J8" s="482"/>
      <c r="K8" s="476"/>
    </row>
    <row r="9">
      <c r="A9" s="7"/>
      <c r="B9" s="7"/>
      <c r="C9" s="7"/>
      <c r="D9" s="7"/>
      <c r="E9" s="7"/>
      <c r="F9" s="7"/>
      <c r="J9" s="482"/>
      <c r="K9" s="476"/>
    </row>
    <row r="10">
      <c r="A10" s="7"/>
      <c r="B10" s="7" t="s">
        <v>779</v>
      </c>
      <c r="C10" s="7"/>
      <c r="D10" s="483"/>
      <c r="E10" s="7"/>
      <c r="F10" s="484"/>
      <c r="J10" s="476"/>
      <c r="K10" s="476"/>
    </row>
    <row r="11">
      <c r="A11" s="7"/>
      <c r="B11" s="7"/>
      <c r="C11" s="7"/>
      <c r="D11" s="7"/>
      <c r="E11" s="7"/>
      <c r="F11" s="7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>
        <f>IF(B10="L",0.68,IF(B10="JP",0.57,IF(B10="JI",0.57,IF(B10="JD",0.57,IF(B10="P",0.24,IF(B10="I",0.12,IF(B10="D",0.13)))))))</f>
        <v>0.12</v>
      </c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1"/>
    <hyperlink r:id="rId2" ref="F2"/>
    <hyperlink r:id="rId3" ref="F3"/>
    <hyperlink r:id="rId4" ref="F4"/>
    <hyperlink r:id="rId5" ref="F5"/>
    <hyperlink r:id="rId6" ref="F6"/>
    <hyperlink r:id="rId7" ref="F7"/>
    <hyperlink r:id="rId8" ref="F8"/>
  </hyperlinks>
  <printOptions/>
  <pageMargins bottom="0.75" footer="0.0" header="0.0" left="0.25" right="0.25" top="0.75"/>
  <pageSetup orientation="landscape"/>
  <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 outlineLevelRow="1"/>
  <cols>
    <col customWidth="1" min="1" max="26" width="9.29"/>
  </cols>
  <sheetData>
    <row r="1" ht="32.25" customHeight="1">
      <c r="A1" s="480"/>
      <c r="B1" s="481" t="s">
        <v>784</v>
      </c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5"/>
      <c r="Y1" s="485"/>
      <c r="Z1" s="485"/>
    </row>
    <row r="2" ht="32.25" customHeight="1">
      <c r="A2" s="480"/>
      <c r="B2" s="486" t="s">
        <v>718</v>
      </c>
      <c r="C2" s="480"/>
      <c r="D2" s="480"/>
      <c r="E2" s="480"/>
      <c r="F2" s="487" t="s">
        <v>785</v>
      </c>
      <c r="G2" s="488"/>
      <c r="H2" s="488"/>
      <c r="I2" s="489"/>
      <c r="J2" s="480"/>
      <c r="K2" s="480"/>
      <c r="L2" s="480"/>
      <c r="M2" s="480"/>
      <c r="N2" s="480"/>
      <c r="O2" s="480"/>
      <c r="P2" s="487" t="s">
        <v>786</v>
      </c>
      <c r="Q2" s="488"/>
      <c r="R2" s="488"/>
      <c r="S2" s="489"/>
      <c r="T2" s="480"/>
      <c r="U2" s="480"/>
      <c r="V2" s="480"/>
      <c r="W2" s="480"/>
      <c r="X2" s="485"/>
      <c r="Y2" s="485"/>
      <c r="Z2" s="485"/>
    </row>
    <row r="3" ht="32.25" customHeight="1">
      <c r="A3" s="480"/>
      <c r="B3" s="490">
        <v>1.18</v>
      </c>
      <c r="C3" s="491"/>
      <c r="D3" s="492"/>
      <c r="E3" s="492"/>
      <c r="F3" s="493"/>
      <c r="G3" s="493"/>
      <c r="H3" s="494"/>
      <c r="I3" s="494"/>
      <c r="J3" s="495"/>
      <c r="K3" s="495"/>
      <c r="L3" s="496"/>
      <c r="M3" s="497"/>
      <c r="N3" s="498"/>
      <c r="O3" s="498"/>
      <c r="P3" s="498"/>
      <c r="Q3" s="498"/>
      <c r="R3" s="499"/>
      <c r="S3" s="499"/>
      <c r="T3" s="499"/>
      <c r="U3" s="500"/>
      <c r="V3" s="500"/>
      <c r="W3" s="480"/>
      <c r="X3" s="485"/>
      <c r="Y3" s="485"/>
      <c r="Z3" s="485"/>
    </row>
    <row r="4" ht="32.25" customHeight="1">
      <c r="A4" s="480"/>
      <c r="B4" s="490">
        <v>1.15</v>
      </c>
      <c r="C4" s="491"/>
      <c r="D4" s="492"/>
      <c r="E4" s="492"/>
      <c r="F4" s="492"/>
      <c r="G4" s="492"/>
      <c r="H4" s="495"/>
      <c r="I4" s="495"/>
      <c r="J4" s="495"/>
      <c r="K4" s="495"/>
      <c r="L4" s="496"/>
      <c r="M4" s="497"/>
      <c r="N4" s="498"/>
      <c r="O4" s="498"/>
      <c r="P4" s="498"/>
      <c r="Q4" s="498"/>
      <c r="R4" s="499"/>
      <c r="S4" s="499"/>
      <c r="T4" s="499"/>
      <c r="U4" s="500"/>
      <c r="V4" s="500"/>
      <c r="W4" s="480"/>
      <c r="X4" s="485"/>
      <c r="Y4" s="485"/>
      <c r="Z4" s="485"/>
    </row>
    <row r="5" ht="32.25" customHeight="1">
      <c r="A5" s="480"/>
      <c r="B5" s="490">
        <v>1.14</v>
      </c>
      <c r="C5" s="491"/>
      <c r="D5" s="492"/>
      <c r="E5" s="492"/>
      <c r="F5" s="492"/>
      <c r="G5" s="492"/>
      <c r="H5" s="495"/>
      <c r="I5" s="495"/>
      <c r="J5" s="495"/>
      <c r="K5" s="495"/>
      <c r="L5" s="496"/>
      <c r="M5" s="497"/>
      <c r="N5" s="498"/>
      <c r="O5" s="498"/>
      <c r="P5" s="498"/>
      <c r="Q5" s="498"/>
      <c r="R5" s="499"/>
      <c r="S5" s="499"/>
      <c r="T5" s="499"/>
      <c r="U5" s="499"/>
      <c r="V5" s="499"/>
      <c r="W5" s="480"/>
      <c r="X5" s="485"/>
      <c r="Y5" s="485"/>
      <c r="Z5" s="485"/>
    </row>
    <row r="6" ht="32.25" customHeight="1">
      <c r="A6" s="480"/>
      <c r="B6" s="490">
        <v>1.12</v>
      </c>
      <c r="C6" s="491"/>
      <c r="D6" s="492"/>
      <c r="E6" s="492"/>
      <c r="F6" s="492"/>
      <c r="G6" s="492"/>
      <c r="H6" s="495"/>
      <c r="I6" s="495"/>
      <c r="J6" s="495"/>
      <c r="K6" s="495"/>
      <c r="L6" s="496"/>
      <c r="M6" s="497"/>
      <c r="N6" s="498"/>
      <c r="O6" s="498"/>
      <c r="P6" s="498"/>
      <c r="Q6" s="498"/>
      <c r="R6" s="499"/>
      <c r="S6" s="499"/>
      <c r="T6" s="499"/>
      <c r="U6" s="499"/>
      <c r="V6" s="499"/>
      <c r="W6" s="480"/>
      <c r="X6" s="485"/>
      <c r="Y6" s="485"/>
      <c r="Z6" s="485"/>
    </row>
    <row r="7" ht="32.25" customHeight="1">
      <c r="A7" s="480"/>
      <c r="B7" s="490">
        <v>1.1</v>
      </c>
      <c r="C7" s="491"/>
      <c r="D7" s="492"/>
      <c r="E7" s="492"/>
      <c r="F7" s="492"/>
      <c r="G7" s="492"/>
      <c r="H7" s="495"/>
      <c r="I7" s="495"/>
      <c r="J7" s="495"/>
      <c r="K7" s="495"/>
      <c r="L7" s="496"/>
      <c r="M7" s="497"/>
      <c r="N7" s="498"/>
      <c r="O7" s="498"/>
      <c r="P7" s="498"/>
      <c r="Q7" s="498"/>
      <c r="R7" s="499"/>
      <c r="S7" s="499"/>
      <c r="T7" s="499"/>
      <c r="U7" s="499"/>
      <c r="V7" s="499"/>
      <c r="W7" s="480"/>
      <c r="X7" s="485"/>
      <c r="Y7" s="485"/>
      <c r="Z7" s="485"/>
    </row>
    <row r="8" ht="32.25" customHeight="1">
      <c r="A8" s="480"/>
      <c r="B8" s="490">
        <v>1.08</v>
      </c>
      <c r="C8" s="491"/>
      <c r="D8" s="492"/>
      <c r="E8" s="492"/>
      <c r="F8" s="492"/>
      <c r="G8" s="492"/>
      <c r="H8" s="495"/>
      <c r="I8" s="495"/>
      <c r="J8" s="495"/>
      <c r="K8" s="495"/>
      <c r="L8" s="496"/>
      <c r="M8" s="497"/>
      <c r="N8" s="498"/>
      <c r="O8" s="498"/>
      <c r="P8" s="498"/>
      <c r="Q8" s="498"/>
      <c r="R8" s="498"/>
      <c r="S8" s="498"/>
      <c r="T8" s="498"/>
      <c r="U8" s="498"/>
      <c r="V8" s="498"/>
      <c r="W8" s="480"/>
      <c r="X8" s="485"/>
      <c r="Y8" s="485"/>
      <c r="Z8" s="501" t="s">
        <v>787</v>
      </c>
    </row>
    <row r="9" ht="32.25" customHeight="1">
      <c r="A9" s="480"/>
      <c r="B9" s="490">
        <v>1.06</v>
      </c>
      <c r="C9" s="491"/>
      <c r="D9" s="492"/>
      <c r="E9" s="492"/>
      <c r="F9" s="492"/>
      <c r="G9" s="492"/>
      <c r="H9" s="495"/>
      <c r="I9" s="495"/>
      <c r="J9" s="495"/>
      <c r="K9" s="495"/>
      <c r="L9" s="496"/>
      <c r="M9" s="497"/>
      <c r="N9" s="498"/>
      <c r="O9" s="498"/>
      <c r="P9" s="498"/>
      <c r="Q9" s="498"/>
      <c r="R9" s="498"/>
      <c r="S9" s="498"/>
      <c r="T9" s="498"/>
      <c r="U9" s="498"/>
      <c r="V9" s="498"/>
      <c r="W9" s="480"/>
      <c r="X9" s="485"/>
      <c r="Y9" s="485"/>
      <c r="Z9" s="502">
        <v>46275.0</v>
      </c>
    </row>
    <row r="10" ht="32.25" customHeight="1">
      <c r="A10" s="480"/>
      <c r="B10" s="490">
        <v>1.04</v>
      </c>
      <c r="C10" s="491"/>
      <c r="D10" s="492"/>
      <c r="E10" s="492"/>
      <c r="F10" s="492"/>
      <c r="G10" s="492"/>
      <c r="H10" s="495"/>
      <c r="I10" s="495"/>
      <c r="J10" s="495"/>
      <c r="K10" s="495"/>
      <c r="L10" s="496"/>
      <c r="M10" s="497"/>
      <c r="N10" s="498"/>
      <c r="O10" s="498"/>
      <c r="P10" s="498"/>
      <c r="Q10" s="498"/>
      <c r="R10" s="498"/>
      <c r="S10" s="498"/>
      <c r="T10" s="498"/>
      <c r="U10" s="498"/>
      <c r="V10" s="498"/>
      <c r="W10" s="480"/>
      <c r="X10" s="485"/>
      <c r="Y10" s="485"/>
      <c r="Z10" s="503" t="s">
        <v>788</v>
      </c>
    </row>
    <row r="11" ht="32.25" customHeight="1">
      <c r="A11" s="480"/>
      <c r="B11" s="490">
        <v>1.02</v>
      </c>
      <c r="C11" s="491"/>
      <c r="D11" s="492"/>
      <c r="E11" s="492"/>
      <c r="F11" s="492"/>
      <c r="G11" s="492"/>
      <c r="H11" s="495"/>
      <c r="I11" s="495"/>
      <c r="J11" s="495"/>
      <c r="K11" s="495"/>
      <c r="L11" s="496"/>
      <c r="M11" s="497"/>
      <c r="N11" s="498"/>
      <c r="O11" s="498"/>
      <c r="P11" s="498"/>
      <c r="Q11" s="498"/>
      <c r="R11" s="498"/>
      <c r="S11" s="498"/>
      <c r="T11" s="498"/>
      <c r="U11" s="498"/>
      <c r="V11" s="498"/>
      <c r="W11" s="480"/>
      <c r="X11" s="485"/>
      <c r="Y11" s="485" t="s">
        <v>789</v>
      </c>
      <c r="Z11" s="503"/>
    </row>
    <row r="12" ht="32.25" customHeight="1">
      <c r="A12" s="480"/>
      <c r="B12" s="490">
        <v>1.0</v>
      </c>
      <c r="C12" s="504"/>
      <c r="D12" s="505"/>
      <c r="E12" s="505"/>
      <c r="F12" s="505"/>
      <c r="G12" s="505"/>
      <c r="H12" s="506"/>
      <c r="I12" s="506"/>
      <c r="J12" s="506"/>
      <c r="K12" s="506"/>
      <c r="L12" s="507"/>
      <c r="M12" s="508"/>
      <c r="N12" s="509"/>
      <c r="O12" s="509"/>
      <c r="P12" s="509"/>
      <c r="Q12" s="509"/>
      <c r="R12" s="509"/>
      <c r="S12" s="509"/>
      <c r="T12" s="509"/>
      <c r="U12" s="509"/>
      <c r="V12" s="509"/>
      <c r="W12" s="480"/>
      <c r="X12" s="485"/>
      <c r="Y12" s="485" t="s">
        <v>790</v>
      </c>
      <c r="Z12" s="485"/>
    </row>
    <row r="13" ht="32.25" customHeight="1">
      <c r="A13" s="480"/>
      <c r="B13" s="490">
        <v>0.98</v>
      </c>
      <c r="C13" s="510"/>
      <c r="D13" s="493"/>
      <c r="E13" s="493"/>
      <c r="F13" s="493"/>
      <c r="G13" s="493"/>
      <c r="H13" s="494"/>
      <c r="I13" s="494"/>
      <c r="J13" s="494"/>
      <c r="K13" s="494"/>
      <c r="L13" s="511"/>
      <c r="M13" s="512"/>
      <c r="N13" s="494"/>
      <c r="O13" s="494"/>
      <c r="P13" s="494"/>
      <c r="Q13" s="494"/>
      <c r="R13" s="494"/>
      <c r="S13" s="494"/>
      <c r="T13" s="494"/>
      <c r="U13" s="494"/>
      <c r="V13" s="494"/>
      <c r="W13" s="480"/>
      <c r="X13" s="485"/>
      <c r="Y13" s="485" t="s">
        <v>791</v>
      </c>
      <c r="Z13" s="485"/>
    </row>
    <row r="14" ht="32.25" customHeight="1">
      <c r="A14" s="480"/>
      <c r="B14" s="490">
        <v>0.96</v>
      </c>
      <c r="C14" s="491"/>
      <c r="D14" s="492"/>
      <c r="E14" s="492"/>
      <c r="F14" s="492"/>
      <c r="G14" s="492"/>
      <c r="H14" s="495"/>
      <c r="I14" s="495"/>
      <c r="J14" s="495"/>
      <c r="K14" s="495"/>
      <c r="L14" s="496"/>
      <c r="M14" s="513"/>
      <c r="N14" s="495"/>
      <c r="O14" s="495"/>
      <c r="P14" s="495"/>
      <c r="Q14" s="495"/>
      <c r="R14" s="495"/>
      <c r="S14" s="495"/>
      <c r="T14" s="495"/>
      <c r="U14" s="495"/>
      <c r="V14" s="495"/>
      <c r="W14" s="480"/>
      <c r="X14" s="485"/>
      <c r="Y14" s="485" t="s">
        <v>792</v>
      </c>
      <c r="Z14" s="485"/>
    </row>
    <row r="15" ht="32.25" customHeight="1">
      <c r="A15" s="480"/>
      <c r="B15" s="490">
        <v>0.94</v>
      </c>
      <c r="C15" s="491"/>
      <c r="D15" s="492"/>
      <c r="E15" s="492"/>
      <c r="F15" s="492"/>
      <c r="G15" s="492"/>
      <c r="H15" s="495"/>
      <c r="I15" s="495"/>
      <c r="J15" s="495"/>
      <c r="K15" s="495"/>
      <c r="L15" s="496"/>
      <c r="M15" s="513"/>
      <c r="N15" s="495"/>
      <c r="O15" s="495"/>
      <c r="P15" s="495"/>
      <c r="Q15" s="495"/>
      <c r="R15" s="495"/>
      <c r="S15" s="495"/>
      <c r="T15" s="495"/>
      <c r="U15" s="495"/>
      <c r="V15" s="495"/>
      <c r="W15" s="480"/>
      <c r="X15" s="485"/>
      <c r="Y15" s="485"/>
      <c r="Z15" s="485"/>
    </row>
    <row r="16" ht="32.25" customHeight="1">
      <c r="A16" s="480"/>
      <c r="B16" s="490">
        <v>0.92</v>
      </c>
      <c r="C16" s="491"/>
      <c r="D16" s="492"/>
      <c r="E16" s="492"/>
      <c r="F16" s="492"/>
      <c r="G16" s="492"/>
      <c r="H16" s="495"/>
      <c r="I16" s="495"/>
      <c r="J16" s="495"/>
      <c r="K16" s="495"/>
      <c r="L16" s="496"/>
      <c r="M16" s="513"/>
      <c r="N16" s="495"/>
      <c r="O16" s="495"/>
      <c r="P16" s="495"/>
      <c r="Q16" s="495"/>
      <c r="R16" s="495"/>
      <c r="S16" s="495"/>
      <c r="T16" s="495"/>
      <c r="U16" s="495"/>
      <c r="V16" s="495"/>
      <c r="W16" s="480"/>
      <c r="X16" s="485"/>
      <c r="Y16" s="485"/>
      <c r="Z16" s="485"/>
    </row>
    <row r="17" ht="32.25" customHeight="1">
      <c r="A17" s="480"/>
      <c r="B17" s="490">
        <v>0.9</v>
      </c>
      <c r="C17" s="491"/>
      <c r="D17" s="492"/>
      <c r="E17" s="492"/>
      <c r="F17" s="492"/>
      <c r="G17" s="492"/>
      <c r="H17" s="495"/>
      <c r="I17" s="495"/>
      <c r="J17" s="495"/>
      <c r="K17" s="495"/>
      <c r="L17" s="496"/>
      <c r="M17" s="513"/>
      <c r="N17" s="495"/>
      <c r="O17" s="495"/>
      <c r="P17" s="495"/>
      <c r="Q17" s="495"/>
      <c r="R17" s="495"/>
      <c r="S17" s="495"/>
      <c r="T17" s="495"/>
      <c r="U17" s="495"/>
      <c r="V17" s="495"/>
      <c r="W17" s="480"/>
      <c r="X17" s="485"/>
      <c r="Y17" s="485"/>
      <c r="Z17" s="485"/>
    </row>
    <row r="18" ht="32.25" customHeight="1">
      <c r="A18" s="480"/>
      <c r="B18" s="490">
        <v>0.88</v>
      </c>
      <c r="C18" s="491"/>
      <c r="D18" s="492"/>
      <c r="E18" s="492"/>
      <c r="F18" s="492"/>
      <c r="G18" s="492"/>
      <c r="H18" s="492"/>
      <c r="I18" s="492"/>
      <c r="J18" s="492"/>
      <c r="K18" s="492"/>
      <c r="L18" s="514"/>
      <c r="M18" s="515"/>
      <c r="N18" s="492"/>
      <c r="O18" s="492"/>
      <c r="P18" s="492"/>
      <c r="Q18" s="492"/>
      <c r="R18" s="492"/>
      <c r="S18" s="492"/>
      <c r="T18" s="492"/>
      <c r="U18" s="492"/>
      <c r="V18" s="492"/>
      <c r="W18" s="480"/>
      <c r="X18" s="485"/>
      <c r="Y18" s="485"/>
      <c r="Z18" s="485"/>
    </row>
    <row r="19" ht="32.25" customHeight="1">
      <c r="A19" s="480"/>
      <c r="B19" s="490">
        <v>0.86</v>
      </c>
      <c r="C19" s="491"/>
      <c r="D19" s="492"/>
      <c r="E19" s="492"/>
      <c r="F19" s="492"/>
      <c r="G19" s="492"/>
      <c r="H19" s="492"/>
      <c r="I19" s="492"/>
      <c r="J19" s="492"/>
      <c r="K19" s="492"/>
      <c r="L19" s="514"/>
      <c r="M19" s="515"/>
      <c r="N19" s="492"/>
      <c r="O19" s="492"/>
      <c r="P19" s="492"/>
      <c r="Q19" s="492"/>
      <c r="R19" s="492"/>
      <c r="S19" s="492"/>
      <c r="T19" s="492"/>
      <c r="U19" s="492"/>
      <c r="V19" s="492"/>
      <c r="W19" s="480"/>
      <c r="X19" s="485"/>
      <c r="Y19" s="485"/>
      <c r="Z19" s="485"/>
    </row>
    <row r="20" ht="32.25" customHeight="1">
      <c r="A20" s="480"/>
      <c r="B20" s="490">
        <v>0.84</v>
      </c>
      <c r="C20" s="491"/>
      <c r="D20" s="492"/>
      <c r="E20" s="492"/>
      <c r="F20" s="492"/>
      <c r="G20" s="492"/>
      <c r="H20" s="492"/>
      <c r="I20" s="492"/>
      <c r="J20" s="492"/>
      <c r="K20" s="492"/>
      <c r="L20" s="514"/>
      <c r="M20" s="515"/>
      <c r="N20" s="492"/>
      <c r="O20" s="492"/>
      <c r="P20" s="492"/>
      <c r="Q20" s="492"/>
      <c r="R20" s="492"/>
      <c r="S20" s="492"/>
      <c r="T20" s="492"/>
      <c r="U20" s="492"/>
      <c r="V20" s="492"/>
      <c r="W20" s="480"/>
      <c r="X20" s="485"/>
      <c r="Y20" s="485"/>
      <c r="Z20" s="485"/>
    </row>
    <row r="21" ht="32.25" customHeight="1">
      <c r="A21" s="480"/>
      <c r="B21" s="490">
        <v>0.82</v>
      </c>
      <c r="C21" s="491"/>
      <c r="D21" s="492"/>
      <c r="E21" s="492"/>
      <c r="F21" s="492"/>
      <c r="G21" s="492"/>
      <c r="H21" s="492"/>
      <c r="I21" s="492"/>
      <c r="J21" s="492"/>
      <c r="K21" s="492"/>
      <c r="L21" s="514"/>
      <c r="M21" s="515"/>
      <c r="N21" s="492"/>
      <c r="O21" s="492"/>
      <c r="P21" s="492"/>
      <c r="Q21" s="492"/>
      <c r="R21" s="492"/>
      <c r="S21" s="492"/>
      <c r="T21" s="492"/>
      <c r="U21" s="492"/>
      <c r="V21" s="492"/>
      <c r="W21" s="480"/>
      <c r="X21" s="485"/>
      <c r="Y21" s="485"/>
      <c r="Z21" s="485"/>
    </row>
    <row r="22" ht="32.25" customHeight="1">
      <c r="A22" s="480"/>
      <c r="B22" s="490">
        <v>0.8</v>
      </c>
      <c r="C22" s="491"/>
      <c r="D22" s="492"/>
      <c r="E22" s="492"/>
      <c r="F22" s="492"/>
      <c r="G22" s="492"/>
      <c r="H22" s="492"/>
      <c r="I22" s="492"/>
      <c r="J22" s="492"/>
      <c r="K22" s="492"/>
      <c r="L22" s="514"/>
      <c r="M22" s="515"/>
      <c r="N22" s="492"/>
      <c r="O22" s="492"/>
      <c r="P22" s="492"/>
      <c r="Q22" s="492"/>
      <c r="R22" s="492"/>
      <c r="S22" s="492"/>
      <c r="T22" s="492"/>
      <c r="U22" s="492"/>
      <c r="V22" s="492"/>
      <c r="W22" s="480"/>
      <c r="X22" s="485"/>
      <c r="Y22" s="485"/>
      <c r="Z22" s="485"/>
    </row>
    <row r="23" ht="32.25" customHeight="1">
      <c r="A23" s="480"/>
      <c r="B23" s="490">
        <v>0.78</v>
      </c>
      <c r="C23" s="516"/>
      <c r="D23" s="517"/>
      <c r="E23" s="517"/>
      <c r="F23" s="517"/>
      <c r="G23" s="517"/>
      <c r="H23" s="517"/>
      <c r="I23" s="517"/>
      <c r="J23" s="517"/>
      <c r="K23" s="517"/>
      <c r="L23" s="518"/>
      <c r="M23" s="519"/>
      <c r="N23" s="517"/>
      <c r="O23" s="517"/>
      <c r="P23" s="517"/>
      <c r="Q23" s="517"/>
      <c r="R23" s="517"/>
      <c r="S23" s="517"/>
      <c r="T23" s="517"/>
      <c r="U23" s="517"/>
      <c r="V23" s="517"/>
      <c r="W23" s="520" t="s">
        <v>717</v>
      </c>
      <c r="X23" s="485"/>
      <c r="Y23" s="485"/>
      <c r="Z23" s="485"/>
    </row>
    <row r="24" ht="32.25" customHeight="1">
      <c r="A24" s="480"/>
      <c r="B24" s="480"/>
      <c r="C24" s="521">
        <v>0.75</v>
      </c>
      <c r="D24" s="521">
        <v>0.8</v>
      </c>
      <c r="E24" s="521">
        <v>0.84</v>
      </c>
      <c r="F24" s="521">
        <v>0.86</v>
      </c>
      <c r="G24" s="521">
        <v>0.88</v>
      </c>
      <c r="H24" s="521">
        <v>0.9</v>
      </c>
      <c r="I24" s="521">
        <v>0.92</v>
      </c>
      <c r="J24" s="521">
        <v>0.94</v>
      </c>
      <c r="K24" s="521">
        <v>0.96</v>
      </c>
      <c r="L24" s="521">
        <v>0.98</v>
      </c>
      <c r="M24" s="521">
        <v>1.0</v>
      </c>
      <c r="N24" s="521">
        <v>1.02</v>
      </c>
      <c r="O24" s="521">
        <v>1.04</v>
      </c>
      <c r="P24" s="521">
        <v>1.06</v>
      </c>
      <c r="Q24" s="521">
        <v>1.08</v>
      </c>
      <c r="R24" s="521">
        <v>1.1</v>
      </c>
      <c r="S24" s="521">
        <v>1.12</v>
      </c>
      <c r="T24" s="521">
        <v>1.14</v>
      </c>
      <c r="U24" s="521">
        <v>1.15</v>
      </c>
      <c r="V24" s="521">
        <v>1.18</v>
      </c>
      <c r="W24" s="480"/>
      <c r="X24" s="485"/>
      <c r="Y24" s="485"/>
      <c r="Z24" s="485"/>
    </row>
    <row r="25" ht="32.25" customHeight="1">
      <c r="A25" s="480"/>
      <c r="B25" s="480"/>
      <c r="C25" s="480"/>
      <c r="D25" s="480"/>
      <c r="E25" s="480"/>
      <c r="F25" s="522" t="s">
        <v>793</v>
      </c>
      <c r="G25" s="523"/>
      <c r="H25" s="523"/>
      <c r="I25" s="524"/>
      <c r="J25" s="480"/>
      <c r="K25" s="480"/>
      <c r="L25" s="480"/>
      <c r="M25" s="480"/>
      <c r="N25" s="480"/>
      <c r="O25" s="480"/>
      <c r="P25" s="522" t="s">
        <v>794</v>
      </c>
      <c r="Q25" s="523"/>
      <c r="R25" s="523"/>
      <c r="S25" s="524"/>
      <c r="T25" s="480"/>
      <c r="U25" s="480"/>
      <c r="V25" s="480"/>
      <c r="W25" s="480"/>
      <c r="X25" s="485"/>
      <c r="Y25" s="485"/>
      <c r="Z25" s="485"/>
    </row>
    <row r="26" ht="32.25" customHeight="1">
      <c r="A26" s="480"/>
      <c r="B26" s="480"/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0"/>
      <c r="S26" s="480"/>
      <c r="T26" s="480"/>
      <c r="U26" s="480"/>
      <c r="V26" s="480"/>
      <c r="W26" s="485"/>
      <c r="X26" s="485"/>
      <c r="Y26" s="485"/>
      <c r="Z26" s="485"/>
    </row>
    <row r="27" ht="32.25" customHeight="1">
      <c r="A27" s="485"/>
      <c r="B27" s="485"/>
      <c r="C27" s="48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85"/>
      <c r="S27" s="485"/>
      <c r="T27" s="485"/>
      <c r="U27" s="485"/>
      <c r="V27" s="485"/>
      <c r="W27" s="485"/>
      <c r="X27" s="485"/>
      <c r="Y27" s="485"/>
      <c r="Z27" s="485"/>
    </row>
    <row r="28" ht="32.25" customHeight="1">
      <c r="A28" s="485"/>
      <c r="B28" s="485"/>
      <c r="C28" s="485"/>
      <c r="D28" s="485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</row>
    <row r="29" ht="32.25" customHeight="1">
      <c r="A29" s="485"/>
      <c r="B29" s="485"/>
      <c r="C29" s="485"/>
      <c r="D29" s="485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85"/>
      <c r="R29" s="485"/>
      <c r="S29" s="485"/>
      <c r="T29" s="485"/>
      <c r="U29" s="485"/>
      <c r="V29" s="485"/>
      <c r="W29" s="485"/>
      <c r="X29" s="485"/>
      <c r="Y29" s="485"/>
      <c r="Z29" s="485"/>
    </row>
    <row r="30" ht="32.25" customHeight="1">
      <c r="A30" s="485"/>
      <c r="B30" s="485"/>
      <c r="C30" s="485"/>
      <c r="D30" s="485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5"/>
      <c r="R30" s="485"/>
      <c r="S30" s="485"/>
      <c r="T30" s="485"/>
      <c r="U30" s="485"/>
      <c r="V30" s="485"/>
      <c r="W30" s="485"/>
      <c r="X30" s="485"/>
      <c r="Y30" s="485"/>
      <c r="Z30" s="485"/>
    </row>
    <row r="31" ht="32.25" customHeight="1">
      <c r="A31" s="485"/>
      <c r="B31" s="485"/>
      <c r="C31" s="485"/>
      <c r="D31" s="485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</row>
    <row r="32" ht="32.25" customHeight="1">
      <c r="A32" s="485"/>
      <c r="B32" s="485"/>
      <c r="C32" s="485"/>
      <c r="D32" s="485"/>
      <c r="E32" s="525" t="s">
        <v>795</v>
      </c>
      <c r="F32" s="20"/>
      <c r="G32" s="6"/>
      <c r="H32" s="525" t="s">
        <v>796</v>
      </c>
      <c r="I32" s="20"/>
      <c r="J32" s="6"/>
      <c r="K32" s="485"/>
      <c r="L32" s="485"/>
      <c r="M32" s="485"/>
      <c r="N32" s="526" t="s">
        <v>797</v>
      </c>
      <c r="O32" s="526" t="s">
        <v>798</v>
      </c>
      <c r="P32" s="526" t="s">
        <v>799</v>
      </c>
      <c r="Q32" s="526" t="s">
        <v>800</v>
      </c>
      <c r="R32" s="526" t="s">
        <v>801</v>
      </c>
      <c r="S32" s="526" t="s">
        <v>802</v>
      </c>
      <c r="T32" s="526" t="s">
        <v>803</v>
      </c>
      <c r="U32" s="485"/>
      <c r="V32" s="485"/>
      <c r="W32" s="485"/>
      <c r="X32" s="485"/>
      <c r="Y32" s="485"/>
      <c r="Z32" s="485"/>
    </row>
    <row r="33" ht="32.25" customHeight="1">
      <c r="A33" s="485"/>
      <c r="B33" s="485"/>
      <c r="C33" s="485"/>
      <c r="D33" s="485"/>
      <c r="E33" s="527" t="s">
        <v>804</v>
      </c>
      <c r="F33" s="20"/>
      <c r="G33" s="6"/>
      <c r="H33" s="528" t="s">
        <v>805</v>
      </c>
      <c r="I33" s="20"/>
      <c r="J33" s="6"/>
      <c r="K33" s="485"/>
      <c r="L33" s="485"/>
      <c r="M33" s="526" t="s">
        <v>718</v>
      </c>
      <c r="N33" s="529">
        <v>1.0</v>
      </c>
      <c r="O33" s="529">
        <v>1.0</v>
      </c>
      <c r="P33" s="529">
        <v>0.97</v>
      </c>
      <c r="Q33" s="530"/>
      <c r="R33" s="530"/>
      <c r="S33" s="530"/>
      <c r="T33" s="530"/>
      <c r="U33" s="485"/>
      <c r="V33" s="485"/>
      <c r="W33" s="485"/>
      <c r="X33" s="485"/>
      <c r="Y33" s="485"/>
      <c r="Z33" s="485"/>
    </row>
    <row r="34" ht="32.25" customHeight="1">
      <c r="A34" s="485"/>
      <c r="B34" s="485"/>
      <c r="C34" s="485"/>
      <c r="D34" s="485"/>
      <c r="E34" s="527" t="s">
        <v>806</v>
      </c>
      <c r="F34" s="20"/>
      <c r="G34" s="6"/>
      <c r="H34" s="531" t="s">
        <v>807</v>
      </c>
      <c r="I34" s="20"/>
      <c r="J34" s="6"/>
      <c r="K34" s="485"/>
      <c r="L34" s="485"/>
      <c r="M34" s="526" t="s">
        <v>717</v>
      </c>
      <c r="N34" s="529">
        <v>1.0</v>
      </c>
      <c r="O34" s="529">
        <v>1.0</v>
      </c>
      <c r="P34" s="529">
        <v>0.97</v>
      </c>
      <c r="Q34" s="530"/>
      <c r="R34" s="530"/>
      <c r="S34" s="530"/>
      <c r="T34" s="530"/>
      <c r="U34" s="485"/>
      <c r="V34" s="485"/>
      <c r="W34" s="485"/>
      <c r="X34" s="485"/>
      <c r="Y34" s="485"/>
      <c r="Z34" s="485"/>
    </row>
    <row r="35" ht="32.25" customHeight="1">
      <c r="A35" s="485"/>
      <c r="B35" s="485"/>
      <c r="C35" s="485"/>
      <c r="D35" s="485"/>
      <c r="E35" s="527" t="s">
        <v>808</v>
      </c>
      <c r="F35" s="20"/>
      <c r="G35" s="6"/>
      <c r="H35" s="532" t="s">
        <v>809</v>
      </c>
      <c r="I35" s="20"/>
      <c r="J35" s="6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</row>
    <row r="36" ht="32.25" customHeight="1">
      <c r="A36" s="485"/>
      <c r="B36" s="485"/>
      <c r="C36" s="485"/>
      <c r="D36" s="485"/>
      <c r="E36" s="527" t="s">
        <v>810</v>
      </c>
      <c r="F36" s="20"/>
      <c r="G36" s="6"/>
      <c r="H36" s="533" t="s">
        <v>811</v>
      </c>
      <c r="I36" s="20"/>
      <c r="J36" s="6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</row>
    <row r="37" ht="32.25" customHeight="1">
      <c r="A37" s="485"/>
      <c r="B37" s="485"/>
      <c r="C37" s="485"/>
      <c r="D37" s="485"/>
      <c r="E37" s="527" t="s">
        <v>812</v>
      </c>
      <c r="F37" s="20"/>
      <c r="G37" s="6"/>
      <c r="H37" s="534" t="s">
        <v>813</v>
      </c>
      <c r="I37" s="20"/>
      <c r="J37" s="6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</row>
    <row r="38" ht="32.25" customHeight="1">
      <c r="A38" s="485"/>
      <c r="B38" s="485"/>
      <c r="C38" s="485"/>
      <c r="D38" s="485"/>
      <c r="E38" s="485"/>
      <c r="F38" s="485"/>
      <c r="G38" s="485"/>
      <c r="H38" s="485"/>
      <c r="I38" s="485"/>
      <c r="J38" s="485"/>
      <c r="K38" s="485"/>
      <c r="L38" s="485"/>
      <c r="M38" s="485"/>
      <c r="N38" s="485"/>
      <c r="O38" s="485"/>
      <c r="P38" s="485"/>
      <c r="Q38" s="485"/>
      <c r="R38" s="485"/>
      <c r="S38" s="485"/>
      <c r="T38" s="485"/>
      <c r="U38" s="485"/>
      <c r="V38" s="485"/>
    </row>
    <row r="39" ht="32.25" customHeight="1">
      <c r="A39" s="485"/>
      <c r="B39" s="485"/>
      <c r="C39" s="485"/>
      <c r="D39" s="485"/>
      <c r="E39" s="485"/>
      <c r="F39" s="485"/>
      <c r="G39" s="485"/>
      <c r="H39" s="485"/>
      <c r="I39" s="485"/>
      <c r="J39" s="485"/>
      <c r="K39" s="485"/>
      <c r="L39" s="485"/>
      <c r="M39" s="485"/>
      <c r="N39" s="485"/>
      <c r="O39" s="485"/>
      <c r="P39" s="485"/>
      <c r="Q39" s="485"/>
      <c r="R39" s="485"/>
      <c r="S39" s="485"/>
      <c r="T39" s="485"/>
      <c r="U39" s="485"/>
      <c r="V39" s="485"/>
    </row>
    <row r="40" ht="32.25" customHeight="1">
      <c r="A40" s="485"/>
      <c r="B40" s="485"/>
      <c r="C40" s="485"/>
      <c r="D40" s="485"/>
      <c r="E40" s="485"/>
      <c r="F40" s="485"/>
      <c r="G40" s="485"/>
      <c r="H40" s="485"/>
      <c r="I40" s="485"/>
      <c r="J40" s="485"/>
      <c r="K40" s="485"/>
      <c r="L40" s="485"/>
      <c r="M40" s="485"/>
      <c r="N40" s="485"/>
      <c r="O40" s="485"/>
      <c r="P40" s="485"/>
      <c r="Q40" s="485"/>
      <c r="R40" s="485"/>
      <c r="S40" s="485"/>
      <c r="T40" s="485"/>
      <c r="U40" s="485"/>
      <c r="V40" s="485"/>
    </row>
    <row r="41" ht="32.25" customHeight="1">
      <c r="A41" s="485"/>
      <c r="B41" s="485"/>
      <c r="C41" s="485"/>
      <c r="D41" s="485"/>
      <c r="E41" s="485"/>
      <c r="F41" s="485"/>
      <c r="G41" s="485"/>
      <c r="H41" s="485"/>
      <c r="I41" s="485"/>
      <c r="J41" s="485"/>
      <c r="K41" s="485"/>
      <c r="L41" s="485"/>
      <c r="M41" s="485"/>
      <c r="N41" s="485"/>
      <c r="O41" s="485"/>
      <c r="P41" s="485"/>
      <c r="Q41" s="485"/>
      <c r="R41" s="485"/>
      <c r="S41" s="485"/>
      <c r="T41" s="485"/>
      <c r="U41" s="485"/>
      <c r="V41" s="485"/>
    </row>
    <row r="42" ht="32.25" customHeight="1">
      <c r="A42" s="485"/>
      <c r="B42" s="485"/>
      <c r="C42" s="485"/>
      <c r="D42" s="485"/>
      <c r="E42" s="485"/>
      <c r="F42" s="485"/>
      <c r="G42" s="485"/>
      <c r="H42" s="485"/>
      <c r="I42" s="485"/>
      <c r="J42" s="485"/>
      <c r="K42" s="485"/>
      <c r="L42" s="485"/>
      <c r="M42" s="485"/>
      <c r="N42" s="485"/>
      <c r="O42" s="485"/>
      <c r="P42" s="485"/>
      <c r="Q42" s="485"/>
      <c r="R42" s="485"/>
      <c r="S42" s="485"/>
      <c r="T42" s="485"/>
      <c r="U42" s="485"/>
      <c r="V42" s="485"/>
    </row>
    <row r="43" ht="32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ht="32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ht="32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ht="32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ht="32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ht="32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ht="32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ht="32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ht="32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ht="32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ht="32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ht="32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ht="32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ht="32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ht="32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ht="32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ht="32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ht="32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ht="32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ht="32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ht="32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ht="32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ht="32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32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ht="32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ht="32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ht="32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ht="32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32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ht="32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ht="32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ht="32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ht="32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ht="32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ht="32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ht="32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ht="32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ht="32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ht="32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ht="32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ht="32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ht="32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ht="32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ht="32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ht="32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ht="32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ht="32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ht="32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ht="32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ht="32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ht="32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ht="32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ht="32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ht="32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ht="32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ht="32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ht="32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ht="32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ht="32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ht="32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ht="32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ht="32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ht="32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ht="32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ht="32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ht="32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ht="32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ht="32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ht="32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ht="32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ht="32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ht="32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ht="32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ht="32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ht="32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ht="32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ht="32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ht="32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ht="32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 ht="32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ht="32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ht="32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ht="32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ht="32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ht="32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ht="32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ht="32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ht="32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ht="32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ht="32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ht="32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ht="32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ht="32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 ht="32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ht="32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 ht="32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ht="32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ht="32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ht="32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 ht="32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 ht="32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ht="32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ht="32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ht="32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ht="32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ht="32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ht="32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ht="32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ht="32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 ht="32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ht="32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ht="32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ht="32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ht="32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ht="32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ht="32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ht="32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ht="32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ht="32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ht="32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ht="32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ht="32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ht="32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ht="32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ht="32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ht="32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ht="32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ht="32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ht="32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 ht="32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ht="32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ht="32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ht="32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ht="32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ht="32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ht="32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ht="32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ht="32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ht="32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ht="32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ht="32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ht="32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ht="32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ht="32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ht="32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ht="32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ht="32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ht="32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ht="32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ht="32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ht="32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ht="32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ht="32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ht="32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ht="32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ht="32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ht="32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ht="32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ht="32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ht="32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ht="32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ht="32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ht="32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ht="32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ht="32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ht="32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ht="32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ht="32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ht="32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ht="32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ht="32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ht="32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ht="32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ht="32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ht="32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ht="32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ht="32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ht="32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ht="32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ht="32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ht="32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ht="32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ht="32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ht="32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ht="32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ht="32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ht="32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ht="32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ht="32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ht="32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ht="32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ht="32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ht="32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ht="32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ht="32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2:I2"/>
    <mergeCell ref="P2:S2"/>
    <mergeCell ref="F25:I25"/>
    <mergeCell ref="P25:S25"/>
    <mergeCell ref="E32:G32"/>
    <mergeCell ref="H32:J32"/>
    <mergeCell ref="H33:J33"/>
    <mergeCell ref="E37:G37"/>
    <mergeCell ref="H37:J37"/>
    <mergeCell ref="E33:G33"/>
    <mergeCell ref="E34:G34"/>
    <mergeCell ref="H34:J34"/>
    <mergeCell ref="E35:G35"/>
    <mergeCell ref="H35:J35"/>
    <mergeCell ref="E36:G36"/>
    <mergeCell ref="H36:J3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4" width="14.43"/>
    <col customWidth="1" min="5" max="5" width="11.86"/>
    <col customWidth="1" min="6" max="6" width="14.43"/>
    <col customWidth="1" min="7" max="7" width="21.43"/>
    <col customWidth="1" min="9" max="9" width="20.0"/>
  </cols>
  <sheetData>
    <row r="14">
      <c r="C14" s="535" t="s">
        <v>814</v>
      </c>
      <c r="D14" s="325"/>
      <c r="E14" s="325"/>
      <c r="F14" s="325"/>
      <c r="G14" s="325"/>
      <c r="H14" s="535" t="s">
        <v>815</v>
      </c>
      <c r="I14" s="325"/>
      <c r="J14" s="325"/>
      <c r="K14" s="325"/>
      <c r="L14" s="325"/>
    </row>
    <row r="15">
      <c r="C15" s="536" t="s">
        <v>816</v>
      </c>
      <c r="D15" s="325"/>
      <c r="E15" s="325"/>
      <c r="F15" s="536" t="s">
        <v>817</v>
      </c>
      <c r="G15" s="325"/>
      <c r="H15" s="535" t="s">
        <v>818</v>
      </c>
      <c r="I15" s="325"/>
      <c r="J15" s="535" t="s">
        <v>819</v>
      </c>
      <c r="K15" s="325"/>
      <c r="L15" s="537" t="s">
        <v>820</v>
      </c>
    </row>
    <row r="16">
      <c r="C16" s="536" t="s">
        <v>821</v>
      </c>
      <c r="D16" s="325"/>
      <c r="E16" s="325"/>
      <c r="F16" s="536" t="s">
        <v>822</v>
      </c>
      <c r="G16" s="325"/>
      <c r="H16" s="536" t="s">
        <v>823</v>
      </c>
      <c r="I16" s="325"/>
      <c r="J16" s="536" t="s">
        <v>824</v>
      </c>
      <c r="K16" s="325"/>
      <c r="L16" s="538" t="s">
        <v>825</v>
      </c>
    </row>
    <row r="17">
      <c r="C17" s="536" t="s">
        <v>826</v>
      </c>
      <c r="D17" s="325"/>
      <c r="E17" s="16"/>
      <c r="F17" s="536" t="s">
        <v>827</v>
      </c>
      <c r="G17" s="16"/>
      <c r="H17" s="539" t="s">
        <v>828</v>
      </c>
      <c r="I17" s="6"/>
      <c r="J17" s="539" t="s">
        <v>829</v>
      </c>
      <c r="K17" s="6"/>
      <c r="L17" s="538" t="s">
        <v>830</v>
      </c>
    </row>
    <row r="18">
      <c r="C18" s="540"/>
      <c r="E18" s="13"/>
      <c r="F18" s="540"/>
      <c r="G18" s="13"/>
      <c r="H18" s="539" t="s">
        <v>831</v>
      </c>
      <c r="I18" s="6"/>
      <c r="J18" s="539" t="s">
        <v>781</v>
      </c>
      <c r="K18" s="6"/>
      <c r="L18" s="538" t="s">
        <v>832</v>
      </c>
    </row>
    <row r="19">
      <c r="C19" s="540"/>
      <c r="E19" s="13"/>
      <c r="F19" s="540"/>
      <c r="G19" s="13"/>
      <c r="H19" s="539" t="s">
        <v>833</v>
      </c>
      <c r="I19" s="6"/>
      <c r="J19" s="539" t="s">
        <v>778</v>
      </c>
      <c r="K19" s="6"/>
      <c r="L19" s="538" t="s">
        <v>834</v>
      </c>
    </row>
    <row r="20">
      <c r="C20" s="40"/>
      <c r="D20" s="45"/>
      <c r="E20" s="31"/>
      <c r="F20" s="40"/>
      <c r="G20" s="31"/>
      <c r="H20" s="539" t="s">
        <v>835</v>
      </c>
      <c r="I20" s="6"/>
      <c r="J20" s="539" t="s">
        <v>775</v>
      </c>
      <c r="K20" s="6"/>
      <c r="L20" s="538" t="s">
        <v>836</v>
      </c>
    </row>
    <row r="21" ht="15.75" customHeight="1">
      <c r="C21" s="541" t="s">
        <v>837</v>
      </c>
      <c r="D21" s="325"/>
      <c r="E21" s="325"/>
      <c r="F21" s="325"/>
      <c r="G21" s="325"/>
      <c r="H21" s="325"/>
      <c r="I21" s="325"/>
      <c r="J21" s="325"/>
      <c r="K21" s="325"/>
      <c r="L21" s="325"/>
    </row>
    <row r="22" ht="15.75" customHeight="1">
      <c r="C22" s="542" t="s">
        <v>838</v>
      </c>
      <c r="D22" s="325"/>
      <c r="E22" s="542" t="s">
        <v>839</v>
      </c>
      <c r="F22" s="325"/>
      <c r="G22" s="325"/>
      <c r="H22" s="325"/>
      <c r="I22" s="325"/>
      <c r="J22" s="325"/>
      <c r="K22" s="543" t="s">
        <v>840</v>
      </c>
      <c r="L22" s="543" t="s">
        <v>9</v>
      </c>
    </row>
    <row r="23" ht="15.75" customHeight="1">
      <c r="C23" s="544" t="s">
        <v>841</v>
      </c>
      <c r="D23" s="6"/>
      <c r="E23" s="544" t="s">
        <v>842</v>
      </c>
      <c r="F23" s="20"/>
      <c r="G23" s="20"/>
      <c r="H23" s="20"/>
      <c r="I23" s="20"/>
      <c r="J23" s="6"/>
      <c r="K23" s="545"/>
      <c r="L23" s="546">
        <v>46259.0</v>
      </c>
    </row>
    <row r="24" ht="15.75" customHeight="1">
      <c r="C24" s="544" t="s">
        <v>843</v>
      </c>
      <c r="D24" s="6"/>
      <c r="E24" s="544" t="s">
        <v>844</v>
      </c>
      <c r="F24" s="20"/>
      <c r="G24" s="20"/>
      <c r="H24" s="20"/>
      <c r="I24" s="20"/>
      <c r="J24" s="6"/>
      <c r="K24" s="545"/>
      <c r="L24" s="546">
        <v>46259.0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J16:K16"/>
    <mergeCell ref="J17:K17"/>
    <mergeCell ref="J18:K18"/>
    <mergeCell ref="J19:K19"/>
    <mergeCell ref="J20:K20"/>
    <mergeCell ref="C14:G14"/>
    <mergeCell ref="H14:L14"/>
    <mergeCell ref="C15:E15"/>
    <mergeCell ref="F15:G15"/>
    <mergeCell ref="H15:I15"/>
    <mergeCell ref="J15:K15"/>
    <mergeCell ref="C16:E16"/>
    <mergeCell ref="H20:I20"/>
    <mergeCell ref="C21:L21"/>
    <mergeCell ref="C22:D22"/>
    <mergeCell ref="E22:J22"/>
    <mergeCell ref="C23:D23"/>
    <mergeCell ref="E23:J23"/>
    <mergeCell ref="C24:D24"/>
    <mergeCell ref="E24:J24"/>
    <mergeCell ref="F16:G16"/>
    <mergeCell ref="H16:I16"/>
    <mergeCell ref="C17:E20"/>
    <mergeCell ref="F17:G20"/>
    <mergeCell ref="H17:I17"/>
    <mergeCell ref="H18:I18"/>
    <mergeCell ref="H19:I1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5.43"/>
    <col customWidth="1" min="2" max="2" width="41.0"/>
    <col customWidth="1" min="3" max="4" width="8.57"/>
    <col customWidth="1" min="5" max="5" width="9.86"/>
    <col customWidth="1" min="6" max="6" width="8.71"/>
  </cols>
  <sheetData>
    <row r="1">
      <c r="A1" s="547" t="s">
        <v>0</v>
      </c>
      <c r="B1" s="547" t="s">
        <v>2</v>
      </c>
      <c r="C1" s="549" t="s">
        <v>9</v>
      </c>
      <c r="D1" s="16"/>
      <c r="E1" s="547" t="s">
        <v>25</v>
      </c>
      <c r="F1" s="24" t="s">
        <v>847</v>
      </c>
    </row>
    <row r="2">
      <c r="A2" s="38"/>
      <c r="B2" s="38"/>
      <c r="C2" s="40"/>
      <c r="D2" s="31"/>
      <c r="E2" s="38"/>
      <c r="F2" s="38"/>
    </row>
    <row r="3">
      <c r="A3" s="25"/>
      <c r="B3" s="25"/>
      <c r="C3" s="553" t="s">
        <v>4</v>
      </c>
      <c r="D3" s="553" t="s">
        <v>41</v>
      </c>
      <c r="E3" s="25"/>
      <c r="F3" s="25"/>
    </row>
    <row r="4">
      <c r="A4" s="157" t="s">
        <v>191</v>
      </c>
      <c r="B4" s="159" t="s">
        <v>520</v>
      </c>
      <c r="C4" s="160">
        <v>44696.0</v>
      </c>
      <c r="D4" s="160">
        <v>44709.0</v>
      </c>
      <c r="E4" s="47">
        <v>1.0</v>
      </c>
      <c r="F4" s="555" t="s">
        <v>849</v>
      </c>
    </row>
    <row r="5">
      <c r="A5" s="157" t="s">
        <v>193</v>
      </c>
      <c r="B5" s="159" t="s">
        <v>530</v>
      </c>
      <c r="C5" s="160">
        <v>44709.0</v>
      </c>
      <c r="D5" s="160">
        <v>44711.0</v>
      </c>
      <c r="E5" s="47">
        <v>1.0</v>
      </c>
      <c r="F5" s="555" t="s">
        <v>849</v>
      </c>
    </row>
    <row r="6">
      <c r="A6" s="310" t="s">
        <v>211</v>
      </c>
      <c r="B6" s="311" t="s">
        <v>593</v>
      </c>
      <c r="C6" s="312">
        <v>44712.0</v>
      </c>
      <c r="D6" s="312">
        <v>44712.0</v>
      </c>
      <c r="E6" s="354"/>
      <c r="F6" s="556"/>
    </row>
    <row r="7">
      <c r="A7" s="130" t="s">
        <v>319</v>
      </c>
      <c r="B7" s="132" t="s">
        <v>598</v>
      </c>
      <c r="C7" s="133">
        <v>44713.0</v>
      </c>
      <c r="D7" s="133">
        <v>44725.0</v>
      </c>
      <c r="E7" s="235"/>
      <c r="F7" s="235"/>
    </row>
    <row r="8">
      <c r="A8" s="292" t="s">
        <v>326</v>
      </c>
      <c r="B8" s="356" t="s">
        <v>609</v>
      </c>
      <c r="C8" s="357">
        <v>44713.0</v>
      </c>
      <c r="D8" s="357">
        <v>44716.0</v>
      </c>
      <c r="E8" s="47">
        <v>1.0</v>
      </c>
      <c r="F8" s="555" t="s">
        <v>849</v>
      </c>
      <c r="J8" s="557"/>
      <c r="K8" s="558"/>
      <c r="L8" s="559"/>
      <c r="M8" s="559"/>
      <c r="N8" s="281"/>
      <c r="O8" s="362"/>
    </row>
    <row r="9">
      <c r="A9" s="292" t="s">
        <v>329</v>
      </c>
      <c r="B9" s="356" t="s">
        <v>616</v>
      </c>
      <c r="C9" s="357">
        <v>44713.0</v>
      </c>
      <c r="D9" s="357">
        <v>44719.0</v>
      </c>
      <c r="E9" s="47">
        <v>1.0</v>
      </c>
      <c r="F9" s="555" t="s">
        <v>849</v>
      </c>
    </row>
    <row r="10">
      <c r="A10" s="292" t="s">
        <v>331</v>
      </c>
      <c r="B10" s="159" t="s">
        <v>617</v>
      </c>
      <c r="C10" s="357">
        <v>44713.0</v>
      </c>
      <c r="D10" s="357">
        <v>44719.0</v>
      </c>
      <c r="E10" s="47">
        <v>1.0</v>
      </c>
      <c r="F10" s="555" t="s">
        <v>849</v>
      </c>
      <c r="J10" s="560"/>
      <c r="K10" s="288"/>
      <c r="L10" s="561"/>
      <c r="M10" s="561"/>
      <c r="N10" s="281"/>
      <c r="O10" s="362"/>
    </row>
    <row r="11">
      <c r="A11" s="292" t="s">
        <v>333</v>
      </c>
      <c r="B11" s="356" t="s">
        <v>618</v>
      </c>
      <c r="C11" s="357">
        <v>44715.0</v>
      </c>
      <c r="D11" s="357">
        <v>44725.0</v>
      </c>
      <c r="E11" s="47">
        <v>1.0</v>
      </c>
      <c r="F11" s="555" t="s">
        <v>849</v>
      </c>
    </row>
    <row r="12">
      <c r="A12" s="292" t="s">
        <v>336</v>
      </c>
      <c r="B12" s="356" t="s">
        <v>529</v>
      </c>
      <c r="C12" s="357">
        <v>44717.0</v>
      </c>
      <c r="D12" s="357">
        <v>44717.0</v>
      </c>
      <c r="E12" s="47">
        <v>1.0</v>
      </c>
      <c r="F12" s="555" t="s">
        <v>849</v>
      </c>
    </row>
    <row r="13">
      <c r="A13" s="292" t="s">
        <v>338</v>
      </c>
      <c r="B13" s="356" t="s">
        <v>619</v>
      </c>
      <c r="C13" s="357">
        <v>44721.0</v>
      </c>
      <c r="D13" s="357">
        <v>44722.0</v>
      </c>
      <c r="E13" s="47">
        <v>1.0</v>
      </c>
      <c r="F13" s="555" t="s">
        <v>849</v>
      </c>
    </row>
    <row r="14">
      <c r="A14" s="292" t="s">
        <v>620</v>
      </c>
      <c r="B14" s="356" t="s">
        <v>538</v>
      </c>
      <c r="C14" s="357">
        <v>44724.0</v>
      </c>
      <c r="D14" s="357">
        <v>44724.0</v>
      </c>
      <c r="E14" s="47">
        <v>1.0</v>
      </c>
      <c r="F14" s="555" t="s">
        <v>849</v>
      </c>
    </row>
    <row r="15">
      <c r="A15" s="250" t="s">
        <v>340</v>
      </c>
      <c r="B15" s="251" t="s">
        <v>621</v>
      </c>
      <c r="C15" s="252">
        <v>44718.0</v>
      </c>
      <c r="D15" s="252">
        <v>44725.0</v>
      </c>
      <c r="E15" s="138">
        <v>1.0</v>
      </c>
      <c r="F15" s="555" t="s">
        <v>849</v>
      </c>
    </row>
    <row r="16">
      <c r="A16" s="310" t="s">
        <v>276</v>
      </c>
      <c r="B16" s="311" t="s">
        <v>622</v>
      </c>
      <c r="C16" s="312">
        <v>44726.0</v>
      </c>
      <c r="D16" s="312">
        <v>44726.0</v>
      </c>
      <c r="E16" s="562"/>
      <c r="F16" s="563"/>
    </row>
    <row r="17">
      <c r="A17" s="564" t="s">
        <v>355</v>
      </c>
      <c r="B17" s="565" t="s">
        <v>624</v>
      </c>
      <c r="C17" s="566">
        <v>44726.0</v>
      </c>
      <c r="D17" s="566">
        <v>44742.0</v>
      </c>
      <c r="E17" s="47">
        <v>0.8</v>
      </c>
      <c r="F17" s="370" t="s">
        <v>850</v>
      </c>
    </row>
    <row r="18">
      <c r="A18" s="567" t="s">
        <v>357</v>
      </c>
      <c r="B18" s="266" t="s">
        <v>625</v>
      </c>
      <c r="C18" s="566">
        <v>44727.0</v>
      </c>
      <c r="D18" s="566">
        <v>44730.0</v>
      </c>
      <c r="E18" s="47">
        <v>0.5</v>
      </c>
      <c r="F18" s="370" t="s">
        <v>850</v>
      </c>
    </row>
    <row r="19">
      <c r="A19" s="567" t="s">
        <v>361</v>
      </c>
      <c r="B19" s="565" t="s">
        <v>565</v>
      </c>
      <c r="C19" s="566">
        <v>44731.0</v>
      </c>
      <c r="D19" s="566">
        <v>44731.0</v>
      </c>
      <c r="E19" s="47">
        <v>1.0</v>
      </c>
      <c r="F19" s="555" t="s">
        <v>849</v>
      </c>
    </row>
    <row r="20">
      <c r="A20" s="567" t="s">
        <v>363</v>
      </c>
      <c r="B20" s="565" t="s">
        <v>851</v>
      </c>
      <c r="C20" s="566">
        <v>44732.0</v>
      </c>
      <c r="D20" s="566">
        <v>44744.0</v>
      </c>
      <c r="E20" s="47">
        <v>1.0</v>
      </c>
      <c r="F20" s="555" t="s">
        <v>849</v>
      </c>
    </row>
    <row r="21" ht="15.75" customHeight="1">
      <c r="A21" s="567" t="s">
        <v>627</v>
      </c>
      <c r="B21" s="565" t="s">
        <v>577</v>
      </c>
      <c r="C21" s="566">
        <v>44738.0</v>
      </c>
      <c r="D21" s="566">
        <v>44738.0</v>
      </c>
      <c r="E21" s="47">
        <v>1.0</v>
      </c>
      <c r="F21" s="555" t="s">
        <v>849</v>
      </c>
    </row>
    <row r="22" ht="15.75" customHeight="1">
      <c r="A22" s="567" t="s">
        <v>628</v>
      </c>
      <c r="B22" s="565" t="s">
        <v>629</v>
      </c>
      <c r="C22" s="566">
        <v>44739.0</v>
      </c>
      <c r="D22" s="566">
        <v>44744.0</v>
      </c>
      <c r="E22" s="47">
        <v>0.7</v>
      </c>
      <c r="F22" s="370" t="s">
        <v>850</v>
      </c>
    </row>
    <row r="23" ht="15.75" customHeight="1">
      <c r="A23" s="567" t="s">
        <v>630</v>
      </c>
      <c r="B23" s="565" t="s">
        <v>631</v>
      </c>
      <c r="C23" s="566">
        <v>44739.0</v>
      </c>
      <c r="D23" s="368">
        <v>44744.0</v>
      </c>
      <c r="E23" s="47">
        <v>1.0</v>
      </c>
      <c r="F23" s="555" t="s">
        <v>849</v>
      </c>
    </row>
    <row r="24" ht="15.75" customHeight="1">
      <c r="A24" s="250" t="s">
        <v>365</v>
      </c>
      <c r="B24" s="251" t="s">
        <v>642</v>
      </c>
      <c r="C24" s="252">
        <v>44732.0</v>
      </c>
      <c r="D24" s="252">
        <v>44740.0</v>
      </c>
      <c r="E24" s="138">
        <v>1.0</v>
      </c>
      <c r="F24" s="555" t="s">
        <v>849</v>
      </c>
    </row>
    <row r="25" ht="15.75" customHeight="1">
      <c r="A25" s="310" t="s">
        <v>281</v>
      </c>
      <c r="B25" s="311" t="s">
        <v>652</v>
      </c>
      <c r="C25" s="312">
        <v>44740.0</v>
      </c>
      <c r="D25" s="312">
        <v>44740.0</v>
      </c>
      <c r="E25" s="562"/>
      <c r="F25" s="563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B3"/>
    <mergeCell ref="C1:D2"/>
    <mergeCell ref="E1:E3"/>
    <mergeCell ref="F1:F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5.43"/>
    <col customWidth="1" min="2" max="2" width="41.0"/>
    <col customWidth="1" min="3" max="4" width="8.57"/>
    <col customWidth="1" min="5" max="5" width="9.29"/>
    <col customWidth="1" min="6" max="6" width="7.57"/>
    <col customWidth="1" min="7" max="7" width="7.71"/>
  </cols>
  <sheetData>
    <row r="1">
      <c r="A1" s="409" t="s">
        <v>0</v>
      </c>
      <c r="B1" s="409" t="s">
        <v>2</v>
      </c>
      <c r="C1" s="548" t="s">
        <v>9</v>
      </c>
      <c r="D1" s="16"/>
      <c r="E1" s="550" t="s">
        <v>845</v>
      </c>
      <c r="F1" s="551" t="s">
        <v>846</v>
      </c>
      <c r="G1" s="552" t="s">
        <v>848</v>
      </c>
    </row>
    <row r="2">
      <c r="A2" s="38"/>
      <c r="B2" s="38"/>
      <c r="C2" s="40"/>
      <c r="D2" s="31"/>
      <c r="E2" s="38"/>
      <c r="F2" s="38"/>
      <c r="G2" s="38"/>
    </row>
    <row r="3">
      <c r="A3" s="25"/>
      <c r="B3" s="25"/>
      <c r="C3" s="554" t="s">
        <v>4</v>
      </c>
      <c r="D3" s="554" t="s">
        <v>41</v>
      </c>
      <c r="E3" s="25"/>
      <c r="F3" s="25"/>
      <c r="G3" s="25"/>
    </row>
    <row r="4">
      <c r="A4" s="310" t="s">
        <v>211</v>
      </c>
      <c r="B4" s="311" t="s">
        <v>593</v>
      </c>
      <c r="C4" s="312">
        <v>44712.0</v>
      </c>
      <c r="D4" s="312">
        <v>44712.0</v>
      </c>
      <c r="E4" s="282">
        <v>0.4449</v>
      </c>
      <c r="F4" s="282">
        <v>0.4449</v>
      </c>
      <c r="G4" s="282">
        <f>F4-E4</f>
        <v>0</v>
      </c>
    </row>
    <row r="5">
      <c r="A5" s="130" t="s">
        <v>319</v>
      </c>
      <c r="B5" s="132" t="s">
        <v>598</v>
      </c>
      <c r="C5" s="133">
        <v>44713.0</v>
      </c>
      <c r="D5" s="133">
        <v>44725.0</v>
      </c>
      <c r="E5" s="323"/>
      <c r="F5" s="323"/>
      <c r="G5" s="323"/>
    </row>
    <row r="6">
      <c r="A6" s="292" t="s">
        <v>326</v>
      </c>
      <c r="B6" s="356" t="s">
        <v>609</v>
      </c>
      <c r="C6" s="357">
        <v>44713.0</v>
      </c>
      <c r="D6" s="357">
        <v>44716.0</v>
      </c>
      <c r="E6" s="39">
        <v>0.4586</v>
      </c>
      <c r="F6" s="39">
        <v>0.4586</v>
      </c>
      <c r="G6" s="39">
        <f t="shared" ref="G6:G23" si="1">F6-E6</f>
        <v>0</v>
      </c>
    </row>
    <row r="7">
      <c r="A7" s="292" t="s">
        <v>329</v>
      </c>
      <c r="B7" s="356" t="s">
        <v>616</v>
      </c>
      <c r="C7" s="357">
        <v>44713.0</v>
      </c>
      <c r="D7" s="357">
        <v>44719.0</v>
      </c>
      <c r="E7" s="39">
        <v>0.4745</v>
      </c>
      <c r="F7" s="39">
        <v>0.4745</v>
      </c>
      <c r="G7" s="39">
        <f t="shared" si="1"/>
        <v>0</v>
      </c>
    </row>
    <row r="8">
      <c r="A8" s="292" t="s">
        <v>331</v>
      </c>
      <c r="B8" s="159" t="s">
        <v>617</v>
      </c>
      <c r="C8" s="357">
        <v>44713.0</v>
      </c>
      <c r="D8" s="357">
        <v>44719.0</v>
      </c>
      <c r="E8" s="39">
        <v>0.4983</v>
      </c>
      <c r="F8" s="39">
        <v>0.4983</v>
      </c>
      <c r="G8" s="39">
        <f t="shared" si="1"/>
        <v>0</v>
      </c>
    </row>
    <row r="9">
      <c r="A9" s="292" t="s">
        <v>333</v>
      </c>
      <c r="B9" s="356" t="s">
        <v>618</v>
      </c>
      <c r="C9" s="357">
        <v>44715.0</v>
      </c>
      <c r="D9" s="357">
        <v>44725.0</v>
      </c>
      <c r="E9" s="39">
        <v>0.5437</v>
      </c>
      <c r="F9" s="39">
        <v>0.5437</v>
      </c>
      <c r="G9" s="39">
        <f t="shared" si="1"/>
        <v>0</v>
      </c>
    </row>
    <row r="10">
      <c r="A10" s="292" t="s">
        <v>336</v>
      </c>
      <c r="B10" s="356" t="s">
        <v>529</v>
      </c>
      <c r="C10" s="357">
        <v>44717.0</v>
      </c>
      <c r="D10" s="357">
        <v>44717.0</v>
      </c>
      <c r="E10" s="39">
        <v>0.5448</v>
      </c>
      <c r="F10" s="39">
        <v>0.5448</v>
      </c>
      <c r="G10" s="39">
        <f t="shared" si="1"/>
        <v>0</v>
      </c>
    </row>
    <row r="11">
      <c r="A11" s="292" t="s">
        <v>338</v>
      </c>
      <c r="B11" s="356" t="s">
        <v>619</v>
      </c>
      <c r="C11" s="357">
        <v>44721.0</v>
      </c>
      <c r="D11" s="357">
        <v>44722.0</v>
      </c>
      <c r="E11" s="39">
        <v>0.5562</v>
      </c>
      <c r="F11" s="39">
        <v>0.5562</v>
      </c>
      <c r="G11" s="39">
        <f t="shared" si="1"/>
        <v>0</v>
      </c>
    </row>
    <row r="12">
      <c r="A12" s="292" t="s">
        <v>620</v>
      </c>
      <c r="B12" s="356" t="s">
        <v>538</v>
      </c>
      <c r="C12" s="357">
        <v>44724.0</v>
      </c>
      <c r="D12" s="357">
        <v>44724.0</v>
      </c>
      <c r="E12" s="39">
        <v>0.5573</v>
      </c>
      <c r="F12" s="39">
        <v>0.5573</v>
      </c>
      <c r="G12" s="39">
        <f t="shared" si="1"/>
        <v>0</v>
      </c>
    </row>
    <row r="13">
      <c r="A13" s="250" t="s">
        <v>340</v>
      </c>
      <c r="B13" s="251" t="s">
        <v>621</v>
      </c>
      <c r="C13" s="252">
        <v>44718.0</v>
      </c>
      <c r="D13" s="252">
        <v>44725.0</v>
      </c>
      <c r="E13" s="138">
        <v>0.5846</v>
      </c>
      <c r="F13" s="138">
        <v>0.5846</v>
      </c>
      <c r="G13" s="138">
        <f t="shared" si="1"/>
        <v>0</v>
      </c>
    </row>
    <row r="14">
      <c r="A14" s="310" t="s">
        <v>276</v>
      </c>
      <c r="B14" s="311" t="s">
        <v>622</v>
      </c>
      <c r="C14" s="312">
        <v>44726.0</v>
      </c>
      <c r="D14" s="312">
        <v>44726.0</v>
      </c>
      <c r="E14" s="282">
        <v>0.5857</v>
      </c>
      <c r="F14" s="282">
        <v>0.5857</v>
      </c>
      <c r="G14" s="282">
        <f t="shared" si="1"/>
        <v>0</v>
      </c>
    </row>
    <row r="15">
      <c r="A15" s="564" t="s">
        <v>355</v>
      </c>
      <c r="B15" s="565" t="s">
        <v>624</v>
      </c>
      <c r="C15" s="566">
        <v>44726.0</v>
      </c>
      <c r="D15" s="566">
        <v>44742.0</v>
      </c>
      <c r="E15" s="47">
        <v>0.6652</v>
      </c>
      <c r="F15" s="47">
        <v>0.6493</v>
      </c>
      <c r="G15" s="39">
        <f t="shared" si="1"/>
        <v>-0.0159</v>
      </c>
    </row>
    <row r="16">
      <c r="A16" s="567" t="s">
        <v>357</v>
      </c>
      <c r="B16" s="266" t="s">
        <v>625</v>
      </c>
      <c r="C16" s="566">
        <v>44727.0</v>
      </c>
      <c r="D16" s="566">
        <v>44730.0</v>
      </c>
      <c r="E16" s="47">
        <v>0.6755</v>
      </c>
      <c r="F16" s="47">
        <v>0.6549</v>
      </c>
      <c r="G16" s="39">
        <f t="shared" si="1"/>
        <v>-0.0206</v>
      </c>
    </row>
    <row r="17">
      <c r="A17" s="567" t="s">
        <v>361</v>
      </c>
      <c r="B17" s="565" t="s">
        <v>565</v>
      </c>
      <c r="C17" s="566">
        <v>44731.0</v>
      </c>
      <c r="D17" s="566">
        <v>44731.0</v>
      </c>
      <c r="E17" s="47">
        <v>0.6776</v>
      </c>
      <c r="F17" s="47">
        <v>0.6561</v>
      </c>
      <c r="G17" s="39">
        <f t="shared" si="1"/>
        <v>-0.0215</v>
      </c>
    </row>
    <row r="18">
      <c r="A18" s="567" t="s">
        <v>363</v>
      </c>
      <c r="B18" s="565" t="s">
        <v>852</v>
      </c>
      <c r="C18" s="566">
        <v>44732.0</v>
      </c>
      <c r="D18" s="566">
        <v>44744.0</v>
      </c>
      <c r="E18" s="47">
        <v>0.706</v>
      </c>
      <c r="F18" s="47">
        <v>0.6844</v>
      </c>
      <c r="G18" s="39">
        <f t="shared" si="1"/>
        <v>-0.0216</v>
      </c>
    </row>
    <row r="19">
      <c r="A19" s="567" t="s">
        <v>627</v>
      </c>
      <c r="B19" s="565" t="s">
        <v>577</v>
      </c>
      <c r="C19" s="566">
        <v>44738.0</v>
      </c>
      <c r="D19" s="566">
        <v>44738.0</v>
      </c>
      <c r="E19" s="47">
        <v>0.7072</v>
      </c>
      <c r="F19" s="47">
        <v>0.6856</v>
      </c>
      <c r="G19" s="39">
        <f t="shared" si="1"/>
        <v>-0.0216</v>
      </c>
    </row>
    <row r="20">
      <c r="A20" s="567" t="s">
        <v>628</v>
      </c>
      <c r="B20" s="565" t="s">
        <v>629</v>
      </c>
      <c r="C20" s="566">
        <v>44739.0</v>
      </c>
      <c r="D20" s="566">
        <v>44744.0</v>
      </c>
      <c r="E20" s="47">
        <v>0.7412</v>
      </c>
      <c r="F20" s="47">
        <v>0.7094</v>
      </c>
      <c r="G20" s="39">
        <f t="shared" si="1"/>
        <v>-0.0318</v>
      </c>
    </row>
    <row r="21" ht="15.75" customHeight="1">
      <c r="A21" s="567" t="s">
        <v>630</v>
      </c>
      <c r="B21" s="565" t="s">
        <v>631</v>
      </c>
      <c r="C21" s="566">
        <v>44739.0</v>
      </c>
      <c r="D21" s="368">
        <v>44744.0</v>
      </c>
      <c r="E21" s="47">
        <v>0.7526</v>
      </c>
      <c r="F21" s="47">
        <v>0.7208</v>
      </c>
      <c r="G21" s="39">
        <f t="shared" si="1"/>
        <v>-0.0318</v>
      </c>
    </row>
    <row r="22" ht="15.75" customHeight="1">
      <c r="A22" s="250" t="s">
        <v>365</v>
      </c>
      <c r="B22" s="251" t="s">
        <v>642</v>
      </c>
      <c r="C22" s="252">
        <v>44732.0</v>
      </c>
      <c r="D22" s="252">
        <v>44740.0</v>
      </c>
      <c r="E22" s="138">
        <v>0.7798</v>
      </c>
      <c r="F22" s="138">
        <v>0.748</v>
      </c>
      <c r="G22" s="138">
        <f t="shared" si="1"/>
        <v>-0.0318</v>
      </c>
    </row>
    <row r="23" ht="15.75" customHeight="1">
      <c r="A23" s="310" t="s">
        <v>281</v>
      </c>
      <c r="B23" s="311" t="s">
        <v>652</v>
      </c>
      <c r="C23" s="312">
        <v>44740.0</v>
      </c>
      <c r="D23" s="312">
        <v>44740.0</v>
      </c>
      <c r="E23" s="282">
        <v>0.7809</v>
      </c>
      <c r="F23" s="282">
        <v>0.7491</v>
      </c>
      <c r="G23" s="282">
        <f t="shared" si="1"/>
        <v>-0.0318</v>
      </c>
    </row>
    <row r="24" ht="15.75" customHeight="1">
      <c r="A24" s="7"/>
      <c r="B24" s="7"/>
      <c r="C24" s="7"/>
      <c r="D24" s="7"/>
      <c r="E24" s="7"/>
      <c r="F24" s="7"/>
      <c r="G24" s="7"/>
    </row>
    <row r="25" ht="15.75" customHeight="1">
      <c r="A25" s="7"/>
      <c r="B25" s="7"/>
      <c r="C25" s="7"/>
      <c r="D25" s="7"/>
      <c r="E25" s="7"/>
      <c r="F25" s="7"/>
      <c r="G25" s="7"/>
    </row>
    <row r="26" ht="15.75" customHeight="1">
      <c r="A26" s="7"/>
      <c r="B26" s="7"/>
      <c r="C26" s="7"/>
      <c r="D26" s="7"/>
      <c r="E26" s="7"/>
      <c r="F26" s="7"/>
      <c r="G26" s="7"/>
    </row>
    <row r="27" ht="15.75" customHeight="1">
      <c r="A27" s="7"/>
      <c r="B27" s="7"/>
      <c r="C27" s="7"/>
      <c r="D27" s="7"/>
      <c r="E27" s="7"/>
      <c r="F27" s="7"/>
      <c r="G27" s="7"/>
    </row>
    <row r="28" ht="15.75" customHeight="1">
      <c r="A28" s="7"/>
      <c r="B28" s="7"/>
      <c r="C28" s="7"/>
      <c r="D28" s="7"/>
      <c r="E28" s="7"/>
      <c r="F28" s="7"/>
      <c r="G28" s="7"/>
    </row>
    <row r="29" ht="15.75" customHeight="1">
      <c r="A29" s="7"/>
      <c r="B29" s="7"/>
      <c r="C29" s="7"/>
      <c r="D29" s="7"/>
      <c r="E29" s="7"/>
      <c r="F29" s="7"/>
      <c r="G29" s="7"/>
    </row>
    <row r="30" ht="15.75" customHeight="1">
      <c r="A30" s="7"/>
      <c r="B30" s="7"/>
      <c r="C30" s="7"/>
      <c r="D30" s="7"/>
      <c r="E30" s="7"/>
      <c r="F30" s="7"/>
      <c r="G30" s="7"/>
    </row>
    <row r="31" ht="15.75" customHeight="1">
      <c r="A31" s="7"/>
      <c r="B31" s="7"/>
      <c r="C31" s="7"/>
      <c r="D31" s="7"/>
      <c r="E31" s="7"/>
      <c r="F31" s="7"/>
      <c r="G31" s="7"/>
    </row>
    <row r="32" ht="15.75" customHeight="1">
      <c r="A32" s="7"/>
      <c r="B32" s="7"/>
      <c r="C32" s="7"/>
      <c r="D32" s="7"/>
      <c r="E32" s="7"/>
      <c r="F32" s="7"/>
      <c r="G32" s="7"/>
    </row>
    <row r="33" ht="15.75" customHeight="1">
      <c r="A33" s="7"/>
      <c r="B33" s="7"/>
      <c r="C33" s="7"/>
      <c r="D33" s="7"/>
      <c r="E33" s="7"/>
      <c r="F33" s="7"/>
      <c r="G33" s="7"/>
    </row>
    <row r="34" ht="15.75" customHeight="1">
      <c r="A34" s="7"/>
      <c r="B34" s="7"/>
      <c r="C34" s="7"/>
      <c r="D34" s="7"/>
      <c r="E34" s="7"/>
      <c r="F34" s="7"/>
      <c r="G34" s="7"/>
    </row>
    <row r="35" ht="15.75" customHeight="1">
      <c r="A35" s="7"/>
      <c r="B35" s="7"/>
      <c r="C35" s="7"/>
      <c r="D35" s="7"/>
      <c r="E35" s="7"/>
      <c r="F35" s="7"/>
      <c r="G35" s="7"/>
    </row>
    <row r="36" ht="15.75" customHeight="1">
      <c r="A36" s="7"/>
      <c r="B36" s="7"/>
      <c r="C36" s="7"/>
      <c r="D36" s="7"/>
      <c r="E36" s="7"/>
      <c r="F36" s="7"/>
      <c r="G36" s="7"/>
    </row>
    <row r="37" ht="15.75" customHeight="1">
      <c r="A37" s="7"/>
      <c r="B37" s="7"/>
      <c r="C37" s="7"/>
      <c r="D37" s="7"/>
      <c r="E37" s="7"/>
      <c r="F37" s="7"/>
      <c r="G37" s="7"/>
    </row>
    <row r="38" ht="15.75" customHeight="1">
      <c r="A38" s="7"/>
      <c r="B38" s="7"/>
      <c r="C38" s="7"/>
      <c r="D38" s="7"/>
      <c r="E38" s="7"/>
      <c r="F38" s="7"/>
      <c r="G38" s="7"/>
    </row>
    <row r="39" ht="15.75" customHeight="1">
      <c r="A39" s="7"/>
      <c r="B39" s="7"/>
      <c r="C39" s="7"/>
      <c r="D39" s="7"/>
      <c r="E39" s="7"/>
      <c r="F39" s="7"/>
      <c r="G39" s="7"/>
    </row>
    <row r="40" ht="15.75" customHeight="1">
      <c r="A40" s="7"/>
      <c r="B40" s="7"/>
      <c r="C40" s="7"/>
      <c r="D40" s="7"/>
      <c r="E40" s="7"/>
      <c r="F40" s="7"/>
      <c r="G40" s="7"/>
    </row>
    <row r="41" ht="15.75" customHeight="1">
      <c r="A41" s="7"/>
      <c r="B41" s="7"/>
      <c r="C41" s="7"/>
      <c r="D41" s="7"/>
      <c r="E41" s="7"/>
      <c r="F41" s="7"/>
      <c r="G41" s="7"/>
    </row>
    <row r="42" ht="15.75" customHeight="1">
      <c r="A42" s="7"/>
      <c r="B42" s="7"/>
      <c r="C42" s="7"/>
      <c r="D42" s="7"/>
      <c r="E42" s="7"/>
      <c r="F42" s="7"/>
      <c r="G42" s="7"/>
    </row>
    <row r="43" ht="15.75" customHeight="1">
      <c r="A43" s="7"/>
      <c r="B43" s="7"/>
      <c r="C43" s="7"/>
      <c r="D43" s="7"/>
      <c r="E43" s="7"/>
      <c r="F43" s="7"/>
      <c r="G43" s="7"/>
    </row>
    <row r="44" ht="15.75" customHeight="1">
      <c r="A44" s="7"/>
      <c r="B44" s="7"/>
      <c r="C44" s="7"/>
      <c r="D44" s="7"/>
      <c r="E44" s="7"/>
      <c r="F44" s="7"/>
      <c r="G44" s="7"/>
    </row>
    <row r="45" ht="15.75" customHeight="1">
      <c r="A45" s="7"/>
      <c r="B45" s="7"/>
      <c r="C45" s="7"/>
      <c r="D45" s="7"/>
      <c r="E45" s="7"/>
      <c r="F45" s="7"/>
      <c r="G45" s="7"/>
    </row>
    <row r="46" ht="15.75" customHeight="1">
      <c r="A46" s="7"/>
      <c r="B46" s="7"/>
      <c r="C46" s="7"/>
      <c r="D46" s="7"/>
      <c r="E46" s="7"/>
      <c r="F46" s="7"/>
      <c r="G46" s="7"/>
    </row>
    <row r="47" ht="15.75" customHeight="1">
      <c r="A47" s="7"/>
      <c r="B47" s="7"/>
      <c r="C47" s="7"/>
      <c r="D47" s="7"/>
      <c r="E47" s="7"/>
      <c r="F47" s="7"/>
      <c r="G47" s="7"/>
    </row>
    <row r="48" ht="15.75" customHeight="1">
      <c r="A48" s="7"/>
      <c r="B48" s="7"/>
      <c r="C48" s="7"/>
      <c r="D48" s="7"/>
      <c r="E48" s="7"/>
      <c r="F48" s="7"/>
      <c r="G48" s="7"/>
    </row>
    <row r="49" ht="15.75" customHeight="1">
      <c r="A49" s="7"/>
      <c r="B49" s="7"/>
      <c r="C49" s="7"/>
      <c r="D49" s="7"/>
      <c r="E49" s="7"/>
      <c r="F49" s="7"/>
      <c r="G49" s="7"/>
    </row>
    <row r="50" ht="15.75" customHeight="1">
      <c r="A50" s="7"/>
      <c r="B50" s="7"/>
      <c r="C50" s="7"/>
      <c r="D50" s="7"/>
      <c r="E50" s="7"/>
      <c r="F50" s="7"/>
      <c r="G50" s="7"/>
    </row>
    <row r="51" ht="15.75" customHeight="1">
      <c r="A51" s="7"/>
      <c r="B51" s="7"/>
      <c r="C51" s="7"/>
      <c r="D51" s="7"/>
      <c r="E51" s="7"/>
      <c r="F51" s="7"/>
      <c r="G51" s="7"/>
    </row>
    <row r="52" ht="15.75" customHeight="1">
      <c r="A52" s="7"/>
      <c r="B52" s="7"/>
      <c r="C52" s="7"/>
      <c r="D52" s="7"/>
      <c r="E52" s="7"/>
      <c r="F52" s="7"/>
      <c r="G52" s="7"/>
    </row>
    <row r="53" ht="15.75" customHeight="1">
      <c r="A53" s="7"/>
      <c r="B53" s="7"/>
      <c r="C53" s="7"/>
      <c r="D53" s="7"/>
      <c r="E53" s="7"/>
      <c r="F53" s="7"/>
      <c r="G53" s="7"/>
    </row>
    <row r="54" ht="15.75" customHeight="1">
      <c r="A54" s="7"/>
      <c r="B54" s="7"/>
      <c r="C54" s="7"/>
      <c r="D54" s="7"/>
      <c r="E54" s="7"/>
      <c r="F54" s="7"/>
      <c r="G54" s="7"/>
    </row>
    <row r="55" ht="15.75" customHeight="1">
      <c r="A55" s="7"/>
      <c r="B55" s="7"/>
      <c r="C55" s="7"/>
      <c r="D55" s="7"/>
      <c r="E55" s="7"/>
      <c r="F55" s="7"/>
      <c r="G55" s="7"/>
    </row>
    <row r="56" ht="15.75" customHeight="1">
      <c r="A56" s="7"/>
      <c r="B56" s="7"/>
      <c r="C56" s="7"/>
      <c r="D56" s="7"/>
      <c r="E56" s="7"/>
      <c r="F56" s="7"/>
      <c r="G56" s="7"/>
    </row>
    <row r="57" ht="15.75" customHeight="1">
      <c r="A57" s="7"/>
      <c r="B57" s="7"/>
      <c r="C57" s="7"/>
      <c r="D57" s="7"/>
      <c r="E57" s="7"/>
      <c r="F57" s="7"/>
      <c r="G57" s="7"/>
    </row>
    <row r="58" ht="15.75" customHeight="1">
      <c r="A58" s="7"/>
      <c r="B58" s="7"/>
      <c r="C58" s="7"/>
      <c r="D58" s="7"/>
      <c r="E58" s="7"/>
      <c r="F58" s="7"/>
      <c r="G58" s="7"/>
    </row>
    <row r="59" ht="15.75" customHeight="1">
      <c r="A59" s="7"/>
      <c r="B59" s="7"/>
      <c r="C59" s="7"/>
      <c r="D59" s="7"/>
      <c r="E59" s="7"/>
      <c r="F59" s="7"/>
      <c r="G59" s="7"/>
    </row>
    <row r="60" ht="15.75" customHeight="1">
      <c r="A60" s="7"/>
      <c r="B60" s="7"/>
      <c r="C60" s="7"/>
      <c r="D60" s="7"/>
      <c r="E60" s="7"/>
      <c r="F60" s="7"/>
      <c r="G60" s="7"/>
    </row>
    <row r="61" ht="15.75" customHeight="1">
      <c r="A61" s="7"/>
      <c r="B61" s="7"/>
      <c r="C61" s="7"/>
      <c r="D61" s="7"/>
      <c r="E61" s="7"/>
      <c r="F61" s="7"/>
      <c r="G61" s="7"/>
    </row>
    <row r="62" ht="15.75" customHeight="1">
      <c r="A62" s="7"/>
      <c r="B62" s="7"/>
      <c r="C62" s="7"/>
      <c r="D62" s="7"/>
      <c r="E62" s="7"/>
      <c r="F62" s="7"/>
      <c r="G62" s="7"/>
    </row>
    <row r="63" ht="15.75" customHeight="1">
      <c r="A63" s="7"/>
      <c r="B63" s="7"/>
      <c r="C63" s="7"/>
      <c r="D63" s="7"/>
      <c r="E63" s="7"/>
      <c r="F63" s="7"/>
      <c r="G63" s="7"/>
    </row>
    <row r="64" ht="15.75" customHeight="1">
      <c r="A64" s="7"/>
      <c r="B64" s="7"/>
      <c r="C64" s="7"/>
      <c r="D64" s="7"/>
      <c r="E64" s="7"/>
      <c r="F64" s="7"/>
      <c r="G64" s="7"/>
    </row>
    <row r="65" ht="15.75" customHeight="1">
      <c r="A65" s="7"/>
      <c r="B65" s="7"/>
      <c r="C65" s="7"/>
      <c r="D65" s="7"/>
      <c r="E65" s="7"/>
      <c r="F65" s="7"/>
      <c r="G65" s="7"/>
    </row>
    <row r="66" ht="15.75" customHeight="1">
      <c r="A66" s="7"/>
      <c r="B66" s="7"/>
      <c r="C66" s="7"/>
      <c r="D66" s="7"/>
      <c r="E66" s="7"/>
      <c r="F66" s="7"/>
      <c r="G66" s="7"/>
    </row>
    <row r="67" ht="15.75" customHeight="1">
      <c r="A67" s="7"/>
      <c r="B67" s="7"/>
      <c r="C67" s="7"/>
      <c r="D67" s="7"/>
      <c r="E67" s="7"/>
      <c r="F67" s="7"/>
      <c r="G67" s="7"/>
    </row>
    <row r="68" ht="15.75" customHeight="1">
      <c r="A68" s="7"/>
      <c r="B68" s="7"/>
      <c r="C68" s="7"/>
      <c r="D68" s="7"/>
      <c r="E68" s="7"/>
      <c r="F68" s="7"/>
      <c r="G68" s="7"/>
    </row>
    <row r="69" ht="15.75" customHeight="1">
      <c r="A69" s="7"/>
      <c r="B69" s="7"/>
      <c r="C69" s="7"/>
      <c r="D69" s="7"/>
      <c r="E69" s="7"/>
      <c r="F69" s="7"/>
      <c r="G69" s="7"/>
    </row>
    <row r="70" ht="15.75" customHeight="1">
      <c r="A70" s="7"/>
      <c r="B70" s="7"/>
      <c r="C70" s="7"/>
      <c r="D70" s="7"/>
      <c r="E70" s="7"/>
      <c r="F70" s="7"/>
      <c r="G70" s="7"/>
    </row>
    <row r="71" ht="15.75" customHeight="1">
      <c r="A71" s="7"/>
      <c r="B71" s="7"/>
      <c r="C71" s="7"/>
      <c r="D71" s="7"/>
      <c r="E71" s="7"/>
      <c r="F71" s="7"/>
      <c r="G71" s="7"/>
    </row>
    <row r="72" ht="15.75" customHeight="1">
      <c r="A72" s="7"/>
      <c r="B72" s="7"/>
      <c r="C72" s="7"/>
      <c r="D72" s="7"/>
      <c r="E72" s="7"/>
      <c r="F72" s="7"/>
      <c r="G72" s="7"/>
    </row>
    <row r="73" ht="15.75" customHeight="1">
      <c r="A73" s="7"/>
      <c r="B73" s="7"/>
      <c r="C73" s="7"/>
      <c r="D73" s="7"/>
      <c r="E73" s="7"/>
      <c r="F73" s="7"/>
      <c r="G73" s="7"/>
    </row>
    <row r="74" ht="15.75" customHeight="1">
      <c r="A74" s="7"/>
      <c r="B74" s="7"/>
      <c r="C74" s="7"/>
      <c r="D74" s="7"/>
      <c r="E74" s="7"/>
      <c r="F74" s="7"/>
      <c r="G74" s="7"/>
    </row>
    <row r="75" ht="15.75" customHeight="1">
      <c r="A75" s="7"/>
      <c r="B75" s="7"/>
      <c r="C75" s="7"/>
      <c r="D75" s="7"/>
      <c r="E75" s="7"/>
      <c r="F75" s="7"/>
      <c r="G75" s="7"/>
    </row>
    <row r="76" ht="15.75" customHeight="1">
      <c r="A76" s="7"/>
      <c r="B76" s="7"/>
      <c r="C76" s="7"/>
      <c r="D76" s="7"/>
      <c r="E76" s="7"/>
      <c r="F76" s="7"/>
      <c r="G76" s="7"/>
    </row>
    <row r="77" ht="15.75" customHeight="1">
      <c r="A77" s="7"/>
      <c r="B77" s="7"/>
      <c r="C77" s="7"/>
      <c r="D77" s="7"/>
      <c r="E77" s="7"/>
      <c r="F77" s="7"/>
      <c r="G77" s="7"/>
    </row>
    <row r="78" ht="15.75" customHeight="1">
      <c r="A78" s="7"/>
      <c r="B78" s="7"/>
      <c r="C78" s="7"/>
      <c r="D78" s="7"/>
      <c r="E78" s="7"/>
      <c r="F78" s="7"/>
      <c r="G78" s="7"/>
    </row>
    <row r="79" ht="15.75" customHeight="1">
      <c r="A79" s="7"/>
      <c r="B79" s="7"/>
      <c r="C79" s="7"/>
      <c r="D79" s="7"/>
      <c r="E79" s="7"/>
      <c r="F79" s="7"/>
      <c r="G79" s="7"/>
    </row>
    <row r="80" ht="15.75" customHeight="1">
      <c r="A80" s="7"/>
      <c r="B80" s="7"/>
      <c r="C80" s="7"/>
      <c r="D80" s="7"/>
      <c r="E80" s="7"/>
      <c r="F80" s="7"/>
      <c r="G80" s="7"/>
    </row>
    <row r="81" ht="15.75" customHeight="1">
      <c r="A81" s="7"/>
      <c r="B81" s="7"/>
      <c r="C81" s="7"/>
      <c r="D81" s="7"/>
      <c r="E81" s="7"/>
      <c r="F81" s="7"/>
      <c r="G81" s="7"/>
    </row>
    <row r="82" ht="15.75" customHeight="1">
      <c r="A82" s="7"/>
      <c r="B82" s="7"/>
      <c r="C82" s="7"/>
      <c r="D82" s="7"/>
      <c r="E82" s="7"/>
      <c r="F82" s="7"/>
      <c r="G82" s="7"/>
    </row>
    <row r="83" ht="15.75" customHeight="1">
      <c r="A83" s="7"/>
      <c r="B83" s="7"/>
      <c r="C83" s="7"/>
      <c r="D83" s="7"/>
      <c r="E83" s="7"/>
      <c r="F83" s="7"/>
      <c r="G83" s="7"/>
    </row>
    <row r="84" ht="15.75" customHeight="1">
      <c r="A84" s="7"/>
      <c r="B84" s="7"/>
      <c r="C84" s="7"/>
      <c r="D84" s="7"/>
      <c r="E84" s="7"/>
      <c r="F84" s="7"/>
      <c r="G84" s="7"/>
    </row>
    <row r="85" ht="15.75" customHeight="1">
      <c r="A85" s="7"/>
      <c r="B85" s="7"/>
      <c r="C85" s="7"/>
      <c r="D85" s="7"/>
      <c r="E85" s="7"/>
      <c r="F85" s="7"/>
      <c r="G85" s="7"/>
    </row>
    <row r="86" ht="15.75" customHeight="1">
      <c r="A86" s="7"/>
      <c r="B86" s="7"/>
      <c r="C86" s="7"/>
      <c r="D86" s="7"/>
      <c r="E86" s="7"/>
      <c r="F86" s="7"/>
      <c r="G86" s="7"/>
    </row>
    <row r="87" ht="15.75" customHeight="1">
      <c r="A87" s="7"/>
      <c r="B87" s="7"/>
      <c r="C87" s="7"/>
      <c r="D87" s="7"/>
      <c r="E87" s="7"/>
      <c r="F87" s="7"/>
      <c r="G87" s="7"/>
    </row>
    <row r="88" ht="15.75" customHeight="1">
      <c r="A88" s="7"/>
      <c r="B88" s="7"/>
      <c r="C88" s="7"/>
      <c r="D88" s="7"/>
      <c r="E88" s="7"/>
      <c r="F88" s="7"/>
      <c r="G88" s="7"/>
    </row>
    <row r="89" ht="15.75" customHeight="1">
      <c r="A89" s="7"/>
      <c r="B89" s="7"/>
      <c r="C89" s="7"/>
      <c r="D89" s="7"/>
      <c r="E89" s="7"/>
      <c r="F89" s="7"/>
      <c r="G89" s="7"/>
    </row>
    <row r="90" ht="15.75" customHeight="1">
      <c r="A90" s="7"/>
      <c r="B90" s="7"/>
      <c r="C90" s="7"/>
      <c r="D90" s="7"/>
      <c r="E90" s="7"/>
      <c r="F90" s="7"/>
      <c r="G90" s="7"/>
    </row>
    <row r="91" ht="15.75" customHeight="1">
      <c r="A91" s="7"/>
      <c r="B91" s="7"/>
      <c r="C91" s="7"/>
      <c r="D91" s="7"/>
      <c r="E91" s="7"/>
      <c r="F91" s="7"/>
      <c r="G91" s="7"/>
    </row>
    <row r="92" ht="15.75" customHeight="1">
      <c r="A92" s="7"/>
      <c r="B92" s="7"/>
      <c r="C92" s="7"/>
      <c r="D92" s="7"/>
      <c r="E92" s="7"/>
      <c r="F92" s="7"/>
      <c r="G92" s="7"/>
    </row>
    <row r="93" ht="15.75" customHeight="1">
      <c r="A93" s="7"/>
      <c r="B93" s="7"/>
      <c r="C93" s="7"/>
      <c r="D93" s="7"/>
      <c r="E93" s="7"/>
      <c r="F93" s="7"/>
      <c r="G93" s="7"/>
    </row>
    <row r="94" ht="15.75" customHeight="1">
      <c r="A94" s="7"/>
      <c r="B94" s="7"/>
      <c r="C94" s="7"/>
      <c r="D94" s="7"/>
      <c r="E94" s="7"/>
      <c r="F94" s="7"/>
      <c r="G94" s="7"/>
    </row>
    <row r="95" ht="15.75" customHeight="1">
      <c r="A95" s="7"/>
      <c r="B95" s="7"/>
      <c r="C95" s="7"/>
      <c r="D95" s="7"/>
      <c r="E95" s="7"/>
      <c r="F95" s="7"/>
      <c r="G95" s="7"/>
    </row>
    <row r="96" ht="15.75" customHeight="1">
      <c r="A96" s="7"/>
      <c r="B96" s="7"/>
      <c r="C96" s="7"/>
      <c r="D96" s="7"/>
      <c r="E96" s="7"/>
      <c r="F96" s="7"/>
      <c r="G96" s="7"/>
    </row>
    <row r="97" ht="15.75" customHeight="1">
      <c r="A97" s="7"/>
      <c r="B97" s="7"/>
      <c r="C97" s="7"/>
      <c r="D97" s="7"/>
      <c r="E97" s="7"/>
      <c r="F97" s="7"/>
      <c r="G97" s="7"/>
    </row>
    <row r="98" ht="15.75" customHeight="1">
      <c r="A98" s="7"/>
      <c r="B98" s="7"/>
      <c r="C98" s="7"/>
      <c r="D98" s="7"/>
      <c r="E98" s="7"/>
      <c r="F98" s="7"/>
      <c r="G98" s="7"/>
    </row>
    <row r="99" ht="15.75" customHeight="1">
      <c r="A99" s="7"/>
      <c r="B99" s="7"/>
      <c r="C99" s="7"/>
      <c r="D99" s="7"/>
      <c r="E99" s="7"/>
      <c r="F99" s="7"/>
      <c r="G99" s="7"/>
    </row>
    <row r="100" ht="15.75" customHeight="1">
      <c r="A100" s="7"/>
      <c r="B100" s="7"/>
      <c r="C100" s="7"/>
      <c r="D100" s="7"/>
      <c r="E100" s="7"/>
      <c r="F100" s="7"/>
      <c r="G100" s="7"/>
    </row>
    <row r="101" ht="15.75" customHeight="1">
      <c r="A101" s="7"/>
      <c r="B101" s="7"/>
      <c r="C101" s="7"/>
      <c r="D101" s="7"/>
      <c r="E101" s="7"/>
      <c r="F101" s="7"/>
      <c r="G101" s="7"/>
    </row>
    <row r="102" ht="15.75" customHeight="1">
      <c r="A102" s="7"/>
      <c r="B102" s="7"/>
      <c r="C102" s="7"/>
      <c r="D102" s="7"/>
      <c r="E102" s="7"/>
      <c r="F102" s="7"/>
      <c r="G102" s="7"/>
    </row>
    <row r="103" ht="15.75" customHeight="1">
      <c r="A103" s="7"/>
      <c r="B103" s="7"/>
      <c r="C103" s="7"/>
      <c r="D103" s="7"/>
      <c r="E103" s="7"/>
      <c r="F103" s="7"/>
      <c r="G103" s="7"/>
    </row>
    <row r="104" ht="15.75" customHeight="1">
      <c r="A104" s="7"/>
      <c r="B104" s="7"/>
      <c r="C104" s="7"/>
      <c r="D104" s="7"/>
      <c r="E104" s="7"/>
      <c r="F104" s="7"/>
      <c r="G104" s="7"/>
    </row>
    <row r="105" ht="15.75" customHeight="1">
      <c r="A105" s="7"/>
      <c r="B105" s="7"/>
      <c r="C105" s="7"/>
      <c r="D105" s="7"/>
      <c r="E105" s="7"/>
      <c r="F105" s="7"/>
      <c r="G105" s="7"/>
    </row>
    <row r="106" ht="15.75" customHeight="1">
      <c r="A106" s="7"/>
      <c r="B106" s="7"/>
      <c r="C106" s="7"/>
      <c r="D106" s="7"/>
      <c r="E106" s="7"/>
      <c r="F106" s="7"/>
      <c r="G106" s="7"/>
    </row>
    <row r="107" ht="15.75" customHeight="1">
      <c r="A107" s="7"/>
      <c r="B107" s="7"/>
      <c r="C107" s="7"/>
      <c r="D107" s="7"/>
      <c r="E107" s="7"/>
      <c r="F107" s="7"/>
      <c r="G107" s="7"/>
    </row>
    <row r="108" ht="15.75" customHeight="1">
      <c r="A108" s="7"/>
      <c r="B108" s="7"/>
      <c r="C108" s="7"/>
      <c r="D108" s="7"/>
      <c r="E108" s="7"/>
      <c r="F108" s="7"/>
      <c r="G108" s="7"/>
    </row>
    <row r="109" ht="15.75" customHeight="1">
      <c r="A109" s="7"/>
      <c r="B109" s="7"/>
      <c r="C109" s="7"/>
      <c r="D109" s="7"/>
      <c r="E109" s="7"/>
      <c r="F109" s="7"/>
      <c r="G109" s="7"/>
    </row>
    <row r="110" ht="15.75" customHeight="1">
      <c r="A110" s="7"/>
      <c r="B110" s="7"/>
      <c r="C110" s="7"/>
      <c r="D110" s="7"/>
      <c r="E110" s="7"/>
      <c r="F110" s="7"/>
      <c r="G110" s="7"/>
    </row>
    <row r="111" ht="15.75" customHeight="1">
      <c r="A111" s="7"/>
      <c r="B111" s="7"/>
      <c r="C111" s="7"/>
      <c r="D111" s="7"/>
      <c r="E111" s="7"/>
      <c r="F111" s="7"/>
      <c r="G111" s="7"/>
    </row>
    <row r="112" ht="15.75" customHeight="1">
      <c r="A112" s="7"/>
      <c r="B112" s="7"/>
      <c r="C112" s="7"/>
      <c r="D112" s="7"/>
      <c r="E112" s="7"/>
      <c r="F112" s="7"/>
      <c r="G112" s="7"/>
    </row>
    <row r="113" ht="15.75" customHeight="1">
      <c r="A113" s="7"/>
      <c r="B113" s="7"/>
      <c r="C113" s="7"/>
      <c r="D113" s="7"/>
      <c r="E113" s="7"/>
      <c r="F113" s="7"/>
      <c r="G113" s="7"/>
    </row>
    <row r="114" ht="15.75" customHeight="1">
      <c r="A114" s="7"/>
      <c r="B114" s="7"/>
      <c r="C114" s="7"/>
      <c r="D114" s="7"/>
      <c r="E114" s="7"/>
      <c r="F114" s="7"/>
      <c r="G114" s="7"/>
    </row>
    <row r="115" ht="15.75" customHeight="1">
      <c r="A115" s="7"/>
      <c r="B115" s="7"/>
      <c r="C115" s="7"/>
      <c r="D115" s="7"/>
      <c r="E115" s="7"/>
      <c r="F115" s="7"/>
      <c r="G115" s="7"/>
    </row>
    <row r="116" ht="15.75" customHeight="1">
      <c r="A116" s="7"/>
      <c r="B116" s="7"/>
      <c r="C116" s="7"/>
      <c r="D116" s="7"/>
      <c r="E116" s="7"/>
      <c r="F116" s="7"/>
      <c r="G116" s="7"/>
    </row>
    <row r="117" ht="15.75" customHeight="1">
      <c r="A117" s="7"/>
      <c r="B117" s="7"/>
      <c r="C117" s="7"/>
      <c r="D117" s="7"/>
      <c r="E117" s="7"/>
      <c r="F117" s="7"/>
      <c r="G117" s="7"/>
    </row>
    <row r="118" ht="15.75" customHeight="1">
      <c r="A118" s="7"/>
      <c r="B118" s="7"/>
      <c r="C118" s="7"/>
      <c r="D118" s="7"/>
      <c r="E118" s="7"/>
      <c r="F118" s="7"/>
      <c r="G118" s="7"/>
    </row>
    <row r="119" ht="15.75" customHeight="1">
      <c r="A119" s="7"/>
      <c r="B119" s="7"/>
      <c r="C119" s="7"/>
      <c r="D119" s="7"/>
      <c r="E119" s="7"/>
      <c r="F119" s="7"/>
      <c r="G119" s="7"/>
    </row>
    <row r="120" ht="15.75" customHeight="1">
      <c r="A120" s="7"/>
      <c r="B120" s="7"/>
      <c r="C120" s="7"/>
      <c r="D120" s="7"/>
      <c r="E120" s="7"/>
      <c r="F120" s="7"/>
      <c r="G120" s="7"/>
    </row>
    <row r="121" ht="15.75" customHeight="1">
      <c r="A121" s="7"/>
      <c r="B121" s="7"/>
      <c r="C121" s="7"/>
      <c r="D121" s="7"/>
      <c r="E121" s="7"/>
      <c r="F121" s="7"/>
      <c r="G121" s="7"/>
    </row>
    <row r="122" ht="15.75" customHeight="1">
      <c r="A122" s="7"/>
      <c r="B122" s="7"/>
      <c r="C122" s="7"/>
      <c r="D122" s="7"/>
      <c r="E122" s="7"/>
      <c r="F122" s="7"/>
      <c r="G122" s="7"/>
    </row>
    <row r="123" ht="15.75" customHeight="1">
      <c r="A123" s="7"/>
      <c r="B123" s="7"/>
      <c r="C123" s="7"/>
      <c r="D123" s="7"/>
      <c r="E123" s="7"/>
      <c r="F123" s="7"/>
      <c r="G123" s="7"/>
    </row>
    <row r="124" ht="15.75" customHeight="1">
      <c r="A124" s="7"/>
      <c r="B124" s="7"/>
      <c r="C124" s="7"/>
      <c r="D124" s="7"/>
      <c r="E124" s="7"/>
      <c r="F124" s="7"/>
      <c r="G124" s="7"/>
    </row>
    <row r="125" ht="15.75" customHeight="1">
      <c r="A125" s="7"/>
      <c r="B125" s="7"/>
      <c r="C125" s="7"/>
      <c r="D125" s="7"/>
      <c r="E125" s="7"/>
      <c r="F125" s="7"/>
      <c r="G125" s="7"/>
    </row>
    <row r="126" ht="15.75" customHeight="1">
      <c r="A126" s="7"/>
      <c r="B126" s="7"/>
      <c r="C126" s="7"/>
      <c r="D126" s="7"/>
      <c r="E126" s="7"/>
      <c r="F126" s="7"/>
      <c r="G126" s="7"/>
    </row>
    <row r="127" ht="15.75" customHeight="1">
      <c r="A127" s="7"/>
      <c r="B127" s="7"/>
      <c r="C127" s="7"/>
      <c r="D127" s="7"/>
      <c r="E127" s="7"/>
      <c r="F127" s="7"/>
      <c r="G127" s="7"/>
    </row>
    <row r="128" ht="15.75" customHeight="1">
      <c r="A128" s="7"/>
      <c r="B128" s="7"/>
      <c r="C128" s="7"/>
      <c r="D128" s="7"/>
      <c r="E128" s="7"/>
      <c r="F128" s="7"/>
      <c r="G128" s="7"/>
    </row>
    <row r="129" ht="15.75" customHeight="1">
      <c r="A129" s="7"/>
      <c r="B129" s="7"/>
      <c r="C129" s="7"/>
      <c r="D129" s="7"/>
      <c r="E129" s="7"/>
      <c r="F129" s="7"/>
      <c r="G129" s="7"/>
    </row>
    <row r="130" ht="15.75" customHeight="1">
      <c r="A130" s="7"/>
      <c r="B130" s="7"/>
      <c r="C130" s="7"/>
      <c r="D130" s="7"/>
      <c r="E130" s="7"/>
      <c r="F130" s="7"/>
      <c r="G130" s="7"/>
    </row>
    <row r="131" ht="15.75" customHeight="1">
      <c r="A131" s="7"/>
      <c r="B131" s="7"/>
      <c r="C131" s="7"/>
      <c r="D131" s="7"/>
      <c r="E131" s="7"/>
      <c r="F131" s="7"/>
      <c r="G131" s="7"/>
    </row>
    <row r="132" ht="15.75" customHeight="1">
      <c r="A132" s="7"/>
      <c r="B132" s="7"/>
      <c r="C132" s="7"/>
      <c r="D132" s="7"/>
      <c r="E132" s="7"/>
      <c r="F132" s="7"/>
      <c r="G132" s="7"/>
    </row>
    <row r="133" ht="15.75" customHeight="1">
      <c r="A133" s="7"/>
      <c r="B133" s="7"/>
      <c r="C133" s="7"/>
      <c r="D133" s="7"/>
      <c r="E133" s="7"/>
      <c r="F133" s="7"/>
      <c r="G133" s="7"/>
    </row>
    <row r="134" ht="15.75" customHeight="1">
      <c r="A134" s="7"/>
      <c r="B134" s="7"/>
      <c r="C134" s="7"/>
      <c r="D134" s="7"/>
      <c r="E134" s="7"/>
      <c r="F134" s="7"/>
      <c r="G134" s="7"/>
    </row>
    <row r="135" ht="15.75" customHeight="1">
      <c r="A135" s="7"/>
      <c r="B135" s="7"/>
      <c r="C135" s="7"/>
      <c r="D135" s="7"/>
      <c r="E135" s="7"/>
      <c r="F135" s="7"/>
      <c r="G135" s="7"/>
    </row>
    <row r="136" ht="15.75" customHeight="1">
      <c r="A136" s="7"/>
      <c r="B136" s="7"/>
      <c r="C136" s="7"/>
      <c r="D136" s="7"/>
      <c r="E136" s="7"/>
      <c r="F136" s="7"/>
      <c r="G136" s="7"/>
    </row>
    <row r="137" ht="15.75" customHeight="1">
      <c r="A137" s="7"/>
      <c r="B137" s="7"/>
      <c r="C137" s="7"/>
      <c r="D137" s="7"/>
      <c r="E137" s="7"/>
      <c r="F137" s="7"/>
      <c r="G137" s="7"/>
    </row>
    <row r="138" ht="15.75" customHeight="1">
      <c r="A138" s="7"/>
      <c r="B138" s="7"/>
      <c r="C138" s="7"/>
      <c r="D138" s="7"/>
      <c r="E138" s="7"/>
      <c r="F138" s="7"/>
      <c r="G138" s="7"/>
    </row>
    <row r="139" ht="15.75" customHeight="1">
      <c r="A139" s="7"/>
      <c r="B139" s="7"/>
      <c r="C139" s="7"/>
      <c r="D139" s="7"/>
      <c r="E139" s="7"/>
      <c r="F139" s="7"/>
      <c r="G139" s="7"/>
    </row>
    <row r="140" ht="15.75" customHeight="1">
      <c r="A140" s="7"/>
      <c r="B140" s="7"/>
      <c r="C140" s="7"/>
      <c r="D140" s="7"/>
      <c r="E140" s="7"/>
      <c r="F140" s="7"/>
      <c r="G140" s="7"/>
    </row>
    <row r="141" ht="15.75" customHeight="1">
      <c r="A141" s="7"/>
      <c r="B141" s="7"/>
      <c r="C141" s="7"/>
      <c r="D141" s="7"/>
      <c r="E141" s="7"/>
      <c r="F141" s="7"/>
      <c r="G141" s="7"/>
    </row>
    <row r="142" ht="15.75" customHeight="1">
      <c r="A142" s="7"/>
      <c r="B142" s="7"/>
      <c r="C142" s="7"/>
      <c r="D142" s="7"/>
      <c r="E142" s="7"/>
      <c r="F142" s="7"/>
      <c r="G142" s="7"/>
    </row>
    <row r="143" ht="15.75" customHeight="1">
      <c r="A143" s="7"/>
      <c r="B143" s="7"/>
      <c r="C143" s="7"/>
      <c r="D143" s="7"/>
      <c r="E143" s="7"/>
      <c r="F143" s="7"/>
      <c r="G143" s="7"/>
    </row>
    <row r="144" ht="15.75" customHeight="1">
      <c r="A144" s="7"/>
      <c r="B144" s="7"/>
      <c r="C144" s="7"/>
      <c r="D144" s="7"/>
      <c r="E144" s="7"/>
      <c r="F144" s="7"/>
      <c r="G144" s="7"/>
    </row>
    <row r="145" ht="15.75" customHeight="1">
      <c r="A145" s="7"/>
      <c r="B145" s="7"/>
      <c r="C145" s="7"/>
      <c r="D145" s="7"/>
      <c r="E145" s="7"/>
      <c r="F145" s="7"/>
      <c r="G145" s="7"/>
    </row>
    <row r="146" ht="15.75" customHeight="1">
      <c r="A146" s="7"/>
      <c r="B146" s="7"/>
      <c r="C146" s="7"/>
      <c r="D146" s="7"/>
      <c r="E146" s="7"/>
      <c r="F146" s="7"/>
      <c r="G146" s="7"/>
    </row>
    <row r="147" ht="15.75" customHeight="1">
      <c r="A147" s="7"/>
      <c r="B147" s="7"/>
      <c r="C147" s="7"/>
      <c r="D147" s="7"/>
      <c r="E147" s="7"/>
      <c r="F147" s="7"/>
      <c r="G147" s="7"/>
    </row>
    <row r="148" ht="15.75" customHeight="1">
      <c r="A148" s="7"/>
      <c r="B148" s="7"/>
      <c r="C148" s="7"/>
      <c r="D148" s="7"/>
      <c r="E148" s="7"/>
      <c r="F148" s="7"/>
      <c r="G148" s="7"/>
    </row>
    <row r="149" ht="15.75" customHeight="1">
      <c r="A149" s="7"/>
      <c r="B149" s="7"/>
      <c r="C149" s="7"/>
      <c r="D149" s="7"/>
      <c r="E149" s="7"/>
      <c r="F149" s="7"/>
      <c r="G149" s="7"/>
    </row>
    <row r="150" ht="15.75" customHeight="1">
      <c r="A150" s="7"/>
      <c r="B150" s="7"/>
      <c r="C150" s="7"/>
      <c r="D150" s="7"/>
      <c r="E150" s="7"/>
      <c r="F150" s="7"/>
      <c r="G150" s="7"/>
    </row>
    <row r="151" ht="15.75" customHeight="1">
      <c r="A151" s="7"/>
      <c r="B151" s="7"/>
      <c r="C151" s="7"/>
      <c r="D151" s="7"/>
      <c r="E151" s="7"/>
      <c r="F151" s="7"/>
      <c r="G151" s="7"/>
    </row>
    <row r="152" ht="15.75" customHeight="1">
      <c r="A152" s="7"/>
      <c r="B152" s="7"/>
      <c r="C152" s="7"/>
      <c r="D152" s="7"/>
      <c r="E152" s="7"/>
      <c r="F152" s="7"/>
      <c r="G152" s="7"/>
    </row>
    <row r="153" ht="15.75" customHeight="1">
      <c r="A153" s="7"/>
      <c r="B153" s="7"/>
      <c r="C153" s="7"/>
      <c r="D153" s="7"/>
      <c r="E153" s="7"/>
      <c r="F153" s="7"/>
      <c r="G153" s="7"/>
    </row>
    <row r="154" ht="15.75" customHeight="1">
      <c r="A154" s="7"/>
      <c r="B154" s="7"/>
      <c r="C154" s="7"/>
      <c r="D154" s="7"/>
      <c r="E154" s="7"/>
      <c r="F154" s="7"/>
      <c r="G154" s="7"/>
    </row>
    <row r="155" ht="15.75" customHeight="1">
      <c r="A155" s="7"/>
      <c r="B155" s="7"/>
      <c r="C155" s="7"/>
      <c r="D155" s="7"/>
      <c r="E155" s="7"/>
      <c r="F155" s="7"/>
      <c r="G155" s="7"/>
    </row>
    <row r="156" ht="15.75" customHeight="1">
      <c r="A156" s="7"/>
      <c r="B156" s="7"/>
      <c r="C156" s="7"/>
      <c r="D156" s="7"/>
      <c r="E156" s="7"/>
      <c r="F156" s="7"/>
      <c r="G156" s="7"/>
    </row>
    <row r="157" ht="15.75" customHeight="1">
      <c r="A157" s="7"/>
      <c r="B157" s="7"/>
      <c r="C157" s="7"/>
      <c r="D157" s="7"/>
      <c r="E157" s="7"/>
      <c r="F157" s="7"/>
      <c r="G157" s="7"/>
    </row>
    <row r="158" ht="15.75" customHeight="1">
      <c r="A158" s="7"/>
      <c r="B158" s="7"/>
      <c r="C158" s="7"/>
      <c r="D158" s="7"/>
      <c r="E158" s="7"/>
      <c r="F158" s="7"/>
      <c r="G158" s="7"/>
    </row>
    <row r="159" ht="15.75" customHeight="1">
      <c r="A159" s="7"/>
      <c r="B159" s="7"/>
      <c r="C159" s="7"/>
      <c r="D159" s="7"/>
      <c r="E159" s="7"/>
      <c r="F159" s="7"/>
      <c r="G159" s="7"/>
    </row>
    <row r="160" ht="15.75" customHeight="1">
      <c r="A160" s="7"/>
      <c r="B160" s="7"/>
      <c r="C160" s="7"/>
      <c r="D160" s="7"/>
      <c r="E160" s="7"/>
      <c r="F160" s="7"/>
      <c r="G160" s="7"/>
    </row>
    <row r="161" ht="15.75" customHeight="1">
      <c r="A161" s="7"/>
      <c r="B161" s="7"/>
      <c r="C161" s="7"/>
      <c r="D161" s="7"/>
      <c r="E161" s="7"/>
      <c r="F161" s="7"/>
      <c r="G161" s="7"/>
    </row>
    <row r="162" ht="15.75" customHeight="1">
      <c r="A162" s="7"/>
      <c r="B162" s="7"/>
      <c r="C162" s="7"/>
      <c r="D162" s="7"/>
      <c r="E162" s="7"/>
      <c r="F162" s="7"/>
      <c r="G162" s="7"/>
    </row>
    <row r="163" ht="15.75" customHeight="1">
      <c r="A163" s="7"/>
      <c r="B163" s="7"/>
      <c r="C163" s="7"/>
      <c r="D163" s="7"/>
      <c r="E163" s="7"/>
      <c r="F163" s="7"/>
      <c r="G163" s="7"/>
    </row>
    <row r="164" ht="15.75" customHeight="1">
      <c r="A164" s="7"/>
      <c r="B164" s="7"/>
      <c r="C164" s="7"/>
      <c r="D164" s="7"/>
      <c r="E164" s="7"/>
      <c r="F164" s="7"/>
      <c r="G164" s="7"/>
    </row>
    <row r="165" ht="15.75" customHeight="1">
      <c r="A165" s="7"/>
      <c r="B165" s="7"/>
      <c r="C165" s="7"/>
      <c r="D165" s="7"/>
      <c r="E165" s="7"/>
      <c r="F165" s="7"/>
      <c r="G165" s="7"/>
    </row>
    <row r="166" ht="15.75" customHeight="1">
      <c r="A166" s="7"/>
      <c r="B166" s="7"/>
      <c r="C166" s="7"/>
      <c r="D166" s="7"/>
      <c r="E166" s="7"/>
      <c r="F166" s="7"/>
      <c r="G166" s="7"/>
    </row>
    <row r="167" ht="15.75" customHeight="1">
      <c r="A167" s="7"/>
      <c r="B167" s="7"/>
      <c r="C167" s="7"/>
      <c r="D167" s="7"/>
      <c r="E167" s="7"/>
      <c r="F167" s="7"/>
      <c r="G167" s="7"/>
    </row>
    <row r="168" ht="15.75" customHeight="1">
      <c r="A168" s="7"/>
      <c r="B168" s="7"/>
      <c r="C168" s="7"/>
      <c r="D168" s="7"/>
      <c r="E168" s="7"/>
      <c r="F168" s="7"/>
      <c r="G168" s="7"/>
    </row>
    <row r="169" ht="15.75" customHeight="1">
      <c r="A169" s="7"/>
      <c r="B169" s="7"/>
      <c r="C169" s="7"/>
      <c r="D169" s="7"/>
      <c r="E169" s="7"/>
      <c r="F169" s="7"/>
      <c r="G169" s="7"/>
    </row>
    <row r="170" ht="15.75" customHeight="1">
      <c r="A170" s="7"/>
      <c r="B170" s="7"/>
      <c r="C170" s="7"/>
      <c r="D170" s="7"/>
      <c r="E170" s="7"/>
      <c r="F170" s="7"/>
      <c r="G170" s="7"/>
    </row>
    <row r="171" ht="15.75" customHeight="1">
      <c r="A171" s="7"/>
      <c r="B171" s="7"/>
      <c r="C171" s="7"/>
      <c r="D171" s="7"/>
      <c r="E171" s="7"/>
      <c r="F171" s="7"/>
      <c r="G171" s="7"/>
    </row>
    <row r="172" ht="15.75" customHeight="1">
      <c r="A172" s="7"/>
      <c r="B172" s="7"/>
      <c r="C172" s="7"/>
      <c r="D172" s="7"/>
      <c r="E172" s="7"/>
      <c r="F172" s="7"/>
      <c r="G172" s="7"/>
    </row>
    <row r="173" ht="15.75" customHeight="1">
      <c r="A173" s="7"/>
      <c r="B173" s="7"/>
      <c r="C173" s="7"/>
      <c r="D173" s="7"/>
      <c r="E173" s="7"/>
      <c r="F173" s="7"/>
      <c r="G173" s="7"/>
    </row>
    <row r="174" ht="15.75" customHeight="1">
      <c r="A174" s="7"/>
      <c r="B174" s="7"/>
      <c r="C174" s="7"/>
      <c r="D174" s="7"/>
      <c r="E174" s="7"/>
      <c r="F174" s="7"/>
      <c r="G174" s="7"/>
    </row>
    <row r="175" ht="15.75" customHeight="1">
      <c r="A175" s="7"/>
      <c r="B175" s="7"/>
      <c r="C175" s="7"/>
      <c r="D175" s="7"/>
      <c r="E175" s="7"/>
      <c r="F175" s="7"/>
      <c r="G175" s="7"/>
    </row>
    <row r="176" ht="15.75" customHeight="1">
      <c r="A176" s="7"/>
      <c r="B176" s="7"/>
      <c r="C176" s="7"/>
      <c r="D176" s="7"/>
      <c r="E176" s="7"/>
      <c r="F176" s="7"/>
      <c r="G176" s="7"/>
    </row>
    <row r="177" ht="15.75" customHeight="1">
      <c r="A177" s="7"/>
      <c r="B177" s="7"/>
      <c r="C177" s="7"/>
      <c r="D177" s="7"/>
      <c r="E177" s="7"/>
      <c r="F177" s="7"/>
      <c r="G177" s="7"/>
    </row>
    <row r="178" ht="15.75" customHeight="1">
      <c r="A178" s="7"/>
      <c r="B178" s="7"/>
      <c r="C178" s="7"/>
      <c r="D178" s="7"/>
      <c r="E178" s="7"/>
      <c r="F178" s="7"/>
      <c r="G178" s="7"/>
    </row>
    <row r="179" ht="15.75" customHeight="1">
      <c r="A179" s="7"/>
      <c r="B179" s="7"/>
      <c r="C179" s="7"/>
      <c r="D179" s="7"/>
      <c r="E179" s="7"/>
      <c r="F179" s="7"/>
      <c r="G179" s="7"/>
    </row>
    <row r="180" ht="15.75" customHeight="1">
      <c r="A180" s="7"/>
      <c r="B180" s="7"/>
      <c r="C180" s="7"/>
      <c r="D180" s="7"/>
      <c r="E180" s="7"/>
      <c r="F180" s="7"/>
      <c r="G180" s="7"/>
    </row>
    <row r="181" ht="15.75" customHeight="1">
      <c r="A181" s="7"/>
      <c r="B181" s="7"/>
      <c r="C181" s="7"/>
      <c r="D181" s="7"/>
      <c r="E181" s="7"/>
      <c r="F181" s="7"/>
      <c r="G181" s="7"/>
    </row>
    <row r="182" ht="15.75" customHeight="1">
      <c r="A182" s="7"/>
      <c r="B182" s="7"/>
      <c r="C182" s="7"/>
      <c r="D182" s="7"/>
      <c r="E182" s="7"/>
      <c r="F182" s="7"/>
      <c r="G182" s="7"/>
    </row>
    <row r="183" ht="15.75" customHeight="1">
      <c r="A183" s="7"/>
      <c r="B183" s="7"/>
      <c r="C183" s="7"/>
      <c r="D183" s="7"/>
      <c r="E183" s="7"/>
      <c r="F183" s="7"/>
      <c r="G183" s="7"/>
    </row>
    <row r="184" ht="15.75" customHeight="1">
      <c r="A184" s="7"/>
      <c r="B184" s="7"/>
      <c r="C184" s="7"/>
      <c r="D184" s="7"/>
      <c r="E184" s="7"/>
      <c r="F184" s="7"/>
      <c r="G184" s="7"/>
    </row>
    <row r="185" ht="15.75" customHeight="1">
      <c r="A185" s="7"/>
      <c r="B185" s="7"/>
      <c r="C185" s="7"/>
      <c r="D185" s="7"/>
      <c r="E185" s="7"/>
      <c r="F185" s="7"/>
      <c r="G185" s="7"/>
    </row>
    <row r="186" ht="15.75" customHeight="1">
      <c r="A186" s="7"/>
      <c r="B186" s="7"/>
      <c r="C186" s="7"/>
      <c r="D186" s="7"/>
      <c r="E186" s="7"/>
      <c r="F186" s="7"/>
      <c r="G186" s="7"/>
    </row>
    <row r="187" ht="15.75" customHeight="1">
      <c r="A187" s="7"/>
      <c r="B187" s="7"/>
      <c r="C187" s="7"/>
      <c r="D187" s="7"/>
      <c r="E187" s="7"/>
      <c r="F187" s="7"/>
      <c r="G187" s="7"/>
    </row>
    <row r="188" ht="15.75" customHeight="1">
      <c r="A188" s="7"/>
      <c r="B188" s="7"/>
      <c r="C188" s="7"/>
      <c r="D188" s="7"/>
      <c r="E188" s="7"/>
      <c r="F188" s="7"/>
      <c r="G188" s="7"/>
    </row>
    <row r="189" ht="15.75" customHeight="1">
      <c r="A189" s="7"/>
      <c r="B189" s="7"/>
      <c r="C189" s="7"/>
      <c r="D189" s="7"/>
      <c r="E189" s="7"/>
      <c r="F189" s="7"/>
      <c r="G189" s="7"/>
    </row>
    <row r="190" ht="15.75" customHeight="1">
      <c r="A190" s="7"/>
      <c r="B190" s="7"/>
      <c r="C190" s="7"/>
      <c r="D190" s="7"/>
      <c r="E190" s="7"/>
      <c r="F190" s="7"/>
      <c r="G190" s="7"/>
    </row>
    <row r="191" ht="15.75" customHeight="1">
      <c r="A191" s="7"/>
      <c r="B191" s="7"/>
      <c r="C191" s="7"/>
      <c r="D191" s="7"/>
      <c r="E191" s="7"/>
      <c r="F191" s="7"/>
      <c r="G191" s="7"/>
    </row>
    <row r="192" ht="15.75" customHeight="1">
      <c r="A192" s="7"/>
      <c r="B192" s="7"/>
      <c r="C192" s="7"/>
      <c r="D192" s="7"/>
      <c r="E192" s="7"/>
      <c r="F192" s="7"/>
      <c r="G192" s="7"/>
    </row>
    <row r="193" ht="15.75" customHeight="1">
      <c r="A193" s="7"/>
      <c r="B193" s="7"/>
      <c r="C193" s="7"/>
      <c r="D193" s="7"/>
      <c r="E193" s="7"/>
      <c r="F193" s="7"/>
      <c r="G193" s="7"/>
    </row>
    <row r="194" ht="15.75" customHeight="1">
      <c r="A194" s="7"/>
      <c r="B194" s="7"/>
      <c r="C194" s="7"/>
      <c r="D194" s="7"/>
      <c r="E194" s="7"/>
      <c r="F194" s="7"/>
      <c r="G194" s="7"/>
    </row>
    <row r="195" ht="15.75" customHeight="1">
      <c r="A195" s="7"/>
      <c r="B195" s="7"/>
      <c r="C195" s="7"/>
      <c r="D195" s="7"/>
      <c r="E195" s="7"/>
      <c r="F195" s="7"/>
      <c r="G195" s="7"/>
    </row>
    <row r="196" ht="15.75" customHeight="1">
      <c r="A196" s="7"/>
      <c r="B196" s="7"/>
      <c r="C196" s="7"/>
      <c r="D196" s="7"/>
      <c r="E196" s="7"/>
      <c r="F196" s="7"/>
      <c r="G196" s="7"/>
    </row>
    <row r="197" ht="15.75" customHeight="1">
      <c r="A197" s="7"/>
      <c r="B197" s="7"/>
      <c r="C197" s="7"/>
      <c r="D197" s="7"/>
      <c r="E197" s="7"/>
      <c r="F197" s="7"/>
      <c r="G197" s="7"/>
    </row>
    <row r="198" ht="15.75" customHeight="1">
      <c r="A198" s="7"/>
      <c r="B198" s="7"/>
      <c r="C198" s="7"/>
      <c r="D198" s="7"/>
      <c r="E198" s="7"/>
      <c r="F198" s="7"/>
      <c r="G198" s="7"/>
    </row>
    <row r="199" ht="15.75" customHeight="1">
      <c r="A199" s="7"/>
      <c r="B199" s="7"/>
      <c r="C199" s="7"/>
      <c r="D199" s="7"/>
      <c r="E199" s="7"/>
      <c r="F199" s="7"/>
      <c r="G199" s="7"/>
    </row>
    <row r="200" ht="15.75" customHeight="1">
      <c r="A200" s="7"/>
      <c r="B200" s="7"/>
      <c r="C200" s="7"/>
      <c r="D200" s="7"/>
      <c r="E200" s="7"/>
      <c r="F200" s="7"/>
      <c r="G200" s="7"/>
    </row>
    <row r="201" ht="15.75" customHeight="1">
      <c r="A201" s="7"/>
      <c r="B201" s="7"/>
      <c r="C201" s="7"/>
      <c r="D201" s="7"/>
      <c r="E201" s="7"/>
      <c r="F201" s="7"/>
      <c r="G201" s="7"/>
    </row>
    <row r="202" ht="15.75" customHeight="1">
      <c r="A202" s="7"/>
      <c r="B202" s="7"/>
      <c r="C202" s="7"/>
      <c r="D202" s="7"/>
      <c r="E202" s="7"/>
      <c r="F202" s="7"/>
      <c r="G202" s="7"/>
    </row>
    <row r="203" ht="15.75" customHeight="1">
      <c r="A203" s="7"/>
      <c r="B203" s="7"/>
      <c r="C203" s="7"/>
      <c r="D203" s="7"/>
      <c r="E203" s="7"/>
      <c r="F203" s="7"/>
      <c r="G203" s="7"/>
    </row>
    <row r="204" ht="15.75" customHeight="1">
      <c r="A204" s="7"/>
      <c r="B204" s="7"/>
      <c r="C204" s="7"/>
      <c r="D204" s="7"/>
      <c r="E204" s="7"/>
      <c r="F204" s="7"/>
      <c r="G204" s="7"/>
    </row>
    <row r="205" ht="15.75" customHeight="1">
      <c r="A205" s="7"/>
      <c r="B205" s="7"/>
      <c r="C205" s="7"/>
      <c r="D205" s="7"/>
      <c r="E205" s="7"/>
      <c r="F205" s="7"/>
      <c r="G205" s="7"/>
    </row>
    <row r="206" ht="15.75" customHeight="1">
      <c r="A206" s="7"/>
      <c r="B206" s="7"/>
      <c r="C206" s="7"/>
      <c r="D206" s="7"/>
      <c r="E206" s="7"/>
      <c r="F206" s="7"/>
      <c r="G206" s="7"/>
    </row>
    <row r="207" ht="15.75" customHeight="1">
      <c r="A207" s="7"/>
      <c r="B207" s="7"/>
      <c r="C207" s="7"/>
      <c r="D207" s="7"/>
      <c r="E207" s="7"/>
      <c r="F207" s="7"/>
      <c r="G207" s="7"/>
    </row>
    <row r="208" ht="15.75" customHeight="1">
      <c r="A208" s="7"/>
      <c r="B208" s="7"/>
      <c r="C208" s="7"/>
      <c r="D208" s="7"/>
      <c r="E208" s="7"/>
      <c r="F208" s="7"/>
      <c r="G208" s="7"/>
    </row>
    <row r="209" ht="15.75" customHeight="1">
      <c r="A209" s="7"/>
      <c r="B209" s="7"/>
      <c r="C209" s="7"/>
      <c r="D209" s="7"/>
      <c r="E209" s="7"/>
      <c r="F209" s="7"/>
      <c r="G209" s="7"/>
    </row>
    <row r="210" ht="15.75" customHeight="1">
      <c r="A210" s="7"/>
      <c r="B210" s="7"/>
      <c r="C210" s="7"/>
      <c r="D210" s="7"/>
      <c r="E210" s="7"/>
      <c r="F210" s="7"/>
      <c r="G210" s="7"/>
    </row>
    <row r="211" ht="15.75" customHeight="1">
      <c r="A211" s="7"/>
      <c r="B211" s="7"/>
      <c r="C211" s="7"/>
      <c r="D211" s="7"/>
      <c r="E211" s="7"/>
      <c r="F211" s="7"/>
      <c r="G211" s="7"/>
    </row>
    <row r="212" ht="15.75" customHeight="1">
      <c r="A212" s="7"/>
      <c r="B212" s="7"/>
      <c r="C212" s="7"/>
      <c r="D212" s="7"/>
      <c r="E212" s="7"/>
      <c r="F212" s="7"/>
      <c r="G212" s="7"/>
    </row>
    <row r="213" ht="15.75" customHeight="1">
      <c r="A213" s="7"/>
      <c r="B213" s="7"/>
      <c r="C213" s="7"/>
      <c r="D213" s="7"/>
      <c r="E213" s="7"/>
      <c r="F213" s="7"/>
      <c r="G213" s="7"/>
    </row>
    <row r="214" ht="15.75" customHeight="1">
      <c r="A214" s="7"/>
      <c r="B214" s="7"/>
      <c r="C214" s="7"/>
      <c r="D214" s="7"/>
      <c r="E214" s="7"/>
      <c r="F214" s="7"/>
      <c r="G214" s="7"/>
    </row>
    <row r="215" ht="15.75" customHeight="1">
      <c r="A215" s="7"/>
      <c r="B215" s="7"/>
      <c r="C215" s="7"/>
      <c r="D215" s="7"/>
      <c r="E215" s="7"/>
      <c r="F215" s="7"/>
      <c r="G215" s="7"/>
    </row>
    <row r="216" ht="15.75" customHeight="1">
      <c r="A216" s="7"/>
      <c r="B216" s="7"/>
      <c r="C216" s="7"/>
      <c r="D216" s="7"/>
      <c r="E216" s="7"/>
      <c r="F216" s="7"/>
      <c r="G216" s="7"/>
    </row>
    <row r="217" ht="15.75" customHeight="1">
      <c r="A217" s="7"/>
      <c r="B217" s="7"/>
      <c r="C217" s="7"/>
      <c r="D217" s="7"/>
      <c r="E217" s="7"/>
      <c r="F217" s="7"/>
      <c r="G217" s="7"/>
    </row>
    <row r="218" ht="15.75" customHeight="1">
      <c r="A218" s="7"/>
      <c r="B218" s="7"/>
      <c r="C218" s="7"/>
      <c r="D218" s="7"/>
      <c r="E218" s="7"/>
      <c r="F218" s="7"/>
      <c r="G218" s="7"/>
    </row>
    <row r="219" ht="15.75" customHeight="1">
      <c r="A219" s="7"/>
      <c r="B219" s="7"/>
      <c r="C219" s="7"/>
      <c r="D219" s="7"/>
      <c r="E219" s="7"/>
      <c r="F219" s="7"/>
      <c r="G219" s="7"/>
    </row>
    <row r="220" ht="15.75" customHeight="1">
      <c r="A220" s="7"/>
      <c r="B220" s="7"/>
      <c r="C220" s="7"/>
      <c r="D220" s="7"/>
      <c r="E220" s="7"/>
      <c r="F220" s="7"/>
      <c r="G220" s="7"/>
    </row>
    <row r="221" ht="15.75" customHeight="1">
      <c r="A221" s="7"/>
      <c r="B221" s="7"/>
      <c r="C221" s="7"/>
      <c r="D221" s="7"/>
      <c r="E221" s="7"/>
      <c r="F221" s="7"/>
      <c r="G221" s="7"/>
    </row>
    <row r="222" ht="15.75" customHeight="1">
      <c r="A222" s="7"/>
      <c r="B222" s="7"/>
      <c r="C222" s="7"/>
      <c r="D222" s="7"/>
      <c r="E222" s="7"/>
      <c r="F222" s="7"/>
      <c r="G222" s="7"/>
    </row>
    <row r="223" ht="15.75" customHeight="1">
      <c r="A223" s="7"/>
      <c r="B223" s="7"/>
      <c r="C223" s="7"/>
      <c r="D223" s="7"/>
      <c r="E223" s="7"/>
      <c r="F223" s="7"/>
      <c r="G223" s="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3"/>
    <mergeCell ref="B1:B3"/>
    <mergeCell ref="C1:D2"/>
    <mergeCell ref="E1:E3"/>
    <mergeCell ref="F1:F3"/>
    <mergeCell ref="G1:G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4.29"/>
    <col customWidth="1" min="2" max="2" width="41.0"/>
    <col customWidth="1" min="3" max="4" width="8.57"/>
    <col customWidth="1" min="5" max="5" width="8.14"/>
    <col customWidth="1" min="6" max="6" width="6.71"/>
  </cols>
  <sheetData>
    <row r="1">
      <c r="A1" s="568" t="s">
        <v>0</v>
      </c>
      <c r="B1" s="568" t="s">
        <v>2</v>
      </c>
      <c r="C1" s="569" t="s">
        <v>9</v>
      </c>
      <c r="D1" s="16"/>
      <c r="E1" s="570" t="s">
        <v>853</v>
      </c>
      <c r="F1" s="570" t="s">
        <v>854</v>
      </c>
    </row>
    <row r="2">
      <c r="A2" s="38"/>
      <c r="B2" s="38"/>
      <c r="C2" s="40"/>
      <c r="D2" s="31"/>
      <c r="E2" s="38"/>
      <c r="F2" s="38"/>
    </row>
    <row r="3">
      <c r="A3" s="25"/>
      <c r="B3" s="25"/>
      <c r="C3" s="571" t="s">
        <v>4</v>
      </c>
      <c r="D3" s="571" t="s">
        <v>41</v>
      </c>
      <c r="E3" s="25"/>
      <c r="F3" s="25"/>
    </row>
    <row r="4">
      <c r="A4" s="130" t="s">
        <v>352</v>
      </c>
      <c r="B4" s="132" t="s">
        <v>623</v>
      </c>
      <c r="C4" s="133">
        <v>44726.0</v>
      </c>
      <c r="D4" s="133">
        <v>44749.0</v>
      </c>
      <c r="E4" s="323"/>
      <c r="F4" s="323"/>
    </row>
    <row r="5">
      <c r="A5" s="572" t="s">
        <v>355</v>
      </c>
      <c r="B5" s="573" t="s">
        <v>624</v>
      </c>
      <c r="C5" s="574">
        <v>44726.0</v>
      </c>
      <c r="D5" s="574">
        <v>44742.0</v>
      </c>
      <c r="E5" s="424">
        <v>0.2</v>
      </c>
      <c r="F5" s="424">
        <v>0.8</v>
      </c>
    </row>
    <row r="6">
      <c r="A6" s="572" t="s">
        <v>357</v>
      </c>
      <c r="B6" s="575" t="s">
        <v>625</v>
      </c>
      <c r="C6" s="574">
        <v>44727.0</v>
      </c>
      <c r="D6" s="574">
        <v>44730.0</v>
      </c>
      <c r="E6" s="424">
        <v>0.5</v>
      </c>
      <c r="F6" s="424">
        <v>0.5</v>
      </c>
    </row>
    <row r="7">
      <c r="A7" s="572" t="s">
        <v>628</v>
      </c>
      <c r="B7" s="573" t="s">
        <v>629</v>
      </c>
      <c r="C7" s="574">
        <v>44739.0</v>
      </c>
      <c r="D7" s="574">
        <v>44744.0</v>
      </c>
      <c r="E7" s="424">
        <v>0.3</v>
      </c>
      <c r="F7" s="424">
        <v>0.7</v>
      </c>
    </row>
    <row r="8">
      <c r="A8" s="93" t="s">
        <v>397</v>
      </c>
      <c r="B8" s="94" t="s">
        <v>653</v>
      </c>
      <c r="C8" s="95">
        <v>44744.0</v>
      </c>
      <c r="D8" s="95">
        <v>44754.0</v>
      </c>
      <c r="E8" s="342"/>
      <c r="F8" s="342"/>
    </row>
    <row r="9">
      <c r="A9" s="130" t="s">
        <v>399</v>
      </c>
      <c r="B9" s="132" t="s">
        <v>654</v>
      </c>
      <c r="C9" s="133">
        <v>44744.0</v>
      </c>
      <c r="D9" s="133">
        <v>44754.0</v>
      </c>
      <c r="E9" s="323"/>
      <c r="F9" s="323"/>
    </row>
    <row r="10">
      <c r="A10" s="157" t="s">
        <v>401</v>
      </c>
      <c r="B10" s="159" t="s">
        <v>655</v>
      </c>
      <c r="C10" s="160">
        <v>44744.0</v>
      </c>
      <c r="D10" s="357">
        <v>44751.0</v>
      </c>
      <c r="E10" s="47">
        <v>1.0</v>
      </c>
      <c r="F10" s="47">
        <v>0.0</v>
      </c>
    </row>
    <row r="11">
      <c r="A11" s="157" t="s">
        <v>403</v>
      </c>
      <c r="B11" s="159" t="s">
        <v>656</v>
      </c>
      <c r="C11" s="160">
        <v>44745.0</v>
      </c>
      <c r="D11" s="160">
        <v>44745.0</v>
      </c>
      <c r="E11" s="47">
        <v>1.0</v>
      </c>
      <c r="F11" s="47">
        <v>0.0</v>
      </c>
    </row>
    <row r="12">
      <c r="A12" s="157" t="s">
        <v>405</v>
      </c>
      <c r="B12" s="159" t="s">
        <v>657</v>
      </c>
      <c r="C12" s="160">
        <v>44746.0</v>
      </c>
      <c r="D12" s="160">
        <v>44751.0</v>
      </c>
      <c r="E12" s="47">
        <v>1.0</v>
      </c>
      <c r="F12" s="47">
        <v>0.0</v>
      </c>
    </row>
    <row r="13">
      <c r="A13" s="157" t="s">
        <v>407</v>
      </c>
      <c r="B13" s="159" t="s">
        <v>658</v>
      </c>
      <c r="C13" s="160">
        <v>44746.0</v>
      </c>
      <c r="D13" s="160">
        <v>44751.0</v>
      </c>
      <c r="E13" s="47">
        <v>1.0</v>
      </c>
      <c r="F13" s="47">
        <v>0.0</v>
      </c>
    </row>
    <row r="14">
      <c r="A14" s="157" t="s">
        <v>409</v>
      </c>
      <c r="B14" s="159" t="s">
        <v>659</v>
      </c>
      <c r="C14" s="160">
        <v>44751.0</v>
      </c>
      <c r="D14" s="160">
        <v>44753.0</v>
      </c>
      <c r="E14" s="47">
        <v>1.0</v>
      </c>
      <c r="F14" s="47">
        <v>0.0</v>
      </c>
    </row>
    <row r="15">
      <c r="A15" s="157" t="s">
        <v>411</v>
      </c>
      <c r="B15" s="159" t="s">
        <v>660</v>
      </c>
      <c r="C15" s="160">
        <v>44752.0</v>
      </c>
      <c r="D15" s="160">
        <v>44752.0</v>
      </c>
      <c r="E15" s="47">
        <v>1.0</v>
      </c>
      <c r="F15" s="47">
        <v>0.0</v>
      </c>
    </row>
    <row r="16">
      <c r="A16" s="93" t="s">
        <v>490</v>
      </c>
      <c r="B16" s="94" t="s">
        <v>661</v>
      </c>
      <c r="C16" s="95">
        <v>44754.0</v>
      </c>
      <c r="D16" s="95">
        <v>44770.0</v>
      </c>
      <c r="E16" s="342"/>
      <c r="F16" s="342"/>
    </row>
    <row r="17">
      <c r="A17" s="130" t="s">
        <v>493</v>
      </c>
      <c r="B17" s="132" t="s">
        <v>662</v>
      </c>
      <c r="C17" s="133">
        <v>44743.0</v>
      </c>
      <c r="D17" s="133">
        <v>44761.0</v>
      </c>
      <c r="E17" s="323"/>
      <c r="F17" s="323"/>
    </row>
    <row r="18">
      <c r="A18" s="292" t="s">
        <v>496</v>
      </c>
      <c r="B18" s="356" t="s">
        <v>663</v>
      </c>
      <c r="C18" s="357">
        <v>44743.0</v>
      </c>
      <c r="D18" s="357">
        <v>44746.0</v>
      </c>
      <c r="E18" s="47">
        <v>1.0</v>
      </c>
      <c r="F18" s="47">
        <v>0.0</v>
      </c>
    </row>
    <row r="19">
      <c r="A19" s="292" t="s">
        <v>499</v>
      </c>
      <c r="B19" s="356" t="s">
        <v>664</v>
      </c>
      <c r="C19" s="357">
        <v>44746.0</v>
      </c>
      <c r="D19" s="357">
        <v>44753.0</v>
      </c>
      <c r="E19" s="47">
        <v>1.0</v>
      </c>
      <c r="F19" s="47">
        <v>0.0</v>
      </c>
    </row>
    <row r="20">
      <c r="A20" s="292" t="s">
        <v>502</v>
      </c>
      <c r="B20" s="356" t="s">
        <v>665</v>
      </c>
      <c r="C20" s="357">
        <v>44746.0</v>
      </c>
      <c r="D20" s="357">
        <v>44753.0</v>
      </c>
      <c r="E20" s="47">
        <v>1.0</v>
      </c>
      <c r="F20" s="47">
        <v>0.0</v>
      </c>
    </row>
    <row r="21" ht="15.75" customHeight="1">
      <c r="A21" s="576" t="s">
        <v>513</v>
      </c>
      <c r="B21" s="251" t="s">
        <v>666</v>
      </c>
      <c r="C21" s="252">
        <v>44746.0</v>
      </c>
      <c r="D21" s="252">
        <v>44753.0</v>
      </c>
      <c r="E21" s="224">
        <v>1.0</v>
      </c>
      <c r="F21" s="224">
        <v>0.0</v>
      </c>
    </row>
    <row r="22" ht="15.75" customHeight="1">
      <c r="A22" s="310" t="s">
        <v>283</v>
      </c>
      <c r="B22" s="311" t="s">
        <v>667</v>
      </c>
      <c r="C22" s="312">
        <v>44754.0</v>
      </c>
      <c r="D22" s="312">
        <v>44754.0</v>
      </c>
      <c r="E22" s="354"/>
      <c r="F22" s="354"/>
    </row>
    <row r="23" ht="15.75" customHeight="1">
      <c r="A23" s="7"/>
      <c r="B23" s="7"/>
      <c r="C23" s="7"/>
      <c r="D23" s="7"/>
      <c r="E23" s="362"/>
      <c r="F23" s="362"/>
    </row>
    <row r="24" ht="15.75" customHeight="1">
      <c r="A24" s="7"/>
      <c r="B24" s="7"/>
      <c r="C24" s="7"/>
      <c r="D24" s="7"/>
      <c r="E24" s="362"/>
      <c r="F24" s="362"/>
    </row>
    <row r="25" ht="15.75" customHeight="1">
      <c r="A25" s="7"/>
      <c r="B25" s="7"/>
      <c r="C25" s="7"/>
      <c r="D25" s="7"/>
      <c r="E25" s="362"/>
      <c r="F25" s="362"/>
    </row>
    <row r="26" ht="15.75" customHeight="1">
      <c r="A26" s="7"/>
      <c r="B26" s="7"/>
      <c r="C26" s="7"/>
      <c r="D26" s="7"/>
      <c r="E26" s="362"/>
      <c r="F26" s="362"/>
    </row>
    <row r="27" ht="15.75" customHeight="1">
      <c r="A27" s="7"/>
      <c r="B27" s="7"/>
      <c r="C27" s="7"/>
      <c r="D27" s="7"/>
      <c r="E27" s="362"/>
      <c r="F27" s="362"/>
    </row>
    <row r="28" ht="15.75" customHeight="1">
      <c r="A28" s="7"/>
      <c r="B28" s="7"/>
      <c r="C28" s="7"/>
      <c r="D28" s="7"/>
      <c r="E28" s="362"/>
      <c r="F28" s="362"/>
    </row>
    <row r="29" ht="15.75" customHeight="1">
      <c r="A29" s="7"/>
      <c r="B29" s="7"/>
      <c r="C29" s="7"/>
      <c r="D29" s="7"/>
      <c r="E29" s="362"/>
      <c r="F29" s="362"/>
    </row>
    <row r="30" ht="15.75" customHeight="1">
      <c r="A30" s="7"/>
      <c r="B30" s="7"/>
      <c r="C30" s="7"/>
      <c r="D30" s="7"/>
      <c r="E30" s="362"/>
      <c r="F30" s="362"/>
    </row>
    <row r="31" ht="15.75" customHeight="1">
      <c r="A31" s="7"/>
      <c r="B31" s="7"/>
      <c r="C31" s="7"/>
      <c r="D31" s="7"/>
      <c r="E31" s="362"/>
      <c r="F31" s="362"/>
    </row>
    <row r="32" ht="15.75" customHeight="1">
      <c r="A32" s="7"/>
      <c r="B32" s="7"/>
      <c r="C32" s="7"/>
      <c r="D32" s="7"/>
      <c r="E32" s="362"/>
      <c r="F32" s="362"/>
    </row>
    <row r="33" ht="15.75" customHeight="1">
      <c r="A33" s="7"/>
      <c r="B33" s="7"/>
      <c r="C33" s="7"/>
      <c r="D33" s="7"/>
      <c r="E33" s="362"/>
      <c r="F33" s="362"/>
    </row>
    <row r="34" ht="15.75" customHeight="1">
      <c r="A34" s="7"/>
      <c r="B34" s="7"/>
      <c r="C34" s="7"/>
      <c r="D34" s="7"/>
      <c r="E34" s="362"/>
      <c r="F34" s="362"/>
    </row>
    <row r="35" ht="15.75" customHeight="1">
      <c r="A35" s="7"/>
      <c r="B35" s="7"/>
      <c r="C35" s="7"/>
      <c r="D35" s="7"/>
      <c r="E35" s="362"/>
      <c r="F35" s="362"/>
    </row>
    <row r="36" ht="15.75" customHeight="1">
      <c r="A36" s="7"/>
      <c r="B36" s="7"/>
      <c r="C36" s="7"/>
      <c r="D36" s="7"/>
      <c r="E36" s="362"/>
      <c r="F36" s="362"/>
    </row>
    <row r="37" ht="15.75" customHeight="1">
      <c r="A37" s="7"/>
      <c r="B37" s="7"/>
      <c r="C37" s="7"/>
      <c r="D37" s="7"/>
      <c r="E37" s="362"/>
      <c r="F37" s="362"/>
    </row>
    <row r="38" ht="15.75" customHeight="1">
      <c r="A38" s="7"/>
      <c r="B38" s="7"/>
      <c r="C38" s="7"/>
      <c r="D38" s="7"/>
      <c r="E38" s="362"/>
      <c r="F38" s="362"/>
    </row>
    <row r="39" ht="15.75" customHeight="1">
      <c r="A39" s="7"/>
      <c r="B39" s="7"/>
      <c r="C39" s="7"/>
      <c r="D39" s="7"/>
      <c r="E39" s="362"/>
      <c r="F39" s="362"/>
    </row>
    <row r="40" ht="15.75" customHeight="1">
      <c r="A40" s="7"/>
      <c r="B40" s="7"/>
      <c r="C40" s="7"/>
      <c r="D40" s="7"/>
      <c r="E40" s="362"/>
      <c r="F40" s="362"/>
    </row>
    <row r="41" ht="15.75" customHeight="1">
      <c r="A41" s="7"/>
      <c r="B41" s="7"/>
      <c r="C41" s="7"/>
      <c r="D41" s="7"/>
      <c r="E41" s="362"/>
      <c r="F41" s="362"/>
    </row>
    <row r="42" ht="15.75" customHeight="1">
      <c r="A42" s="7"/>
      <c r="B42" s="7"/>
      <c r="C42" s="7"/>
      <c r="D42" s="7"/>
      <c r="E42" s="362"/>
      <c r="F42" s="362"/>
    </row>
    <row r="43" ht="15.75" customHeight="1">
      <c r="A43" s="7"/>
      <c r="B43" s="7"/>
      <c r="C43" s="7"/>
      <c r="D43" s="7"/>
      <c r="E43" s="362"/>
      <c r="F43" s="362"/>
    </row>
    <row r="44" ht="15.75" customHeight="1">
      <c r="A44" s="7"/>
      <c r="B44" s="7"/>
      <c r="C44" s="7"/>
      <c r="D44" s="7"/>
      <c r="E44" s="362"/>
      <c r="F44" s="362"/>
    </row>
    <row r="45" ht="15.75" customHeight="1">
      <c r="A45" s="7"/>
      <c r="B45" s="7"/>
      <c r="C45" s="7"/>
      <c r="D45" s="7"/>
      <c r="E45" s="362"/>
      <c r="F45" s="362"/>
    </row>
    <row r="46" ht="15.75" customHeight="1">
      <c r="A46" s="7"/>
      <c r="B46" s="7"/>
      <c r="C46" s="7"/>
      <c r="D46" s="7"/>
      <c r="E46" s="362"/>
      <c r="F46" s="362"/>
    </row>
    <row r="47" ht="15.75" customHeight="1">
      <c r="A47" s="7"/>
      <c r="B47" s="7"/>
      <c r="C47" s="7"/>
      <c r="D47" s="7"/>
      <c r="E47" s="362"/>
      <c r="F47" s="362"/>
    </row>
    <row r="48" ht="15.75" customHeight="1">
      <c r="A48" s="7"/>
      <c r="B48" s="7"/>
      <c r="C48" s="7"/>
      <c r="D48" s="7"/>
      <c r="E48" s="362"/>
      <c r="F48" s="362"/>
    </row>
    <row r="49" ht="15.75" customHeight="1">
      <c r="A49" s="7"/>
      <c r="B49" s="7"/>
      <c r="C49" s="7"/>
      <c r="D49" s="7"/>
      <c r="E49" s="362"/>
      <c r="F49" s="362"/>
    </row>
    <row r="50" ht="15.75" customHeight="1">
      <c r="A50" s="7"/>
      <c r="B50" s="7"/>
      <c r="C50" s="7"/>
      <c r="D50" s="7"/>
      <c r="E50" s="362"/>
      <c r="F50" s="362"/>
    </row>
    <row r="51" ht="15.75" customHeight="1">
      <c r="A51" s="7"/>
      <c r="B51" s="7"/>
      <c r="C51" s="7"/>
      <c r="D51" s="7"/>
      <c r="E51" s="362"/>
      <c r="F51" s="362"/>
    </row>
    <row r="52" ht="15.75" customHeight="1">
      <c r="A52" s="7"/>
      <c r="B52" s="7"/>
      <c r="C52" s="7"/>
      <c r="D52" s="7"/>
      <c r="E52" s="362"/>
      <c r="F52" s="362"/>
    </row>
    <row r="53" ht="15.75" customHeight="1">
      <c r="A53" s="7"/>
      <c r="B53" s="7"/>
      <c r="C53" s="7"/>
      <c r="D53" s="7"/>
      <c r="E53" s="362"/>
      <c r="F53" s="362"/>
    </row>
    <row r="54" ht="15.75" customHeight="1">
      <c r="A54" s="7"/>
      <c r="B54" s="7"/>
      <c r="C54" s="7"/>
      <c r="D54" s="7"/>
      <c r="E54" s="362"/>
      <c r="F54" s="362"/>
    </row>
    <row r="55" ht="15.75" customHeight="1">
      <c r="A55" s="7"/>
      <c r="B55" s="7"/>
      <c r="C55" s="7"/>
      <c r="D55" s="7"/>
      <c r="E55" s="362"/>
      <c r="F55" s="362"/>
    </row>
    <row r="56" ht="15.75" customHeight="1">
      <c r="A56" s="7"/>
      <c r="B56" s="7"/>
      <c r="C56" s="7"/>
      <c r="D56" s="7"/>
      <c r="E56" s="362"/>
      <c r="F56" s="362"/>
    </row>
    <row r="57" ht="15.75" customHeight="1">
      <c r="A57" s="7"/>
      <c r="B57" s="7"/>
      <c r="C57" s="7"/>
      <c r="D57" s="7"/>
      <c r="E57" s="362"/>
      <c r="F57" s="362"/>
    </row>
    <row r="58" ht="15.75" customHeight="1">
      <c r="A58" s="7"/>
      <c r="B58" s="7"/>
      <c r="C58" s="7"/>
      <c r="D58" s="7"/>
      <c r="E58" s="362"/>
      <c r="F58" s="362"/>
    </row>
    <row r="59" ht="15.75" customHeight="1">
      <c r="A59" s="7"/>
      <c r="B59" s="7"/>
      <c r="C59" s="7"/>
      <c r="D59" s="7"/>
      <c r="E59" s="362"/>
      <c r="F59" s="362"/>
    </row>
    <row r="60" ht="15.75" customHeight="1">
      <c r="A60" s="7"/>
      <c r="B60" s="7"/>
      <c r="C60" s="7"/>
      <c r="D60" s="7"/>
      <c r="E60" s="362"/>
      <c r="F60" s="362"/>
    </row>
    <row r="61" ht="15.75" customHeight="1">
      <c r="A61" s="7"/>
      <c r="B61" s="7"/>
      <c r="C61" s="7"/>
      <c r="D61" s="7"/>
      <c r="E61" s="362"/>
      <c r="F61" s="362"/>
    </row>
    <row r="62" ht="15.75" customHeight="1">
      <c r="A62" s="7"/>
      <c r="B62" s="7"/>
      <c r="C62" s="7"/>
      <c r="D62" s="7"/>
      <c r="E62" s="362"/>
      <c r="F62" s="362"/>
    </row>
    <row r="63" ht="15.75" customHeight="1">
      <c r="A63" s="7"/>
      <c r="B63" s="7"/>
      <c r="C63" s="7"/>
      <c r="D63" s="7"/>
      <c r="E63" s="362"/>
      <c r="F63" s="362"/>
    </row>
    <row r="64" ht="15.75" customHeight="1">
      <c r="A64" s="7"/>
      <c r="B64" s="7"/>
      <c r="C64" s="7"/>
      <c r="D64" s="7"/>
      <c r="E64" s="362"/>
      <c r="F64" s="362"/>
    </row>
    <row r="65" ht="15.75" customHeight="1">
      <c r="A65" s="7"/>
      <c r="B65" s="7"/>
      <c r="C65" s="7"/>
      <c r="D65" s="7"/>
      <c r="E65" s="362"/>
      <c r="F65" s="362"/>
    </row>
    <row r="66" ht="15.75" customHeight="1">
      <c r="A66" s="7"/>
      <c r="B66" s="7"/>
      <c r="C66" s="7"/>
      <c r="D66" s="7"/>
      <c r="E66" s="362"/>
      <c r="F66" s="362"/>
    </row>
    <row r="67" ht="15.75" customHeight="1">
      <c r="A67" s="7"/>
      <c r="B67" s="7"/>
      <c r="C67" s="7"/>
      <c r="D67" s="7"/>
      <c r="E67" s="362"/>
      <c r="F67" s="362"/>
    </row>
    <row r="68" ht="15.75" customHeight="1">
      <c r="A68" s="7"/>
      <c r="B68" s="7"/>
      <c r="C68" s="7"/>
      <c r="D68" s="7"/>
      <c r="E68" s="362"/>
      <c r="F68" s="362"/>
    </row>
    <row r="69" ht="15.75" customHeight="1">
      <c r="A69" s="7"/>
      <c r="B69" s="7"/>
      <c r="C69" s="7"/>
      <c r="D69" s="7"/>
      <c r="E69" s="362"/>
      <c r="F69" s="362"/>
    </row>
    <row r="70" ht="15.75" customHeight="1">
      <c r="A70" s="7"/>
      <c r="B70" s="7"/>
      <c r="C70" s="7"/>
      <c r="D70" s="7"/>
      <c r="E70" s="362"/>
      <c r="F70" s="362"/>
    </row>
    <row r="71" ht="15.75" customHeight="1">
      <c r="A71" s="7"/>
      <c r="B71" s="7"/>
      <c r="C71" s="7"/>
      <c r="D71" s="7"/>
      <c r="E71" s="362"/>
      <c r="F71" s="362"/>
    </row>
    <row r="72" ht="15.75" customHeight="1">
      <c r="A72" s="7"/>
      <c r="B72" s="7"/>
      <c r="C72" s="7"/>
      <c r="D72" s="7"/>
      <c r="E72" s="362"/>
      <c r="F72" s="362"/>
    </row>
    <row r="73" ht="15.75" customHeight="1">
      <c r="A73" s="7"/>
      <c r="B73" s="7"/>
      <c r="C73" s="7"/>
      <c r="D73" s="7"/>
      <c r="E73" s="362"/>
      <c r="F73" s="362"/>
    </row>
    <row r="74" ht="15.75" customHeight="1">
      <c r="A74" s="7"/>
      <c r="B74" s="7"/>
      <c r="C74" s="7"/>
      <c r="D74" s="7"/>
      <c r="E74" s="362"/>
      <c r="F74" s="362"/>
    </row>
    <row r="75" ht="15.75" customHeight="1">
      <c r="A75" s="7"/>
      <c r="B75" s="7"/>
      <c r="C75" s="7"/>
      <c r="D75" s="7"/>
      <c r="E75" s="362"/>
      <c r="F75" s="362"/>
    </row>
    <row r="76" ht="15.75" customHeight="1">
      <c r="A76" s="7"/>
      <c r="B76" s="7"/>
      <c r="C76" s="7"/>
      <c r="D76" s="7"/>
      <c r="E76" s="362"/>
      <c r="F76" s="362"/>
    </row>
    <row r="77" ht="15.75" customHeight="1">
      <c r="A77" s="7"/>
      <c r="B77" s="7"/>
      <c r="C77" s="7"/>
      <c r="D77" s="7"/>
      <c r="E77" s="362"/>
      <c r="F77" s="362"/>
    </row>
    <row r="78" ht="15.75" customHeight="1">
      <c r="A78" s="7"/>
      <c r="B78" s="7"/>
      <c r="C78" s="7"/>
      <c r="D78" s="7"/>
      <c r="E78" s="362"/>
      <c r="F78" s="362"/>
    </row>
    <row r="79" ht="15.75" customHeight="1">
      <c r="A79" s="7"/>
      <c r="B79" s="7"/>
      <c r="C79" s="7"/>
      <c r="D79" s="7"/>
      <c r="E79" s="362"/>
      <c r="F79" s="362"/>
    </row>
    <row r="80" ht="15.75" customHeight="1">
      <c r="A80" s="7"/>
      <c r="B80" s="7"/>
      <c r="C80" s="7"/>
      <c r="D80" s="7"/>
      <c r="E80" s="362"/>
      <c r="F80" s="362"/>
    </row>
    <row r="81" ht="15.75" customHeight="1">
      <c r="A81" s="7"/>
      <c r="B81" s="7"/>
      <c r="C81" s="7"/>
      <c r="D81" s="7"/>
      <c r="E81" s="362"/>
      <c r="F81" s="362"/>
    </row>
    <row r="82" ht="15.75" customHeight="1">
      <c r="A82" s="7"/>
      <c r="B82" s="7"/>
      <c r="C82" s="7"/>
      <c r="D82" s="7"/>
      <c r="E82" s="362"/>
      <c r="F82" s="362"/>
    </row>
    <row r="83" ht="15.75" customHeight="1">
      <c r="A83" s="7"/>
      <c r="B83" s="7"/>
      <c r="C83" s="7"/>
      <c r="D83" s="7"/>
      <c r="E83" s="362"/>
      <c r="F83" s="362"/>
    </row>
    <row r="84" ht="15.75" customHeight="1">
      <c r="A84" s="7"/>
      <c r="B84" s="7"/>
      <c r="C84" s="7"/>
      <c r="D84" s="7"/>
      <c r="E84" s="362"/>
      <c r="F84" s="362"/>
    </row>
    <row r="85" ht="15.75" customHeight="1">
      <c r="A85" s="7"/>
      <c r="B85" s="7"/>
      <c r="C85" s="7"/>
      <c r="D85" s="7"/>
      <c r="E85" s="362"/>
      <c r="F85" s="362"/>
    </row>
    <row r="86" ht="15.75" customHeight="1">
      <c r="A86" s="7"/>
      <c r="B86" s="7"/>
      <c r="C86" s="7"/>
      <c r="D86" s="7"/>
      <c r="E86" s="362"/>
      <c r="F86" s="362"/>
    </row>
    <row r="87" ht="15.75" customHeight="1">
      <c r="A87" s="7"/>
      <c r="B87" s="7"/>
      <c r="C87" s="7"/>
      <c r="D87" s="7"/>
      <c r="E87" s="362"/>
      <c r="F87" s="362"/>
    </row>
    <row r="88" ht="15.75" customHeight="1">
      <c r="A88" s="7"/>
      <c r="B88" s="7"/>
      <c r="C88" s="7"/>
      <c r="D88" s="7"/>
      <c r="E88" s="362"/>
      <c r="F88" s="362"/>
    </row>
    <row r="89" ht="15.75" customHeight="1">
      <c r="A89" s="7"/>
      <c r="B89" s="7"/>
      <c r="C89" s="7"/>
      <c r="D89" s="7"/>
      <c r="E89" s="362"/>
      <c r="F89" s="362"/>
    </row>
    <row r="90" ht="15.75" customHeight="1">
      <c r="A90" s="7"/>
      <c r="B90" s="7"/>
      <c r="C90" s="7"/>
      <c r="D90" s="7"/>
      <c r="E90" s="362"/>
      <c r="F90" s="362"/>
    </row>
    <row r="91" ht="15.75" customHeight="1">
      <c r="A91" s="7"/>
      <c r="B91" s="7"/>
      <c r="C91" s="7"/>
      <c r="D91" s="7"/>
      <c r="E91" s="362"/>
      <c r="F91" s="362"/>
    </row>
    <row r="92" ht="15.75" customHeight="1">
      <c r="A92" s="7"/>
      <c r="B92" s="7"/>
      <c r="C92" s="7"/>
      <c r="D92" s="7"/>
      <c r="E92" s="362"/>
      <c r="F92" s="362"/>
    </row>
    <row r="93" ht="15.75" customHeight="1">
      <c r="A93" s="7"/>
      <c r="B93" s="7"/>
      <c r="C93" s="7"/>
      <c r="D93" s="7"/>
      <c r="E93" s="362"/>
      <c r="F93" s="362"/>
    </row>
    <row r="94" ht="15.75" customHeight="1">
      <c r="A94" s="7"/>
      <c r="B94" s="7"/>
      <c r="C94" s="7"/>
      <c r="D94" s="7"/>
      <c r="E94" s="362"/>
      <c r="F94" s="362"/>
    </row>
    <row r="95" ht="15.75" customHeight="1">
      <c r="A95" s="7"/>
      <c r="B95" s="7"/>
      <c r="C95" s="7"/>
      <c r="D95" s="7"/>
      <c r="E95" s="362"/>
      <c r="F95" s="362"/>
    </row>
    <row r="96" ht="15.75" customHeight="1">
      <c r="A96" s="7"/>
      <c r="B96" s="7"/>
      <c r="C96" s="7"/>
      <c r="D96" s="7"/>
      <c r="E96" s="362"/>
      <c r="F96" s="362"/>
    </row>
    <row r="97" ht="15.75" customHeight="1">
      <c r="A97" s="7"/>
      <c r="B97" s="7"/>
      <c r="C97" s="7"/>
      <c r="D97" s="7"/>
      <c r="E97" s="362"/>
      <c r="F97" s="362"/>
    </row>
    <row r="98" ht="15.75" customHeight="1">
      <c r="A98" s="7"/>
      <c r="B98" s="7"/>
      <c r="C98" s="7"/>
      <c r="D98" s="7"/>
      <c r="E98" s="362"/>
      <c r="F98" s="362"/>
    </row>
    <row r="99" ht="15.75" customHeight="1">
      <c r="A99" s="7"/>
      <c r="B99" s="7"/>
      <c r="C99" s="7"/>
      <c r="D99" s="7"/>
      <c r="E99" s="362"/>
      <c r="F99" s="362"/>
    </row>
    <row r="100" ht="15.75" customHeight="1">
      <c r="A100" s="7"/>
      <c r="B100" s="7"/>
      <c r="C100" s="7"/>
      <c r="D100" s="7"/>
      <c r="E100" s="362"/>
      <c r="F100" s="362"/>
    </row>
    <row r="101" ht="15.75" customHeight="1">
      <c r="A101" s="7"/>
      <c r="B101" s="7"/>
      <c r="C101" s="7"/>
      <c r="D101" s="7"/>
      <c r="E101" s="362"/>
      <c r="F101" s="362"/>
    </row>
    <row r="102" ht="15.75" customHeight="1">
      <c r="A102" s="7"/>
      <c r="B102" s="7"/>
      <c r="C102" s="7"/>
      <c r="D102" s="7"/>
      <c r="E102" s="362"/>
      <c r="F102" s="362"/>
    </row>
    <row r="103" ht="15.75" customHeight="1">
      <c r="A103" s="7"/>
      <c r="B103" s="7"/>
      <c r="C103" s="7"/>
      <c r="D103" s="7"/>
      <c r="E103" s="362"/>
      <c r="F103" s="362"/>
    </row>
    <row r="104" ht="15.75" customHeight="1">
      <c r="A104" s="7"/>
      <c r="B104" s="7"/>
      <c r="C104" s="7"/>
      <c r="D104" s="7"/>
      <c r="E104" s="362"/>
      <c r="F104" s="362"/>
    </row>
    <row r="105" ht="15.75" customHeight="1">
      <c r="A105" s="7"/>
      <c r="B105" s="7"/>
      <c r="C105" s="7"/>
      <c r="D105" s="7"/>
      <c r="E105" s="362"/>
      <c r="F105" s="362"/>
    </row>
    <row r="106" ht="15.75" customHeight="1">
      <c r="A106" s="7"/>
      <c r="B106" s="7"/>
      <c r="C106" s="7"/>
      <c r="D106" s="7"/>
      <c r="E106" s="362"/>
      <c r="F106" s="362"/>
    </row>
    <row r="107" ht="15.75" customHeight="1">
      <c r="A107" s="7"/>
      <c r="B107" s="7"/>
      <c r="C107" s="7"/>
      <c r="D107" s="7"/>
      <c r="E107" s="362"/>
      <c r="F107" s="362"/>
    </row>
    <row r="108" ht="15.75" customHeight="1">
      <c r="A108" s="7"/>
      <c r="B108" s="7"/>
      <c r="C108" s="7"/>
      <c r="D108" s="7"/>
      <c r="E108" s="362"/>
      <c r="F108" s="362"/>
    </row>
    <row r="109" ht="15.75" customHeight="1">
      <c r="A109" s="7"/>
      <c r="B109" s="7"/>
      <c r="C109" s="7"/>
      <c r="D109" s="7"/>
      <c r="E109" s="362"/>
      <c r="F109" s="362"/>
    </row>
    <row r="110" ht="15.75" customHeight="1">
      <c r="A110" s="7"/>
      <c r="B110" s="7"/>
      <c r="C110" s="7"/>
      <c r="D110" s="7"/>
      <c r="E110" s="362"/>
      <c r="F110" s="362"/>
    </row>
    <row r="111" ht="15.75" customHeight="1">
      <c r="A111" s="7"/>
      <c r="B111" s="7"/>
      <c r="C111" s="7"/>
      <c r="D111" s="7"/>
      <c r="E111" s="362"/>
      <c r="F111" s="362"/>
    </row>
    <row r="112" ht="15.75" customHeight="1">
      <c r="A112" s="7"/>
      <c r="B112" s="7"/>
      <c r="C112" s="7"/>
      <c r="D112" s="7"/>
      <c r="E112" s="362"/>
      <c r="F112" s="362"/>
    </row>
    <row r="113" ht="15.75" customHeight="1">
      <c r="A113" s="7"/>
      <c r="B113" s="7"/>
      <c r="C113" s="7"/>
      <c r="D113" s="7"/>
      <c r="E113" s="362"/>
      <c r="F113" s="362"/>
    </row>
    <row r="114" ht="15.75" customHeight="1">
      <c r="A114" s="7"/>
      <c r="B114" s="7"/>
      <c r="C114" s="7"/>
      <c r="D114" s="7"/>
      <c r="E114" s="362"/>
      <c r="F114" s="362"/>
    </row>
    <row r="115" ht="15.75" customHeight="1">
      <c r="A115" s="7"/>
      <c r="B115" s="7"/>
      <c r="C115" s="7"/>
      <c r="D115" s="7"/>
      <c r="E115" s="362"/>
      <c r="F115" s="362"/>
    </row>
    <row r="116" ht="15.75" customHeight="1">
      <c r="A116" s="7"/>
      <c r="B116" s="7"/>
      <c r="C116" s="7"/>
      <c r="D116" s="7"/>
      <c r="E116" s="362"/>
      <c r="F116" s="362"/>
    </row>
    <row r="117" ht="15.75" customHeight="1">
      <c r="A117" s="7"/>
      <c r="B117" s="7"/>
      <c r="C117" s="7"/>
      <c r="D117" s="7"/>
      <c r="E117" s="362"/>
      <c r="F117" s="362"/>
    </row>
    <row r="118" ht="15.75" customHeight="1">
      <c r="A118" s="7"/>
      <c r="B118" s="7"/>
      <c r="C118" s="7"/>
      <c r="D118" s="7"/>
      <c r="E118" s="362"/>
      <c r="F118" s="362"/>
    </row>
    <row r="119" ht="15.75" customHeight="1">
      <c r="A119" s="7"/>
      <c r="B119" s="7"/>
      <c r="C119" s="7"/>
      <c r="D119" s="7"/>
      <c r="E119" s="362"/>
      <c r="F119" s="362"/>
    </row>
    <row r="120" ht="15.75" customHeight="1">
      <c r="A120" s="7"/>
      <c r="B120" s="7"/>
      <c r="C120" s="7"/>
      <c r="D120" s="7"/>
      <c r="E120" s="362"/>
      <c r="F120" s="362"/>
    </row>
    <row r="121" ht="15.75" customHeight="1">
      <c r="A121" s="7"/>
      <c r="B121" s="7"/>
      <c r="C121" s="7"/>
      <c r="D121" s="7"/>
      <c r="E121" s="362"/>
      <c r="F121" s="362"/>
    </row>
    <row r="122" ht="15.75" customHeight="1">
      <c r="A122" s="7"/>
      <c r="B122" s="7"/>
      <c r="C122" s="7"/>
      <c r="D122" s="7"/>
      <c r="E122" s="362"/>
      <c r="F122" s="362"/>
    </row>
    <row r="123" ht="15.75" customHeight="1">
      <c r="A123" s="7"/>
      <c r="B123" s="7"/>
      <c r="C123" s="7"/>
      <c r="D123" s="7"/>
      <c r="E123" s="362"/>
      <c r="F123" s="362"/>
    </row>
    <row r="124" ht="15.75" customHeight="1">
      <c r="A124" s="7"/>
      <c r="B124" s="7"/>
      <c r="C124" s="7"/>
      <c r="D124" s="7"/>
      <c r="E124" s="362"/>
      <c r="F124" s="362"/>
    </row>
    <row r="125" ht="15.75" customHeight="1">
      <c r="A125" s="7"/>
      <c r="B125" s="7"/>
      <c r="C125" s="7"/>
      <c r="D125" s="7"/>
      <c r="E125" s="362"/>
      <c r="F125" s="362"/>
    </row>
    <row r="126" ht="15.75" customHeight="1">
      <c r="A126" s="7"/>
      <c r="B126" s="7"/>
      <c r="C126" s="7"/>
      <c r="D126" s="7"/>
      <c r="E126" s="362"/>
      <c r="F126" s="362"/>
    </row>
    <row r="127" ht="15.75" customHeight="1">
      <c r="A127" s="7"/>
      <c r="B127" s="7"/>
      <c r="C127" s="7"/>
      <c r="D127" s="7"/>
      <c r="E127" s="362"/>
      <c r="F127" s="362"/>
    </row>
    <row r="128" ht="15.75" customHeight="1">
      <c r="A128" s="7"/>
      <c r="B128" s="7"/>
      <c r="C128" s="7"/>
      <c r="D128" s="7"/>
      <c r="E128" s="362"/>
      <c r="F128" s="362"/>
    </row>
    <row r="129" ht="15.75" customHeight="1">
      <c r="A129" s="7"/>
      <c r="B129" s="7"/>
      <c r="C129" s="7"/>
      <c r="D129" s="7"/>
      <c r="E129" s="362"/>
      <c r="F129" s="362"/>
    </row>
    <row r="130" ht="15.75" customHeight="1">
      <c r="A130" s="7"/>
      <c r="B130" s="7"/>
      <c r="C130" s="7"/>
      <c r="D130" s="7"/>
      <c r="E130" s="362"/>
      <c r="F130" s="362"/>
    </row>
    <row r="131" ht="15.75" customHeight="1">
      <c r="A131" s="7"/>
      <c r="B131" s="7"/>
      <c r="C131" s="7"/>
      <c r="D131" s="7"/>
      <c r="E131" s="362"/>
      <c r="F131" s="362"/>
    </row>
    <row r="132" ht="15.75" customHeight="1">
      <c r="A132" s="7"/>
      <c r="B132" s="7"/>
      <c r="C132" s="7"/>
      <c r="D132" s="7"/>
      <c r="E132" s="362"/>
      <c r="F132" s="362"/>
    </row>
    <row r="133" ht="15.75" customHeight="1">
      <c r="A133" s="7"/>
      <c r="B133" s="7"/>
      <c r="C133" s="7"/>
      <c r="D133" s="7"/>
      <c r="E133" s="362"/>
      <c r="F133" s="362"/>
    </row>
    <row r="134" ht="15.75" customHeight="1">
      <c r="A134" s="7"/>
      <c r="B134" s="7"/>
      <c r="C134" s="7"/>
      <c r="D134" s="7"/>
      <c r="E134" s="362"/>
      <c r="F134" s="362"/>
    </row>
    <row r="135" ht="15.75" customHeight="1">
      <c r="A135" s="7"/>
      <c r="B135" s="7"/>
      <c r="C135" s="7"/>
      <c r="D135" s="7"/>
      <c r="E135" s="362"/>
      <c r="F135" s="362"/>
    </row>
    <row r="136" ht="15.75" customHeight="1">
      <c r="A136" s="7"/>
      <c r="B136" s="7"/>
      <c r="C136" s="7"/>
      <c r="D136" s="7"/>
      <c r="E136" s="362"/>
      <c r="F136" s="362"/>
    </row>
    <row r="137" ht="15.75" customHeight="1">
      <c r="A137" s="7"/>
      <c r="B137" s="7"/>
      <c r="C137" s="7"/>
      <c r="D137" s="7"/>
      <c r="E137" s="362"/>
      <c r="F137" s="362"/>
    </row>
    <row r="138" ht="15.75" customHeight="1">
      <c r="A138" s="7"/>
      <c r="B138" s="7"/>
      <c r="C138" s="7"/>
      <c r="D138" s="7"/>
      <c r="E138" s="362"/>
      <c r="F138" s="362"/>
    </row>
    <row r="139" ht="15.75" customHeight="1">
      <c r="A139" s="7"/>
      <c r="B139" s="7"/>
      <c r="C139" s="7"/>
      <c r="D139" s="7"/>
      <c r="E139" s="362"/>
      <c r="F139" s="362"/>
    </row>
    <row r="140" ht="15.75" customHeight="1">
      <c r="A140" s="7"/>
      <c r="B140" s="7"/>
      <c r="C140" s="7"/>
      <c r="D140" s="7"/>
      <c r="E140" s="362"/>
      <c r="F140" s="362"/>
    </row>
    <row r="141" ht="15.75" customHeight="1">
      <c r="A141" s="7"/>
      <c r="B141" s="7"/>
      <c r="C141" s="7"/>
      <c r="D141" s="7"/>
      <c r="E141" s="362"/>
      <c r="F141" s="362"/>
    </row>
    <row r="142" ht="15.75" customHeight="1">
      <c r="A142" s="7"/>
      <c r="B142" s="7"/>
      <c r="C142" s="7"/>
      <c r="D142" s="7"/>
      <c r="E142" s="362"/>
      <c r="F142" s="362"/>
    </row>
    <row r="143" ht="15.75" customHeight="1">
      <c r="A143" s="7"/>
      <c r="B143" s="7"/>
      <c r="C143" s="7"/>
      <c r="D143" s="7"/>
      <c r="E143" s="362"/>
      <c r="F143" s="362"/>
    </row>
    <row r="144" ht="15.75" customHeight="1">
      <c r="A144" s="7"/>
      <c r="B144" s="7"/>
      <c r="C144" s="7"/>
      <c r="D144" s="7"/>
      <c r="E144" s="362"/>
      <c r="F144" s="362"/>
    </row>
    <row r="145" ht="15.75" customHeight="1">
      <c r="A145" s="7"/>
      <c r="B145" s="7"/>
      <c r="C145" s="7"/>
      <c r="D145" s="7"/>
      <c r="E145" s="362"/>
      <c r="F145" s="362"/>
    </row>
    <row r="146" ht="15.75" customHeight="1">
      <c r="A146" s="7"/>
      <c r="B146" s="7"/>
      <c r="C146" s="7"/>
      <c r="D146" s="7"/>
      <c r="E146" s="362"/>
      <c r="F146" s="362"/>
    </row>
    <row r="147" ht="15.75" customHeight="1">
      <c r="A147" s="7"/>
      <c r="B147" s="7"/>
      <c r="C147" s="7"/>
      <c r="D147" s="7"/>
      <c r="E147" s="362"/>
      <c r="F147" s="362"/>
    </row>
    <row r="148" ht="15.75" customHeight="1">
      <c r="A148" s="7"/>
      <c r="B148" s="7"/>
      <c r="C148" s="7"/>
      <c r="D148" s="7"/>
      <c r="E148" s="362"/>
      <c r="F148" s="362"/>
    </row>
    <row r="149" ht="15.75" customHeight="1">
      <c r="A149" s="7"/>
      <c r="B149" s="7"/>
      <c r="C149" s="7"/>
      <c r="D149" s="7"/>
      <c r="E149" s="362"/>
      <c r="F149" s="362"/>
    </row>
    <row r="150" ht="15.75" customHeight="1">
      <c r="A150" s="7"/>
      <c r="B150" s="7"/>
      <c r="C150" s="7"/>
      <c r="D150" s="7"/>
      <c r="E150" s="362"/>
      <c r="F150" s="362"/>
    </row>
    <row r="151" ht="15.75" customHeight="1">
      <c r="A151" s="7"/>
      <c r="B151" s="7"/>
      <c r="C151" s="7"/>
      <c r="D151" s="7"/>
      <c r="E151" s="362"/>
      <c r="F151" s="362"/>
    </row>
    <row r="152" ht="15.75" customHeight="1">
      <c r="A152" s="7"/>
      <c r="B152" s="7"/>
      <c r="C152" s="7"/>
      <c r="D152" s="7"/>
      <c r="E152" s="362"/>
      <c r="F152" s="362"/>
    </row>
    <row r="153" ht="15.75" customHeight="1">
      <c r="A153" s="7"/>
      <c r="B153" s="7"/>
      <c r="C153" s="7"/>
      <c r="D153" s="7"/>
      <c r="E153" s="362"/>
      <c r="F153" s="362"/>
    </row>
    <row r="154" ht="15.75" customHeight="1">
      <c r="A154" s="7"/>
      <c r="B154" s="7"/>
      <c r="C154" s="7"/>
      <c r="D154" s="7"/>
      <c r="E154" s="362"/>
      <c r="F154" s="362"/>
    </row>
    <row r="155" ht="15.75" customHeight="1">
      <c r="A155" s="7"/>
      <c r="B155" s="7"/>
      <c r="C155" s="7"/>
      <c r="D155" s="7"/>
      <c r="E155" s="362"/>
      <c r="F155" s="362"/>
    </row>
    <row r="156" ht="15.75" customHeight="1">
      <c r="A156" s="7"/>
      <c r="B156" s="7"/>
      <c r="C156" s="7"/>
      <c r="D156" s="7"/>
      <c r="E156" s="362"/>
      <c r="F156" s="362"/>
    </row>
    <row r="157" ht="15.75" customHeight="1">
      <c r="A157" s="7"/>
      <c r="B157" s="7"/>
      <c r="C157" s="7"/>
      <c r="D157" s="7"/>
      <c r="E157" s="362"/>
      <c r="F157" s="362"/>
    </row>
    <row r="158" ht="15.75" customHeight="1">
      <c r="A158" s="7"/>
      <c r="B158" s="7"/>
      <c r="C158" s="7"/>
      <c r="D158" s="7"/>
      <c r="E158" s="362"/>
      <c r="F158" s="362"/>
    </row>
    <row r="159" ht="15.75" customHeight="1">
      <c r="A159" s="7"/>
      <c r="B159" s="7"/>
      <c r="C159" s="7"/>
      <c r="D159" s="7"/>
      <c r="E159" s="362"/>
      <c r="F159" s="362"/>
    </row>
    <row r="160" ht="15.75" customHeight="1">
      <c r="A160" s="7"/>
      <c r="B160" s="7"/>
      <c r="C160" s="7"/>
      <c r="D160" s="7"/>
      <c r="E160" s="362"/>
      <c r="F160" s="362"/>
    </row>
    <row r="161" ht="15.75" customHeight="1">
      <c r="A161" s="7"/>
      <c r="B161" s="7"/>
      <c r="C161" s="7"/>
      <c r="D161" s="7"/>
      <c r="E161" s="362"/>
      <c r="F161" s="362"/>
    </row>
    <row r="162" ht="15.75" customHeight="1">
      <c r="A162" s="7"/>
      <c r="B162" s="7"/>
      <c r="C162" s="7"/>
      <c r="D162" s="7"/>
      <c r="E162" s="362"/>
      <c r="F162" s="362"/>
    </row>
    <row r="163" ht="15.75" customHeight="1">
      <c r="A163" s="7"/>
      <c r="B163" s="7"/>
      <c r="C163" s="7"/>
      <c r="D163" s="7"/>
      <c r="E163" s="362"/>
      <c r="F163" s="362"/>
    </row>
    <row r="164" ht="15.75" customHeight="1">
      <c r="A164" s="7"/>
      <c r="B164" s="7"/>
      <c r="C164" s="7"/>
      <c r="D164" s="7"/>
      <c r="E164" s="362"/>
      <c r="F164" s="362"/>
    </row>
    <row r="165" ht="15.75" customHeight="1">
      <c r="A165" s="7"/>
      <c r="B165" s="7"/>
      <c r="C165" s="7"/>
      <c r="D165" s="7"/>
      <c r="E165" s="362"/>
      <c r="F165" s="362"/>
    </row>
    <row r="166" ht="15.75" customHeight="1">
      <c r="A166" s="7"/>
      <c r="B166" s="7"/>
      <c r="C166" s="7"/>
      <c r="D166" s="7"/>
      <c r="E166" s="362"/>
      <c r="F166" s="362"/>
    </row>
    <row r="167" ht="15.75" customHeight="1">
      <c r="A167" s="7"/>
      <c r="B167" s="7"/>
      <c r="C167" s="7"/>
      <c r="D167" s="7"/>
      <c r="E167" s="362"/>
      <c r="F167" s="362"/>
    </row>
    <row r="168" ht="15.75" customHeight="1">
      <c r="A168" s="7"/>
      <c r="B168" s="7"/>
      <c r="C168" s="7"/>
      <c r="D168" s="7"/>
      <c r="E168" s="362"/>
      <c r="F168" s="362"/>
    </row>
    <row r="169" ht="15.75" customHeight="1">
      <c r="A169" s="7"/>
      <c r="B169" s="7"/>
      <c r="C169" s="7"/>
      <c r="D169" s="7"/>
      <c r="E169" s="362"/>
      <c r="F169" s="362"/>
    </row>
    <row r="170" ht="15.75" customHeight="1">
      <c r="A170" s="7"/>
      <c r="B170" s="7"/>
      <c r="C170" s="7"/>
      <c r="D170" s="7"/>
      <c r="E170" s="362"/>
      <c r="F170" s="362"/>
    </row>
    <row r="171" ht="15.75" customHeight="1">
      <c r="A171" s="7"/>
      <c r="B171" s="7"/>
      <c r="C171" s="7"/>
      <c r="D171" s="7"/>
      <c r="E171" s="362"/>
      <c r="F171" s="362"/>
    </row>
    <row r="172" ht="15.75" customHeight="1">
      <c r="A172" s="7"/>
      <c r="B172" s="7"/>
      <c r="C172" s="7"/>
      <c r="D172" s="7"/>
      <c r="E172" s="362"/>
      <c r="F172" s="362"/>
    </row>
    <row r="173" ht="15.75" customHeight="1">
      <c r="A173" s="7"/>
      <c r="B173" s="7"/>
      <c r="C173" s="7"/>
      <c r="D173" s="7"/>
      <c r="E173" s="362"/>
      <c r="F173" s="362"/>
    </row>
    <row r="174" ht="15.75" customHeight="1">
      <c r="A174" s="7"/>
      <c r="B174" s="7"/>
      <c r="C174" s="7"/>
      <c r="D174" s="7"/>
      <c r="E174" s="362"/>
      <c r="F174" s="362"/>
    </row>
    <row r="175" ht="15.75" customHeight="1">
      <c r="A175" s="7"/>
      <c r="B175" s="7"/>
      <c r="C175" s="7"/>
      <c r="D175" s="7"/>
      <c r="E175" s="362"/>
      <c r="F175" s="362"/>
    </row>
    <row r="176" ht="15.75" customHeight="1">
      <c r="A176" s="7"/>
      <c r="B176" s="7"/>
      <c r="C176" s="7"/>
      <c r="D176" s="7"/>
      <c r="E176" s="362"/>
      <c r="F176" s="362"/>
    </row>
    <row r="177" ht="15.75" customHeight="1">
      <c r="A177" s="7"/>
      <c r="B177" s="7"/>
      <c r="C177" s="7"/>
      <c r="D177" s="7"/>
      <c r="E177" s="362"/>
      <c r="F177" s="362"/>
    </row>
    <row r="178" ht="15.75" customHeight="1">
      <c r="A178" s="7"/>
      <c r="B178" s="7"/>
      <c r="C178" s="7"/>
      <c r="D178" s="7"/>
      <c r="E178" s="362"/>
      <c r="F178" s="362"/>
    </row>
    <row r="179" ht="15.75" customHeight="1">
      <c r="A179" s="7"/>
      <c r="B179" s="7"/>
      <c r="C179" s="7"/>
      <c r="D179" s="7"/>
      <c r="E179" s="362"/>
      <c r="F179" s="362"/>
    </row>
    <row r="180" ht="15.75" customHeight="1">
      <c r="A180" s="7"/>
      <c r="B180" s="7"/>
      <c r="C180" s="7"/>
      <c r="D180" s="7"/>
      <c r="E180" s="362"/>
      <c r="F180" s="362"/>
    </row>
    <row r="181" ht="15.75" customHeight="1">
      <c r="A181" s="7"/>
      <c r="B181" s="7"/>
      <c r="C181" s="7"/>
      <c r="D181" s="7"/>
      <c r="E181" s="362"/>
      <c r="F181" s="362"/>
    </row>
    <row r="182" ht="15.75" customHeight="1">
      <c r="A182" s="7"/>
      <c r="B182" s="7"/>
      <c r="C182" s="7"/>
      <c r="D182" s="7"/>
      <c r="E182" s="362"/>
      <c r="F182" s="362"/>
    </row>
    <row r="183" ht="15.75" customHeight="1">
      <c r="A183" s="7"/>
      <c r="B183" s="7"/>
      <c r="C183" s="7"/>
      <c r="D183" s="7"/>
      <c r="E183" s="362"/>
      <c r="F183" s="362"/>
    </row>
    <row r="184" ht="15.75" customHeight="1">
      <c r="A184" s="7"/>
      <c r="B184" s="7"/>
      <c r="C184" s="7"/>
      <c r="D184" s="7"/>
      <c r="E184" s="362"/>
      <c r="F184" s="362"/>
    </row>
    <row r="185" ht="15.75" customHeight="1">
      <c r="A185" s="7"/>
      <c r="B185" s="7"/>
      <c r="C185" s="7"/>
      <c r="D185" s="7"/>
      <c r="E185" s="362"/>
      <c r="F185" s="362"/>
    </row>
    <row r="186" ht="15.75" customHeight="1">
      <c r="A186" s="7"/>
      <c r="B186" s="7"/>
      <c r="C186" s="7"/>
      <c r="D186" s="7"/>
      <c r="E186" s="362"/>
      <c r="F186" s="362"/>
    </row>
    <row r="187" ht="15.75" customHeight="1">
      <c r="A187" s="7"/>
      <c r="B187" s="7"/>
      <c r="C187" s="7"/>
      <c r="D187" s="7"/>
      <c r="E187" s="362"/>
      <c r="F187" s="362"/>
    </row>
    <row r="188" ht="15.75" customHeight="1">
      <c r="A188" s="7"/>
      <c r="B188" s="7"/>
      <c r="C188" s="7"/>
      <c r="D188" s="7"/>
      <c r="E188" s="362"/>
      <c r="F188" s="362"/>
    </row>
    <row r="189" ht="15.75" customHeight="1">
      <c r="A189" s="7"/>
      <c r="B189" s="7"/>
      <c r="C189" s="7"/>
      <c r="D189" s="7"/>
      <c r="E189" s="362"/>
      <c r="F189" s="362"/>
    </row>
    <row r="190" ht="15.75" customHeight="1">
      <c r="A190" s="7"/>
      <c r="B190" s="7"/>
      <c r="C190" s="7"/>
      <c r="D190" s="7"/>
      <c r="E190" s="362"/>
      <c r="F190" s="362"/>
    </row>
    <row r="191" ht="15.75" customHeight="1">
      <c r="A191" s="7"/>
      <c r="B191" s="7"/>
      <c r="C191" s="7"/>
      <c r="D191" s="7"/>
      <c r="E191" s="362"/>
      <c r="F191" s="362"/>
    </row>
    <row r="192" ht="15.75" customHeight="1">
      <c r="A192" s="7"/>
      <c r="B192" s="7"/>
      <c r="C192" s="7"/>
      <c r="D192" s="7"/>
      <c r="E192" s="362"/>
      <c r="F192" s="362"/>
    </row>
    <row r="193" ht="15.75" customHeight="1">
      <c r="A193" s="7"/>
      <c r="B193" s="7"/>
      <c r="C193" s="7"/>
      <c r="D193" s="7"/>
      <c r="E193" s="362"/>
      <c r="F193" s="362"/>
    </row>
    <row r="194" ht="15.75" customHeight="1">
      <c r="A194" s="7"/>
      <c r="B194" s="7"/>
      <c r="C194" s="7"/>
      <c r="D194" s="7"/>
      <c r="E194" s="362"/>
      <c r="F194" s="362"/>
    </row>
    <row r="195" ht="15.75" customHeight="1">
      <c r="A195" s="7"/>
      <c r="B195" s="7"/>
      <c r="C195" s="7"/>
      <c r="D195" s="7"/>
      <c r="E195" s="362"/>
      <c r="F195" s="362"/>
    </row>
    <row r="196" ht="15.75" customHeight="1">
      <c r="A196" s="7"/>
      <c r="B196" s="7"/>
      <c r="C196" s="7"/>
      <c r="D196" s="7"/>
      <c r="E196" s="362"/>
      <c r="F196" s="362"/>
    </row>
    <row r="197" ht="15.75" customHeight="1">
      <c r="A197" s="7"/>
      <c r="B197" s="7"/>
      <c r="C197" s="7"/>
      <c r="D197" s="7"/>
      <c r="E197" s="362"/>
      <c r="F197" s="362"/>
    </row>
    <row r="198" ht="15.75" customHeight="1">
      <c r="A198" s="7"/>
      <c r="B198" s="7"/>
      <c r="C198" s="7"/>
      <c r="D198" s="7"/>
      <c r="E198" s="362"/>
      <c r="F198" s="362"/>
    </row>
    <row r="199" ht="15.75" customHeight="1">
      <c r="A199" s="7"/>
      <c r="B199" s="7"/>
      <c r="C199" s="7"/>
      <c r="D199" s="7"/>
      <c r="E199" s="362"/>
      <c r="F199" s="362"/>
    </row>
    <row r="200" ht="15.75" customHeight="1">
      <c r="A200" s="7"/>
      <c r="B200" s="7"/>
      <c r="C200" s="7"/>
      <c r="D200" s="7"/>
      <c r="E200" s="362"/>
      <c r="F200" s="362"/>
    </row>
    <row r="201" ht="15.75" customHeight="1">
      <c r="A201" s="7"/>
      <c r="B201" s="7"/>
      <c r="C201" s="7"/>
      <c r="D201" s="7"/>
      <c r="E201" s="362"/>
      <c r="F201" s="362"/>
    </row>
    <row r="202" ht="15.75" customHeight="1">
      <c r="A202" s="7"/>
      <c r="B202" s="7"/>
      <c r="C202" s="7"/>
      <c r="D202" s="7"/>
      <c r="E202" s="362"/>
      <c r="F202" s="362"/>
    </row>
    <row r="203" ht="15.75" customHeight="1">
      <c r="A203" s="7"/>
      <c r="B203" s="7"/>
      <c r="C203" s="7"/>
      <c r="D203" s="7"/>
      <c r="E203" s="362"/>
      <c r="F203" s="362"/>
    </row>
    <row r="204" ht="15.75" customHeight="1">
      <c r="A204" s="7"/>
      <c r="B204" s="7"/>
      <c r="C204" s="7"/>
      <c r="D204" s="7"/>
      <c r="E204" s="362"/>
      <c r="F204" s="362"/>
    </row>
    <row r="205" ht="15.75" customHeight="1">
      <c r="A205" s="7"/>
      <c r="B205" s="7"/>
      <c r="C205" s="7"/>
      <c r="D205" s="7"/>
      <c r="E205" s="362"/>
      <c r="F205" s="362"/>
    </row>
    <row r="206" ht="15.75" customHeight="1">
      <c r="A206" s="7"/>
      <c r="B206" s="7"/>
      <c r="C206" s="7"/>
      <c r="D206" s="7"/>
      <c r="E206" s="362"/>
      <c r="F206" s="362"/>
    </row>
    <row r="207" ht="15.75" customHeight="1">
      <c r="A207" s="7"/>
      <c r="B207" s="7"/>
      <c r="C207" s="7"/>
      <c r="D207" s="7"/>
      <c r="E207" s="362"/>
      <c r="F207" s="362"/>
    </row>
    <row r="208" ht="15.75" customHeight="1">
      <c r="A208" s="7"/>
      <c r="B208" s="7"/>
      <c r="C208" s="7"/>
      <c r="D208" s="7"/>
      <c r="E208" s="362"/>
      <c r="F208" s="362"/>
    </row>
    <row r="209" ht="15.75" customHeight="1">
      <c r="A209" s="7"/>
      <c r="B209" s="7"/>
      <c r="C209" s="7"/>
      <c r="D209" s="7"/>
      <c r="E209" s="362"/>
      <c r="F209" s="362"/>
    </row>
    <row r="210" ht="15.75" customHeight="1">
      <c r="A210" s="7"/>
      <c r="B210" s="7"/>
      <c r="C210" s="7"/>
      <c r="D210" s="7"/>
      <c r="E210" s="362"/>
      <c r="F210" s="362"/>
    </row>
    <row r="211" ht="15.75" customHeight="1">
      <c r="A211" s="7"/>
      <c r="B211" s="7"/>
      <c r="C211" s="7"/>
      <c r="D211" s="7"/>
      <c r="E211" s="362"/>
      <c r="F211" s="362"/>
    </row>
    <row r="212" ht="15.75" customHeight="1">
      <c r="A212" s="7"/>
      <c r="B212" s="7"/>
      <c r="C212" s="7"/>
      <c r="D212" s="7"/>
      <c r="E212" s="362"/>
      <c r="F212" s="362"/>
    </row>
    <row r="213" ht="15.75" customHeight="1">
      <c r="A213" s="7"/>
      <c r="B213" s="7"/>
      <c r="C213" s="7"/>
      <c r="D213" s="7"/>
      <c r="E213" s="362"/>
      <c r="F213" s="362"/>
    </row>
    <row r="214" ht="15.75" customHeight="1">
      <c r="A214" s="7"/>
      <c r="B214" s="7"/>
      <c r="C214" s="7"/>
      <c r="D214" s="7"/>
      <c r="E214" s="362"/>
      <c r="F214" s="362"/>
    </row>
    <row r="215" ht="15.75" customHeight="1">
      <c r="A215" s="7"/>
      <c r="B215" s="7"/>
      <c r="C215" s="7"/>
      <c r="D215" s="7"/>
      <c r="E215" s="362"/>
      <c r="F215" s="362"/>
    </row>
    <row r="216" ht="15.75" customHeight="1">
      <c r="A216" s="7"/>
      <c r="B216" s="7"/>
      <c r="C216" s="7"/>
      <c r="D216" s="7"/>
      <c r="E216" s="362"/>
      <c r="F216" s="362"/>
    </row>
    <row r="217" ht="15.75" customHeight="1">
      <c r="A217" s="7"/>
      <c r="B217" s="7"/>
      <c r="C217" s="7"/>
      <c r="D217" s="7"/>
      <c r="E217" s="362"/>
      <c r="F217" s="362"/>
    </row>
    <row r="218" ht="15.75" customHeight="1">
      <c r="A218" s="7"/>
      <c r="B218" s="7"/>
      <c r="C218" s="7"/>
      <c r="D218" s="7"/>
      <c r="E218" s="362"/>
      <c r="F218" s="362"/>
    </row>
    <row r="219" ht="15.75" customHeight="1">
      <c r="A219" s="7"/>
      <c r="B219" s="7"/>
      <c r="C219" s="7"/>
      <c r="D219" s="7"/>
      <c r="E219" s="362"/>
      <c r="F219" s="362"/>
    </row>
    <row r="220" ht="15.75" customHeight="1">
      <c r="A220" s="7"/>
      <c r="B220" s="7"/>
      <c r="C220" s="7"/>
      <c r="D220" s="7"/>
      <c r="E220" s="362"/>
      <c r="F220" s="362"/>
    </row>
    <row r="221" ht="15.75" customHeight="1">
      <c r="A221" s="7"/>
      <c r="B221" s="7"/>
      <c r="C221" s="7"/>
      <c r="D221" s="7"/>
      <c r="E221" s="362"/>
      <c r="F221" s="362"/>
    </row>
    <row r="222" ht="15.75" customHeight="1">
      <c r="A222" s="7"/>
      <c r="B222" s="7"/>
      <c r="C222" s="7"/>
      <c r="D222" s="7"/>
      <c r="E222" s="362"/>
      <c r="F222" s="36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B3"/>
    <mergeCell ref="C1:D2"/>
    <mergeCell ref="E1:E3"/>
    <mergeCell ref="F1:F3"/>
  </mergeCells>
  <printOptions/>
  <pageMargins bottom="0.75" footer="0.0" header="0.0" left="0.7" right="0.7" top="0.75"/>
  <pageSetup orientation="landscape"/>
  <drawing r:id="rId1"/>
</worksheet>
</file>